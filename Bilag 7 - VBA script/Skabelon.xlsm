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dialogsheets/sheet1.xml" ContentType="application/vnd.openxmlformats-officedocument.spreadsheetml.dialog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3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embeddings/oleObject3.bin" ContentType="application/vnd.openxmlformats-officedocument.oleObject"/>
  <Override PartName="/xl/embeddings/oleObject4.bin" ContentType="application/vnd.openxmlformats-officedocument.oleObject"/>
  <Override PartName="/xl/embeddings/oleObject5.bin" ContentType="application/vnd.openxmlformats-officedocument.oleObject"/>
  <Override PartName="/xl/embeddings/oleObject6.bin" ContentType="application/vnd.openxmlformats-officedocument.oleObject"/>
  <Override PartName="/xl/drawings/drawing4.xml" ContentType="application/vnd.openxmlformats-officedocument.drawing+xml"/>
  <Override PartName="/xl/embeddings/oleObject7.bin" ContentType="application/vnd.openxmlformats-officedocument.oleObject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urboNotik-PC\Desktop\VBA\"/>
    </mc:Choice>
  </mc:AlternateContent>
  <xr:revisionPtr revIDLastSave="0" documentId="13_ncr:1_{E5AC33AC-E906-4433-BEB7-94A330FF2163}" xr6:coauthVersionLast="45" xr6:coauthVersionMax="45" xr10:uidLastSave="{00000000-0000-0000-0000-000000000000}"/>
  <bookViews>
    <workbookView showHorizontalScroll="0" showVerticalScroll="0" xWindow="-110" yWindow="-110" windowWidth="19420" windowHeight="10420" firstSheet="1" activeTab="1" xr2:uid="{00000000-000D-0000-FFFF-FFFF00000000}"/>
  </bookViews>
  <sheets>
    <sheet name="__SheetSelection" sheetId="7" state="hidden" r:id="rId1"/>
    <sheet name="Template" sheetId="5" r:id="rId2"/>
    <sheet name="Data" sheetId="6" r:id="rId3"/>
    <sheet name="Beregning" sheetId="3" r:id="rId4"/>
    <sheet name="Tabeller" sheetId="2" r:id="rId5"/>
    <sheet name="Colebrook-White" sheetId="1" r:id="rId6"/>
    <sheet name="Tor Wadmark" sheetId="4" r:id="rId7"/>
  </sheets>
  <functionGroups builtInGroupCount="19"/>
  <definedNames>
    <definedName name="_xlnm._FilterDatabase" localSheetId="1" hidden="1">Template!$A$1:$I$5</definedName>
    <definedName name="dimensioner">Tabeller!$F$55:$AT$74</definedName>
    <definedName name="Stoffælles">Tabeller!$F$6:$L$36</definedName>
    <definedName name="stofluft">Tabeller!$F$44:$H$74</definedName>
    <definedName name="stofvand">Tabeller!$F$7:$J$25</definedName>
    <definedName name="stofvandglycol">Tabeller!$K$17:$L$35</definedName>
    <definedName name="Tabel1">Tabeller!$B$6:$C$23</definedName>
    <definedName name="Tabel2">Tabeller!$F$6:$N$36</definedName>
    <definedName name="tabel4">Tabeller!$F$43:$G$47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39" i="2" l="1"/>
  <c r="C21" i="3" l="1"/>
  <c r="D64" i="4" l="1"/>
  <c r="D42" i="4"/>
  <c r="D86" i="4"/>
  <c r="D20" i="4"/>
  <c r="A51" i="2"/>
  <c r="A56" i="2" s="1"/>
  <c r="D7" i="4" s="1"/>
  <c r="C22" i="3"/>
  <c r="C19" i="3"/>
  <c r="C20" i="3"/>
  <c r="A55" i="2" l="1"/>
  <c r="D6" i="4" s="1"/>
  <c r="A57" i="2"/>
  <c r="D8" i="4" s="1"/>
  <c r="A54" i="2"/>
  <c r="U78" i="2"/>
  <c r="A60" i="2"/>
  <c r="K21" i="3"/>
  <c r="J21" i="3"/>
  <c r="K20" i="3"/>
  <c r="J20" i="3"/>
  <c r="K19" i="3"/>
  <c r="J19" i="3"/>
  <c r="K18" i="3"/>
  <c r="J18" i="3"/>
  <c r="K17" i="3"/>
  <c r="J17" i="3"/>
  <c r="K16" i="3"/>
  <c r="J16" i="3"/>
  <c r="K15" i="3"/>
  <c r="J15" i="3"/>
  <c r="K14" i="3"/>
  <c r="J14" i="3"/>
  <c r="K13" i="3"/>
  <c r="J13" i="3"/>
  <c r="K12" i="3"/>
  <c r="J12" i="3"/>
  <c r="I21" i="3"/>
  <c r="H21" i="3"/>
  <c r="I20" i="3"/>
  <c r="H20" i="3"/>
  <c r="I19" i="3"/>
  <c r="H19" i="3"/>
  <c r="I18" i="3"/>
  <c r="H18" i="3"/>
  <c r="I17" i="3"/>
  <c r="H17" i="3"/>
  <c r="I16" i="3"/>
  <c r="H16" i="3"/>
  <c r="I15" i="3"/>
  <c r="H15" i="3"/>
  <c r="I14" i="3"/>
  <c r="H14" i="3"/>
  <c r="I13" i="3"/>
  <c r="H13" i="3"/>
  <c r="I12" i="3"/>
  <c r="H12" i="3"/>
  <c r="A45" i="2"/>
  <c r="C18" i="1" s="1"/>
  <c r="D11" i="4"/>
  <c r="D9" i="4"/>
  <c r="C19" i="1"/>
  <c r="H10" i="2"/>
  <c r="G43" i="2"/>
  <c r="K5" i="2"/>
  <c r="K8" i="2" s="1"/>
  <c r="H17" i="2"/>
  <c r="H12" i="2"/>
  <c r="H26" i="2"/>
  <c r="H8" i="2"/>
  <c r="H9" i="2"/>
  <c r="H11" i="2"/>
  <c r="H13" i="2"/>
  <c r="H14" i="2"/>
  <c r="H15" i="2"/>
  <c r="H16" i="2"/>
  <c r="H18" i="2"/>
  <c r="H19" i="2"/>
  <c r="H20" i="2"/>
  <c r="H21" i="2"/>
  <c r="H22" i="2"/>
  <c r="H23" i="2"/>
  <c r="H24" i="2"/>
  <c r="H25" i="2"/>
  <c r="H7" i="2"/>
  <c r="A42" i="2"/>
  <c r="D4" i="4" s="1"/>
  <c r="A64" i="4" s="1"/>
  <c r="B64" i="4" s="1"/>
  <c r="E11" i="3"/>
  <c r="D5" i="4" l="1"/>
  <c r="A20" i="4" s="1"/>
  <c r="B20" i="4" s="1"/>
  <c r="A86" i="4"/>
  <c r="B86" i="4" s="1"/>
  <c r="A42" i="4"/>
  <c r="B42" i="4" s="1"/>
  <c r="K20" i="2"/>
  <c r="K9" i="2"/>
  <c r="K10" i="2"/>
  <c r="K18" i="2"/>
  <c r="K7" i="2"/>
  <c r="K25" i="2"/>
  <c r="K16" i="2"/>
  <c r="K26" i="2"/>
  <c r="K15" i="2"/>
  <c r="K19" i="2"/>
  <c r="K24" i="2"/>
  <c r="K22" i="2"/>
  <c r="K13" i="2"/>
  <c r="K12" i="2"/>
  <c r="K23" i="2"/>
  <c r="K14" i="2"/>
  <c r="K21" i="2"/>
  <c r="K11" i="2"/>
  <c r="K17" i="2"/>
  <c r="D3" i="4"/>
  <c r="E64" i="4" s="1"/>
  <c r="A65" i="4" s="1"/>
  <c r="C29" i="3"/>
  <c r="C29" i="1"/>
  <c r="C31" i="1"/>
  <c r="C40" i="1"/>
  <c r="C39" i="1"/>
  <c r="C34" i="1"/>
  <c r="C32" i="1"/>
  <c r="C30" i="1"/>
  <c r="C33" i="1"/>
  <c r="C36" i="1"/>
  <c r="C35" i="1"/>
  <c r="C38" i="1"/>
  <c r="C37" i="1"/>
  <c r="C41" i="1"/>
  <c r="A63" i="2"/>
  <c r="E86" i="4" l="1"/>
  <c r="E20" i="4"/>
  <c r="E42" i="4"/>
  <c r="A43" i="4" s="1"/>
  <c r="C34" i="3"/>
  <c r="A66" i="2"/>
  <c r="C20" i="1" s="1"/>
  <c r="D65" i="4" l="1"/>
  <c r="F64" i="4"/>
  <c r="B65" i="4"/>
  <c r="E65" i="4" s="1"/>
  <c r="A87" i="4"/>
  <c r="B87" i="4" s="1"/>
  <c r="E87" i="4" s="1"/>
  <c r="D43" i="4"/>
  <c r="B43" i="4"/>
  <c r="E43" i="4" s="1"/>
  <c r="F42" i="4"/>
  <c r="D87" i="4"/>
  <c r="F86" i="4"/>
  <c r="A21" i="4"/>
  <c r="B21" i="4" s="1"/>
  <c r="E21" i="4" s="1"/>
  <c r="F20" i="4"/>
  <c r="D21" i="4"/>
  <c r="D23" i="1"/>
  <c r="E26" i="1"/>
  <c r="D24" i="1"/>
  <c r="E24" i="1" s="1"/>
  <c r="A66" i="4" l="1"/>
  <c r="B66" i="4" s="1"/>
  <c r="E66" i="4" s="1"/>
  <c r="D66" i="4"/>
  <c r="F65" i="4"/>
  <c r="A88" i="4"/>
  <c r="B88" i="4" s="1"/>
  <c r="E88" i="4" s="1"/>
  <c r="A89" i="4" s="1"/>
  <c r="D44" i="4"/>
  <c r="A44" i="4"/>
  <c r="B44" i="4" s="1"/>
  <c r="E44" i="4" s="1"/>
  <c r="F43" i="4"/>
  <c r="D88" i="4"/>
  <c r="F87" i="4"/>
  <c r="D22" i="4"/>
  <c r="F21" i="4"/>
  <c r="A22" i="4"/>
  <c r="B22" i="4" s="1"/>
  <c r="E23" i="1"/>
  <c r="B29" i="1"/>
  <c r="A67" i="4" l="1"/>
  <c r="B67" i="4" s="1"/>
  <c r="F66" i="4"/>
  <c r="D67" i="4"/>
  <c r="E22" i="4"/>
  <c r="A23" i="4" s="1"/>
  <c r="B23" i="4" s="1"/>
  <c r="E23" i="4" s="1"/>
  <c r="F23" i="4" s="1"/>
  <c r="B89" i="4"/>
  <c r="E89" i="4" s="1"/>
  <c r="D89" i="4"/>
  <c r="F88" i="4"/>
  <c r="A45" i="4"/>
  <c r="B45" i="4" s="1"/>
  <c r="E45" i="4" s="1"/>
  <c r="D45" i="4"/>
  <c r="F44" i="4"/>
  <c r="I29" i="1"/>
  <c r="F29" i="1"/>
  <c r="D29" i="1"/>
  <c r="E67" i="4" l="1"/>
  <c r="A68" i="4" s="1"/>
  <c r="D23" i="4"/>
  <c r="F22" i="4"/>
  <c r="A24" i="4"/>
  <c r="B24" i="4" s="1"/>
  <c r="E24" i="4" s="1"/>
  <c r="A25" i="4" s="1"/>
  <c r="B25" i="4" s="1"/>
  <c r="E25" i="4" s="1"/>
  <c r="D24" i="4"/>
  <c r="A46" i="4"/>
  <c r="B46" i="4" s="1"/>
  <c r="E46" i="4" s="1"/>
  <c r="D46" i="4"/>
  <c r="F45" i="4"/>
  <c r="A90" i="4"/>
  <c r="B90" i="4" s="1"/>
  <c r="E90" i="4" s="1"/>
  <c r="D90" i="4"/>
  <c r="F89" i="4"/>
  <c r="B30" i="1"/>
  <c r="G29" i="1"/>
  <c r="H29" i="1" s="1"/>
  <c r="D68" i="4" l="1"/>
  <c r="B68" i="4"/>
  <c r="F67" i="4"/>
  <c r="D25" i="4"/>
  <c r="F24" i="4"/>
  <c r="A91" i="4"/>
  <c r="B91" i="4" s="1"/>
  <c r="E91" i="4" s="1"/>
  <c r="D91" i="4"/>
  <c r="F90" i="4"/>
  <c r="A47" i="4"/>
  <c r="B47" i="4" s="1"/>
  <c r="E47" i="4" s="1"/>
  <c r="D47" i="4"/>
  <c r="F46" i="4"/>
  <c r="A26" i="4"/>
  <c r="B26" i="4" s="1"/>
  <c r="E26" i="4" s="1"/>
  <c r="F25" i="4"/>
  <c r="D26" i="4"/>
  <c r="I30" i="1"/>
  <c r="F30" i="1"/>
  <c r="D30" i="1"/>
  <c r="E68" i="4" l="1"/>
  <c r="A48" i="4"/>
  <c r="B48" i="4" s="1"/>
  <c r="E48" i="4" s="1"/>
  <c r="D48" i="4"/>
  <c r="F47" i="4"/>
  <c r="A92" i="4"/>
  <c r="B92" i="4" s="1"/>
  <c r="E92" i="4" s="1"/>
  <c r="D92" i="4"/>
  <c r="F91" i="4"/>
  <c r="F26" i="4"/>
  <c r="D27" i="4"/>
  <c r="A27" i="4"/>
  <c r="B27" i="4" s="1"/>
  <c r="E27" i="4" s="1"/>
  <c r="B31" i="1"/>
  <c r="G30" i="1"/>
  <c r="H30" i="1" s="1"/>
  <c r="F68" i="4" l="1"/>
  <c r="D69" i="4"/>
  <c r="A69" i="4"/>
  <c r="B69" i="4" s="1"/>
  <c r="A49" i="4"/>
  <c r="B49" i="4" s="1"/>
  <c r="E49" i="4" s="1"/>
  <c r="D49" i="4"/>
  <c r="F48" i="4"/>
  <c r="A93" i="4"/>
  <c r="B93" i="4" s="1"/>
  <c r="E93" i="4" s="1"/>
  <c r="D93" i="4"/>
  <c r="F92" i="4"/>
  <c r="I31" i="1"/>
  <c r="F31" i="1"/>
  <c r="D31" i="1"/>
  <c r="F27" i="4"/>
  <c r="A28" i="4"/>
  <c r="B28" i="4" s="1"/>
  <c r="E28" i="4" s="1"/>
  <c r="D28" i="4"/>
  <c r="E69" i="4" l="1"/>
  <c r="A50" i="4"/>
  <c r="B50" i="4" s="1"/>
  <c r="E50" i="4" s="1"/>
  <c r="F49" i="4"/>
  <c r="D50" i="4"/>
  <c r="A94" i="4"/>
  <c r="B94" i="4" s="1"/>
  <c r="E94" i="4" s="1"/>
  <c r="F93" i="4"/>
  <c r="D94" i="4"/>
  <c r="A29" i="4"/>
  <c r="B29" i="4" s="1"/>
  <c r="E29" i="4" s="1"/>
  <c r="D29" i="4"/>
  <c r="F28" i="4"/>
  <c r="B32" i="1"/>
  <c r="G31" i="1"/>
  <c r="H31" i="1" s="1"/>
  <c r="D70" i="4" l="1"/>
  <c r="F69" i="4"/>
  <c r="A70" i="4"/>
  <c r="B70" i="4" s="1"/>
  <c r="A51" i="4"/>
  <c r="B51" i="4" s="1"/>
  <c r="E51" i="4" s="1"/>
  <c r="D51" i="4"/>
  <c r="F50" i="4"/>
  <c r="A95" i="4"/>
  <c r="B95" i="4" s="1"/>
  <c r="E95" i="4" s="1"/>
  <c r="D95" i="4"/>
  <c r="F94" i="4"/>
  <c r="F29" i="4"/>
  <c r="D30" i="4"/>
  <c r="A30" i="4"/>
  <c r="B30" i="4" s="1"/>
  <c r="E30" i="4" s="1"/>
  <c r="F32" i="1"/>
  <c r="I32" i="1"/>
  <c r="D32" i="1"/>
  <c r="E70" i="4" l="1"/>
  <c r="A52" i="4"/>
  <c r="B52" i="4" s="1"/>
  <c r="E52" i="4" s="1"/>
  <c r="D52" i="4"/>
  <c r="F51" i="4"/>
  <c r="A96" i="4"/>
  <c r="B96" i="4" s="1"/>
  <c r="E96" i="4" s="1"/>
  <c r="D96" i="4"/>
  <c r="F95" i="4"/>
  <c r="A31" i="4"/>
  <c r="B31" i="4" s="1"/>
  <c r="E31" i="4" s="1"/>
  <c r="D31" i="4"/>
  <c r="F30" i="4"/>
  <c r="B33" i="1"/>
  <c r="G32" i="1"/>
  <c r="H32" i="1" s="1"/>
  <c r="F70" i="4" l="1"/>
  <c r="D71" i="4"/>
  <c r="A71" i="4"/>
  <c r="B71" i="4" s="1"/>
  <c r="A53" i="4"/>
  <c r="B53" i="4" s="1"/>
  <c r="E53" i="4" s="1"/>
  <c r="D53" i="4"/>
  <c r="F52" i="4"/>
  <c r="A97" i="4"/>
  <c r="B97" i="4" s="1"/>
  <c r="E97" i="4" s="1"/>
  <c r="F96" i="4"/>
  <c r="D97" i="4"/>
  <c r="I33" i="1"/>
  <c r="F33" i="1"/>
  <c r="D33" i="1"/>
  <c r="F31" i="4"/>
  <c r="A32" i="4"/>
  <c r="B32" i="4" s="1"/>
  <c r="E32" i="4" s="1"/>
  <c r="A33" i="4" s="1"/>
  <c r="D32" i="4"/>
  <c r="E71" i="4" l="1"/>
  <c r="A98" i="4"/>
  <c r="B98" i="4" s="1"/>
  <c r="E98" i="4" s="1"/>
  <c r="F97" i="4"/>
  <c r="D98" i="4"/>
  <c r="A54" i="4"/>
  <c r="B54" i="4" s="1"/>
  <c r="E54" i="4" s="1"/>
  <c r="D54" i="4"/>
  <c r="F53" i="4"/>
  <c r="G33" i="1"/>
  <c r="H33" i="1" s="1"/>
  <c r="B34" i="1"/>
  <c r="D33" i="4"/>
  <c r="F32" i="4"/>
  <c r="B33" i="4"/>
  <c r="E33" i="4" s="1"/>
  <c r="D72" i="4" l="1"/>
  <c r="F71" i="4"/>
  <c r="A72" i="4"/>
  <c r="B72" i="4" s="1"/>
  <c r="A55" i="4"/>
  <c r="B55" i="4" s="1"/>
  <c r="E55" i="4" s="1"/>
  <c r="F54" i="4"/>
  <c r="D55" i="4"/>
  <c r="A99" i="4"/>
  <c r="B99" i="4" s="1"/>
  <c r="E99" i="4" s="1"/>
  <c r="D99" i="4"/>
  <c r="F98" i="4"/>
  <c r="F34" i="1"/>
  <c r="I34" i="1"/>
  <c r="D34" i="1"/>
  <c r="D34" i="4"/>
  <c r="A34" i="4"/>
  <c r="B34" i="4" s="1"/>
  <c r="E34" i="4" s="1"/>
  <c r="F33" i="4"/>
  <c r="E72" i="4" l="1"/>
  <c r="A100" i="4"/>
  <c r="B100" i="4" s="1"/>
  <c r="E100" i="4" s="1"/>
  <c r="D100" i="4"/>
  <c r="F99" i="4"/>
  <c r="A56" i="4"/>
  <c r="B56" i="4" s="1"/>
  <c r="E56" i="4" s="1"/>
  <c r="F55" i="4"/>
  <c r="D56" i="4"/>
  <c r="A35" i="4"/>
  <c r="B35" i="4" s="1"/>
  <c r="E35" i="4" s="1"/>
  <c r="F34" i="4"/>
  <c r="D35" i="4"/>
  <c r="G34" i="1"/>
  <c r="H34" i="1" s="1"/>
  <c r="B35" i="1"/>
  <c r="D73" i="4" l="1"/>
  <c r="F72" i="4"/>
  <c r="A73" i="4"/>
  <c r="B73" i="4" s="1"/>
  <c r="A57" i="4"/>
  <c r="B57" i="4" s="1"/>
  <c r="E57" i="4" s="1"/>
  <c r="D57" i="4"/>
  <c r="F56" i="4"/>
  <c r="A101" i="4"/>
  <c r="B101" i="4" s="1"/>
  <c r="E101" i="4" s="1"/>
  <c r="D101" i="4"/>
  <c r="F100" i="4"/>
  <c r="F35" i="1"/>
  <c r="I35" i="1"/>
  <c r="D35" i="1"/>
  <c r="D36" i="4"/>
  <c r="F35" i="4"/>
  <c r="A36" i="4"/>
  <c r="B36" i="4" s="1"/>
  <c r="E36" i="4" s="1"/>
  <c r="E73" i="4" l="1"/>
  <c r="A58" i="4"/>
  <c r="B58" i="4" s="1"/>
  <c r="E58" i="4" s="1"/>
  <c r="A59" i="4" s="1"/>
  <c r="F57" i="4"/>
  <c r="D58" i="4"/>
  <c r="A102" i="4"/>
  <c r="B102" i="4" s="1"/>
  <c r="E102" i="4" s="1"/>
  <c r="F101" i="4"/>
  <c r="D102" i="4"/>
  <c r="D37" i="4"/>
  <c r="F36" i="4"/>
  <c r="A37" i="4"/>
  <c r="B37" i="4" s="1"/>
  <c r="E37" i="4" s="1"/>
  <c r="F37" i="4" s="1"/>
  <c r="I29" i="3" s="1"/>
  <c r="I34" i="3" s="1"/>
  <c r="G35" i="1"/>
  <c r="H35" i="1" s="1"/>
  <c r="B36" i="1"/>
  <c r="F73" i="4" l="1"/>
  <c r="D74" i="4"/>
  <c r="A74" i="4"/>
  <c r="B74" i="4" s="1"/>
  <c r="A103" i="4"/>
  <c r="B103" i="4" s="1"/>
  <c r="D103" i="4"/>
  <c r="F102" i="4"/>
  <c r="B59" i="4"/>
  <c r="D59" i="4"/>
  <c r="F58" i="4"/>
  <c r="F36" i="1"/>
  <c r="I36" i="1"/>
  <c r="D36" i="1"/>
  <c r="E74" i="4" l="1"/>
  <c r="A75" i="4" s="1"/>
  <c r="E103" i="4"/>
  <c r="F103" i="4" s="1"/>
  <c r="I32" i="3" s="1"/>
  <c r="E59" i="4"/>
  <c r="F59" i="4" s="1"/>
  <c r="I30" i="3" s="1"/>
  <c r="I36" i="3"/>
  <c r="G36" i="1"/>
  <c r="H36" i="1" s="1"/>
  <c r="B37" i="1"/>
  <c r="B75" i="4" l="1"/>
  <c r="D75" i="4"/>
  <c r="F74" i="4"/>
  <c r="I37" i="1"/>
  <c r="F37" i="1"/>
  <c r="D37" i="1"/>
  <c r="E75" i="4" l="1"/>
  <c r="B38" i="1"/>
  <c r="G37" i="1"/>
  <c r="H37" i="1" s="1"/>
  <c r="D76" i="4" l="1"/>
  <c r="F75" i="4"/>
  <c r="A76" i="4"/>
  <c r="B76" i="4" s="1"/>
  <c r="F38" i="1"/>
  <c r="I38" i="1"/>
  <c r="D38" i="1"/>
  <c r="E76" i="4" l="1"/>
  <c r="B39" i="1"/>
  <c r="G38" i="1"/>
  <c r="H38" i="1" s="1"/>
  <c r="D77" i="4" l="1"/>
  <c r="F76" i="4"/>
  <c r="A77" i="4"/>
  <c r="B77" i="4" s="1"/>
  <c r="F39" i="1"/>
  <c r="I39" i="1"/>
  <c r="D39" i="1"/>
  <c r="E77" i="4" l="1"/>
  <c r="B40" i="1"/>
  <c r="G39" i="1"/>
  <c r="H39" i="1" s="1"/>
  <c r="F77" i="4" l="1"/>
  <c r="D78" i="4"/>
  <c r="A78" i="4"/>
  <c r="B78" i="4" s="1"/>
  <c r="I40" i="1"/>
  <c r="F40" i="1"/>
  <c r="D40" i="1"/>
  <c r="E78" i="4" l="1"/>
  <c r="B41" i="1"/>
  <c r="D25" i="1" s="1"/>
  <c r="E25" i="1" s="1"/>
  <c r="G40" i="1"/>
  <c r="H40" i="1" s="1"/>
  <c r="D79" i="4" l="1"/>
  <c r="F78" i="4"/>
  <c r="A79" i="4"/>
  <c r="B79" i="4" s="1"/>
  <c r="I41" i="1"/>
  <c r="F41" i="1"/>
  <c r="D41" i="1"/>
  <c r="G41" i="1" s="1"/>
  <c r="E79" i="4" l="1"/>
  <c r="C36" i="3"/>
  <c r="H41" i="1"/>
  <c r="F79" i="4" l="1"/>
  <c r="D80" i="4"/>
  <c r="A80" i="4"/>
  <c r="B80" i="4" s="1"/>
  <c r="E80" i="4" l="1"/>
  <c r="F80" i="4" l="1"/>
  <c r="D81" i="4"/>
  <c r="A81" i="4"/>
  <c r="B81" i="4" s="1"/>
  <c r="E81" i="4" l="1"/>
  <c r="F81" i="4" s="1"/>
  <c r="I31" i="3" s="1"/>
</calcChain>
</file>

<file path=xl/sharedStrings.xml><?xml version="1.0" encoding="utf-8"?>
<sst xmlns="http://schemas.openxmlformats.org/spreadsheetml/2006/main" count="2652" uniqueCount="582">
  <si>
    <t>d (mm)</t>
  </si>
  <si>
    <t>ks (mm)</t>
  </si>
  <si>
    <t>Re</t>
  </si>
  <si>
    <t>f</t>
  </si>
  <si>
    <t>a</t>
  </si>
  <si>
    <t>b</t>
  </si>
  <si>
    <t>f(n)</t>
  </si>
  <si>
    <t>LHS</t>
  </si>
  <si>
    <t>RHS</t>
  </si>
  <si>
    <t>Error</t>
  </si>
  <si>
    <t>λ</t>
  </si>
  <si>
    <t>Moody</t>
  </si>
  <si>
    <t>Barr</t>
  </si>
  <si>
    <t>Colebrook white</t>
  </si>
  <si>
    <t>Colebrook-White iteration</t>
  </si>
  <si>
    <t>Colebrook-White</t>
  </si>
  <si>
    <t>This sheet gives the value of friction factor f from the Colbrook-White, Moody and Barr formulea</t>
  </si>
  <si>
    <t>Enter the parameters here</t>
  </si>
  <si>
    <t>Enter the parameters in the coloured boxes</t>
  </si>
  <si>
    <t>Solution</t>
  </si>
  <si>
    <t>Sandruhed</t>
  </si>
  <si>
    <t>Betegnelse</t>
  </si>
  <si>
    <t>Hjælpekolonne</t>
  </si>
  <si>
    <t xml:space="preserve"> </t>
  </si>
  <si>
    <t>[-]</t>
  </si>
  <si>
    <t>[mm]</t>
  </si>
  <si>
    <t>Betonkanaler (til ventilation)</t>
  </si>
  <si>
    <t>Asbest-cementrør (DS160)</t>
  </si>
  <si>
    <t>Tabel 1</t>
  </si>
  <si>
    <t>Temperatur</t>
  </si>
  <si>
    <t>Densitet</t>
  </si>
  <si>
    <t>Kinematisk viskositet</t>
  </si>
  <si>
    <t>[Cº]</t>
  </si>
  <si>
    <t>Tabel 3</t>
  </si>
  <si>
    <t>Skorsten af svejste stålrør/kanaler</t>
  </si>
  <si>
    <t>Skorsten af let rustne svejste stålrør/kanaler</t>
  </si>
  <si>
    <t>Skorsten af belagte rør/kanaler</t>
  </si>
  <si>
    <t>Medie</t>
  </si>
  <si>
    <t>Rørmateriale og absolut sandruheder</t>
  </si>
  <si>
    <t>Rørmateriale:</t>
  </si>
  <si>
    <t>Temperatur [ºC]</t>
  </si>
  <si>
    <t>Flow (vælg enhed)</t>
  </si>
  <si>
    <t>Enhed</t>
  </si>
  <si>
    <t>Omregningsfaktor</t>
  </si>
  <si>
    <t>kg/h</t>
  </si>
  <si>
    <t>l/s</t>
  </si>
  <si>
    <t>l/h</t>
  </si>
  <si>
    <t>m3/h</t>
  </si>
  <si>
    <t>m3/s</t>
  </si>
  <si>
    <t>Opslag densitet</t>
  </si>
  <si>
    <t>Opslag kinematisk viskosistet</t>
  </si>
  <si>
    <t>Tabel 4</t>
  </si>
  <si>
    <t>Opslag ruhed</t>
  </si>
  <si>
    <t>Cellekæde omregningsfaktor flow</t>
  </si>
  <si>
    <t>Cellekæde temperatur:</t>
  </si>
  <si>
    <t>Cellekæde rørtype</t>
  </si>
  <si>
    <t>Cellekæde medie:</t>
  </si>
  <si>
    <t>Omregning flow til m3/s</t>
  </si>
  <si>
    <t>Opslag omregningfaktor flow</t>
  </si>
  <si>
    <t>Beregning rørareal [m²]</t>
  </si>
  <si>
    <t>Beregning hastighed [m/s]</t>
  </si>
  <si>
    <t>Beregning Reynolds tal</t>
  </si>
  <si>
    <t>Efter Colebrook-White´s formel</t>
  </si>
  <si>
    <r>
      <t xml:space="preserve">Kobberrør </t>
    </r>
    <r>
      <rPr>
        <u/>
        <sz val="10"/>
        <rFont val="Arial"/>
        <family val="2"/>
      </rPr>
      <t>med</t>
    </r>
    <r>
      <rPr>
        <sz val="10"/>
        <rFont val="Arial"/>
        <family val="2"/>
      </rPr>
      <t xml:space="preserve"> kalkafsætning (DS2110)</t>
    </r>
  </si>
  <si>
    <r>
      <t xml:space="preserve">Kobberrør </t>
    </r>
    <r>
      <rPr>
        <u/>
        <sz val="10"/>
        <rFont val="Arial"/>
        <family val="2"/>
      </rPr>
      <t>uden</t>
    </r>
    <r>
      <rPr>
        <sz val="10"/>
        <rFont val="Arial"/>
        <family val="2"/>
      </rPr>
      <t xml:space="preserve"> kalkafsætning (DS2110)</t>
    </r>
  </si>
  <si>
    <t>[pa]</t>
  </si>
  <si>
    <t>[pa/m]</t>
  </si>
  <si>
    <r>
      <t>Dynamisk tryk p</t>
    </r>
    <r>
      <rPr>
        <b/>
        <sz val="8"/>
        <rFont val="Arial"/>
        <family val="2"/>
      </rPr>
      <t>d</t>
    </r>
  </si>
  <si>
    <t>Tor Wadmark</t>
  </si>
  <si>
    <t xml:space="preserve">diameter gæt </t>
  </si>
  <si>
    <t>VS</t>
  </si>
  <si>
    <t>HS</t>
  </si>
  <si>
    <t>pa/m</t>
  </si>
  <si>
    <t>mm</t>
  </si>
  <si>
    <t>m³/s</t>
  </si>
  <si>
    <t>kg/m³</t>
  </si>
  <si>
    <t>[m²/s]</t>
  </si>
  <si>
    <t>ruhed</t>
  </si>
  <si>
    <t>l</t>
  </si>
  <si>
    <t>m</t>
  </si>
  <si>
    <t>Tor Wadmarks ligning</t>
  </si>
  <si>
    <t>HS*1000</t>
  </si>
  <si>
    <t>qv</t>
  </si>
  <si>
    <t>Rdisp</t>
  </si>
  <si>
    <t xml:space="preserve">Diameter som funktion af flow og tryktabsgradient </t>
  </si>
  <si>
    <t>Tabel 2 - stofværdier</t>
  </si>
  <si>
    <t>Vand</t>
  </si>
  <si>
    <t>Hastighed v</t>
  </si>
  <si>
    <t>[m/s]</t>
  </si>
  <si>
    <r>
      <t>Min. indvendig diameter d</t>
    </r>
    <r>
      <rPr>
        <sz val="8"/>
        <rFont val="Arial"/>
        <family val="2"/>
      </rPr>
      <t>i</t>
    </r>
  </si>
  <si>
    <r>
      <t>Indvendig diameter d</t>
    </r>
    <r>
      <rPr>
        <b/>
        <sz val="8"/>
        <rFont val="Arial"/>
        <family val="2"/>
      </rPr>
      <t xml:space="preserve">i </t>
    </r>
    <r>
      <rPr>
        <b/>
        <sz val="10"/>
        <rFont val="Arial"/>
        <family val="2"/>
      </rPr>
      <t>/</t>
    </r>
    <r>
      <rPr>
        <b/>
        <sz val="8"/>
        <rFont val="Arial"/>
        <family val="2"/>
      </rPr>
      <t xml:space="preserve"> </t>
    </r>
    <r>
      <rPr>
        <b/>
        <sz val="10"/>
        <rFont val="Arial"/>
        <family val="2"/>
      </rPr>
      <t>d</t>
    </r>
    <r>
      <rPr>
        <b/>
        <sz val="8"/>
        <rFont val="Arial"/>
        <family val="2"/>
      </rPr>
      <t>h</t>
    </r>
  </si>
  <si>
    <r>
      <t xml:space="preserve">Kinematisk viskositet </t>
    </r>
    <r>
      <rPr>
        <sz val="10"/>
        <rFont val="Symbol"/>
        <family val="1"/>
        <charset val="2"/>
      </rPr>
      <t>n</t>
    </r>
    <r>
      <rPr>
        <sz val="10"/>
        <rFont val="Arial"/>
        <family val="2"/>
      </rPr>
      <t xml:space="preserve"> [m²/s]</t>
    </r>
  </si>
  <si>
    <r>
      <t xml:space="preserve">Densitet </t>
    </r>
    <r>
      <rPr>
        <sz val="10"/>
        <rFont val="Symbol"/>
        <family val="1"/>
        <charset val="2"/>
      </rPr>
      <t>r</t>
    </r>
    <r>
      <rPr>
        <sz val="10"/>
        <rFont val="Arial"/>
        <family val="2"/>
      </rPr>
      <t xml:space="preserve"> [kg/m³]</t>
    </r>
  </si>
  <si>
    <t>Vand/Glycol</t>
  </si>
  <si>
    <t>Luft</t>
  </si>
  <si>
    <t>Vand (0-100ºC), Luft (-20-300ºC)</t>
  </si>
  <si>
    <t>Rørmateriale og dimensioner</t>
  </si>
  <si>
    <t>Nominel dim.</t>
  </si>
  <si>
    <t>Di 1</t>
  </si>
  <si>
    <t>Di 2</t>
  </si>
  <si>
    <t>Di 3</t>
  </si>
  <si>
    <t>Di 4</t>
  </si>
  <si>
    <t>Di 5</t>
  </si>
  <si>
    <t>Di 6</t>
  </si>
  <si>
    <t>Di 7</t>
  </si>
  <si>
    <t>Di 8</t>
  </si>
  <si>
    <t>Di 9</t>
  </si>
  <si>
    <t>Di 10</t>
  </si>
  <si>
    <t>Di 11</t>
  </si>
  <si>
    <t>Di 12</t>
  </si>
  <si>
    <t>Di 13</t>
  </si>
  <si>
    <t>Di 14</t>
  </si>
  <si>
    <t>Di 15</t>
  </si>
  <si>
    <t>Di 16</t>
  </si>
  <si>
    <t>Di 17</t>
  </si>
  <si>
    <t>Di 18</t>
  </si>
  <si>
    <t>Di 19</t>
  </si>
  <si>
    <t>Di 20</t>
  </si>
  <si>
    <t>Støbejernsrør SG-rør klasse K9</t>
  </si>
  <si>
    <t>PVC-rør (DS972) PN10</t>
  </si>
  <si>
    <t>PEL-rør (DS719) PN10</t>
  </si>
  <si>
    <t>PEM- og PEH-rør (DS2129) PN10</t>
  </si>
  <si>
    <t>AluPEX-rør</t>
  </si>
  <si>
    <t>Ø63</t>
  </si>
  <si>
    <t>Ø80</t>
  </si>
  <si>
    <t>Ø100</t>
  </si>
  <si>
    <t>Ø125</t>
  </si>
  <si>
    <t>Ø160</t>
  </si>
  <si>
    <t>Ø200</t>
  </si>
  <si>
    <t>Ø250</t>
  </si>
  <si>
    <t>Ø315</t>
  </si>
  <si>
    <t>Ø400</t>
  </si>
  <si>
    <t>Ø450</t>
  </si>
  <si>
    <t>Ø500</t>
  </si>
  <si>
    <t>Ø560</t>
  </si>
  <si>
    <t>Ø630</t>
  </si>
  <si>
    <t>Ø710</t>
  </si>
  <si>
    <t>Ø800</t>
  </si>
  <si>
    <t>Ø900</t>
  </si>
  <si>
    <t>Ø1000</t>
  </si>
  <si>
    <t>Ø1250</t>
  </si>
  <si>
    <t>Ø1400</t>
  </si>
  <si>
    <t xml:space="preserve">Efter Tor Wadmarks formel (afvigelse fra Colebrook-White er ca. -1/+3% </t>
  </si>
  <si>
    <t>Udvalgte handelsdimensioner og indvendige diametre [mm]</t>
  </si>
  <si>
    <r>
      <t>d</t>
    </r>
    <r>
      <rPr>
        <b/>
        <sz val="8"/>
        <rFont val="Arial"/>
        <family val="2"/>
      </rPr>
      <t>i</t>
    </r>
  </si>
  <si>
    <t>Ø1500</t>
  </si>
  <si>
    <t>Varmforzinkede stålrør DIN2444 (gevindrør) med afsætning</t>
  </si>
  <si>
    <t>-</t>
  </si>
  <si>
    <t>DN 1</t>
  </si>
  <si>
    <t>DN 2</t>
  </si>
  <si>
    <t>DN 3</t>
  </si>
  <si>
    <t>DN 4</t>
  </si>
  <si>
    <t>DN 5</t>
  </si>
  <si>
    <t>DN 6</t>
  </si>
  <si>
    <t>DN 7</t>
  </si>
  <si>
    <t>DN 8</t>
  </si>
  <si>
    <t>DN 9</t>
  </si>
  <si>
    <t>DN 10</t>
  </si>
  <si>
    <t>DN 11</t>
  </si>
  <si>
    <t>DN 12</t>
  </si>
  <si>
    <t>DN 13</t>
  </si>
  <si>
    <t>DN 14</t>
  </si>
  <si>
    <t>DN 15</t>
  </si>
  <si>
    <t>DN 16</t>
  </si>
  <si>
    <t>DN 17</t>
  </si>
  <si>
    <t>DN 18</t>
  </si>
  <si>
    <t>DN 19</t>
  </si>
  <si>
    <t>DN 20</t>
  </si>
  <si>
    <t>6x0,8</t>
  </si>
  <si>
    <t>8x0,8</t>
  </si>
  <si>
    <t>10x0,8</t>
  </si>
  <si>
    <t>12x1,0</t>
  </si>
  <si>
    <t>15x1,0</t>
  </si>
  <si>
    <t>18x1,0</t>
  </si>
  <si>
    <t>22x1,0</t>
  </si>
  <si>
    <t>28x1,2</t>
  </si>
  <si>
    <t>35x1,5</t>
  </si>
  <si>
    <t>42x1,5</t>
  </si>
  <si>
    <t>54x1,5</t>
  </si>
  <si>
    <t>10x1,8</t>
  </si>
  <si>
    <t>12x2,0</t>
  </si>
  <si>
    <t>15x2,5</t>
  </si>
  <si>
    <t>18x2,5</t>
  </si>
  <si>
    <t>22x3,0</t>
  </si>
  <si>
    <t>28x4,0</t>
  </si>
  <si>
    <t>14x2,0</t>
  </si>
  <si>
    <t>16x2,0</t>
  </si>
  <si>
    <t>18x2,0</t>
  </si>
  <si>
    <t>20x2,25</t>
  </si>
  <si>
    <t>25x2,5</t>
  </si>
  <si>
    <t>AluPEX-rør (Wavin)</t>
  </si>
  <si>
    <t>32x3,0</t>
  </si>
  <si>
    <t>40x4,0</t>
  </si>
  <si>
    <t>50x4,5</t>
  </si>
  <si>
    <t>63x6,0</t>
  </si>
  <si>
    <t>Fjernvarmeledninger, glatte sømløse stålrør DIN2448</t>
  </si>
  <si>
    <t>Middelsvære gevindrør (stål) DIN2440</t>
  </si>
  <si>
    <t>33,7x2,6</t>
  </si>
  <si>
    <t>38,0x2,6</t>
  </si>
  <si>
    <t>42,4x2,6</t>
  </si>
  <si>
    <t>48,3x2,6</t>
  </si>
  <si>
    <t>60,3x2,9</t>
  </si>
  <si>
    <t>70,0x2,9</t>
  </si>
  <si>
    <t>76,1x2,9</t>
  </si>
  <si>
    <t>88,9x3,2</t>
  </si>
  <si>
    <t>108,0x3,6</t>
  </si>
  <si>
    <t>114,3x3,6</t>
  </si>
  <si>
    <t>133,0x4,0</t>
  </si>
  <si>
    <t>139,7x4,0</t>
  </si>
  <si>
    <t>159,0x4,5</t>
  </si>
  <si>
    <t>168,3x4,5</t>
  </si>
  <si>
    <t>193,7x5,4</t>
  </si>
  <si>
    <t>219,1x5,9</t>
  </si>
  <si>
    <t>244,5x6,3</t>
  </si>
  <si>
    <t>273,0x6,3</t>
  </si>
  <si>
    <t>323,9x7,1</t>
  </si>
  <si>
    <t>355,6x8,0</t>
  </si>
  <si>
    <t>Rustfri stålrør DIN 10088 (Blücher Mapress)</t>
  </si>
  <si>
    <t>22x1,2</t>
  </si>
  <si>
    <t>76,1x2,0</t>
  </si>
  <si>
    <t>88,9x2,0</t>
  </si>
  <si>
    <t>108x2,0</t>
  </si>
  <si>
    <t>Spiralfalsede galvaniserede ventilationskanaler</t>
  </si>
  <si>
    <t>Rustfri stålrør med kalkafsætning DIN 10088 (Blücher Mapress)</t>
  </si>
  <si>
    <t>Rustfri stålrør uden kalkafsætning DIN 10088 (Blücher Mapress)</t>
  </si>
  <si>
    <t>32x2,0</t>
  </si>
  <si>
    <t>32x4,4</t>
  </si>
  <si>
    <t>40x5,5</t>
  </si>
  <si>
    <t>50x6,9</t>
  </si>
  <si>
    <t>63x8,7</t>
  </si>
  <si>
    <t>75x10,3</t>
  </si>
  <si>
    <t>90x12,3</t>
  </si>
  <si>
    <t>110x15,1</t>
  </si>
  <si>
    <t>40x3,7</t>
  </si>
  <si>
    <t>50x4,6</t>
  </si>
  <si>
    <t>63x5,8</t>
  </si>
  <si>
    <t>75x6,9</t>
  </si>
  <si>
    <t>90x8,2</t>
  </si>
  <si>
    <t>110x10</t>
  </si>
  <si>
    <t>PEX-rør PN10 (Wirsbo-PEX)</t>
  </si>
  <si>
    <t>PEX-rør PN6 (Wirsbo evalPEX)</t>
  </si>
  <si>
    <t>Tryktabsgradient i cirkulære rør og kanaler</t>
  </si>
  <si>
    <t>Tryktabsgradient R</t>
  </si>
  <si>
    <t>Tryktabsgradient  R</t>
  </si>
  <si>
    <t>Tryktabsgradient som funktion af flow og diameter</t>
  </si>
  <si>
    <t>Copyright: Thomas Kjems Lyngvad - 2006</t>
  </si>
  <si>
    <t>Betaversion 1.3</t>
  </si>
  <si>
    <t>Number</t>
  </si>
  <si>
    <t>Specified Supply Airflow</t>
  </si>
  <si>
    <t>Specified Return Airflow</t>
  </si>
  <si>
    <t>Area</t>
  </si>
  <si>
    <t>Room: Department</t>
  </si>
  <si>
    <t>Indendig Diameter</t>
  </si>
  <si>
    <t>Luftmængde</t>
  </si>
  <si>
    <t>Rumnavne</t>
  </si>
  <si>
    <t>Min. Invendig Diamenter (Tryktabsgradient 0,7)</t>
  </si>
  <si>
    <t>qv2</t>
  </si>
  <si>
    <t>qv3</t>
  </si>
  <si>
    <t>qv4</t>
  </si>
  <si>
    <t>Iteration qv2</t>
  </si>
  <si>
    <t>Iteration qv</t>
  </si>
  <si>
    <t>Iteration qv4</t>
  </si>
  <si>
    <t>Iteration qv3</t>
  </si>
  <si>
    <t>Fagtorv Science</t>
  </si>
  <si>
    <t>HC toilet</t>
  </si>
  <si>
    <t>Samlingssted</t>
  </si>
  <si>
    <t>Ophold/Gang/Udstilling</t>
  </si>
  <si>
    <t>Fagtorv Samfund</t>
  </si>
  <si>
    <t>Vindfang</t>
  </si>
  <si>
    <t>Musikundervisning</t>
  </si>
  <si>
    <t>Drama Lokale</t>
  </si>
  <si>
    <t>Mørkekammer</t>
  </si>
  <si>
    <t>Matematik</t>
  </si>
  <si>
    <t>Samfundsfag</t>
  </si>
  <si>
    <t>Dame toiletter</t>
  </si>
  <si>
    <t>Toilet</t>
  </si>
  <si>
    <t>Herre toiletter</t>
  </si>
  <si>
    <t>Ophold/Gang</t>
  </si>
  <si>
    <t>Musik Samspil</t>
  </si>
  <si>
    <t>Mediefagslokale</t>
  </si>
  <si>
    <t>Psykologi</t>
  </si>
  <si>
    <t>Religion</t>
  </si>
  <si>
    <t>klasseværelse m. gr. undervisning</t>
  </si>
  <si>
    <t>Toiletter</t>
  </si>
  <si>
    <t>Depot til stoleopbevaring</t>
  </si>
  <si>
    <t>Rengøring</t>
  </si>
  <si>
    <t>Grupperum</t>
  </si>
  <si>
    <t>Depot mediefag</t>
  </si>
  <si>
    <t>Depot Musik</t>
  </si>
  <si>
    <t>Lærerforberedelse</t>
  </si>
  <si>
    <t>Auditorium - eks. rum</t>
  </si>
  <si>
    <t>Ankomstgang</t>
  </si>
  <si>
    <t>Fordelingsgang</t>
  </si>
  <si>
    <t>Indgang omklædning</t>
  </si>
  <si>
    <t>Idrætshal</t>
  </si>
  <si>
    <t>Spejlsal</t>
  </si>
  <si>
    <t>Motionsrum</t>
  </si>
  <si>
    <t>Undervisning</t>
  </si>
  <si>
    <t>Omklædning piger</t>
  </si>
  <si>
    <t>Omklædning lærere</t>
  </si>
  <si>
    <t>Omklædning Drenge</t>
  </si>
  <si>
    <t>Forrum</t>
  </si>
  <si>
    <t>Teknik</t>
  </si>
  <si>
    <t>Udedepot</t>
  </si>
  <si>
    <t>Depot til møbelopbevaring</t>
  </si>
  <si>
    <t>Bio Teori 1 - Eks lokale</t>
  </si>
  <si>
    <t>Fysik Teori 1 - eks. Lokale</t>
  </si>
  <si>
    <t>Fysikdepot</t>
  </si>
  <si>
    <t>Fysik lab - eks. Lokale</t>
  </si>
  <si>
    <t>Fysik Lab</t>
  </si>
  <si>
    <t>eks. Naturgeo, Teori</t>
  </si>
  <si>
    <t>Klasselokale</t>
  </si>
  <si>
    <t>Food Laboratorium</t>
  </si>
  <si>
    <t>eks. Forrum</t>
  </si>
  <si>
    <t>eks. Toilet</t>
  </si>
  <si>
    <t>Toliet - Eks</t>
  </si>
  <si>
    <t>Kemilab - eks. Lokale</t>
  </si>
  <si>
    <t>Biologilab - Eks Lokale</t>
  </si>
  <si>
    <t>Biolab</t>
  </si>
  <si>
    <t>Science</t>
  </si>
  <si>
    <t>Klasselokale 32 elever</t>
  </si>
  <si>
    <t>Bio/kemi depot</t>
  </si>
  <si>
    <t>Glasdepot</t>
  </si>
  <si>
    <t>eks. teknikrum auditorie</t>
  </si>
  <si>
    <t>A001</t>
  </si>
  <si>
    <t>A002</t>
  </si>
  <si>
    <t>A101</t>
  </si>
  <si>
    <t>A102</t>
  </si>
  <si>
    <t>A103</t>
  </si>
  <si>
    <t>A104</t>
  </si>
  <si>
    <t>A105</t>
  </si>
  <si>
    <t>A106</t>
  </si>
  <si>
    <t>A111</t>
  </si>
  <si>
    <t>A112</t>
  </si>
  <si>
    <t>A113</t>
  </si>
  <si>
    <t>A113M1</t>
  </si>
  <si>
    <t>A114</t>
  </si>
  <si>
    <t>A115</t>
  </si>
  <si>
    <t>A116</t>
  </si>
  <si>
    <t>A117</t>
  </si>
  <si>
    <t>A118</t>
  </si>
  <si>
    <t>A119</t>
  </si>
  <si>
    <t>A120</t>
  </si>
  <si>
    <t>A121</t>
  </si>
  <si>
    <t>A122</t>
  </si>
  <si>
    <t>A123</t>
  </si>
  <si>
    <t>A124</t>
  </si>
  <si>
    <t>A125</t>
  </si>
  <si>
    <t>A127</t>
  </si>
  <si>
    <t>A128</t>
  </si>
  <si>
    <t>A129</t>
  </si>
  <si>
    <t>A130</t>
  </si>
  <si>
    <t>A131</t>
  </si>
  <si>
    <t>A132</t>
  </si>
  <si>
    <t>A133</t>
  </si>
  <si>
    <t>A134</t>
  </si>
  <si>
    <t>A135</t>
  </si>
  <si>
    <t>A136</t>
  </si>
  <si>
    <t>A137</t>
  </si>
  <si>
    <t>A138</t>
  </si>
  <si>
    <t>A139</t>
  </si>
  <si>
    <t>A140</t>
  </si>
  <si>
    <t>A202</t>
  </si>
  <si>
    <t>A203</t>
  </si>
  <si>
    <t>A205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</si>
  <si>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</si>
  <si>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</si>
  <si>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</si>
  <si>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</si>
  <si>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</si>
  <si>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</si>
  <si>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</si>
  <si>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</si>
  <si>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</si>
  <si>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</si>
  <si>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</si>
  <si>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A231</t>
  </si>
  <si>
    <t>A232</t>
  </si>
  <si>
    <t>A233</t>
  </si>
  <si>
    <t>A234</t>
  </si>
  <si>
    <t>A235</t>
  </si>
  <si>
    <t>A236</t>
  </si>
  <si>
    <t>A237</t>
  </si>
  <si>
    <t>A238</t>
  </si>
  <si>
    <t>A239</t>
  </si>
  <si>
    <t>AG111</t>
  </si>
  <si>
    <t>AG112</t>
  </si>
  <si>
    <t>AG113</t>
  </si>
  <si>
    <t>AG211</t>
  </si>
  <si>
    <t>AG212</t>
  </si>
  <si>
    <t>AG213</t>
  </si>
  <si>
    <t>AG214</t>
  </si>
  <si>
    <t>AG216</t>
  </si>
  <si>
    <t>AG217</t>
  </si>
  <si>
    <t>AG218</t>
  </si>
  <si>
    <t>AG219</t>
  </si>
  <si>
    <t>AG220</t>
  </si>
  <si>
    <t>AG221</t>
  </si>
  <si>
    <t>AG222</t>
  </si>
  <si>
    <t>AG223</t>
  </si>
  <si>
    <t>AG224</t>
  </si>
  <si>
    <t>AG225</t>
  </si>
  <si>
    <t>AG226</t>
  </si>
  <si>
    <t>AG227</t>
  </si>
  <si>
    <t>AG228</t>
  </si>
  <si>
    <t>AG229</t>
  </si>
  <si>
    <t>AG230</t>
  </si>
  <si>
    <t>Audit,</t>
  </si>
  <si>
    <t>H101</t>
  </si>
  <si>
    <t>H102</t>
  </si>
  <si>
    <t>H103</t>
  </si>
  <si>
    <t>H104</t>
  </si>
  <si>
    <t>H105</t>
  </si>
  <si>
    <t>H110</t>
  </si>
  <si>
    <t>H111</t>
  </si>
  <si>
    <t>H112</t>
  </si>
  <si>
    <t>H113</t>
  </si>
  <si>
    <t>H120</t>
  </si>
  <si>
    <t>H121</t>
  </si>
  <si>
    <t>H122</t>
  </si>
  <si>
    <t>H130</t>
  </si>
  <si>
    <t>H131</t>
  </si>
  <si>
    <t>H132</t>
  </si>
  <si>
    <t>H133</t>
  </si>
  <si>
    <t>H134</t>
  </si>
  <si>
    <t>H135</t>
  </si>
  <si>
    <t>H150</t>
  </si>
  <si>
    <t>H151</t>
  </si>
  <si>
    <t>H152</t>
  </si>
  <si>
    <t>H155</t>
  </si>
  <si>
    <t>M202</t>
  </si>
  <si>
    <t>M203</t>
  </si>
  <si>
    <t>N101</t>
  </si>
  <si>
    <t>N102</t>
  </si>
  <si>
    <t>N103</t>
  </si>
  <si>
    <t>N111L</t>
  </si>
  <si>
    <t>N112</t>
  </si>
  <si>
    <t>N113D</t>
  </si>
  <si>
    <t>N113L</t>
  </si>
  <si>
    <t>N114L</t>
  </si>
  <si>
    <t>N115</t>
  </si>
  <si>
    <t>N116</t>
  </si>
  <si>
    <t>N117</t>
  </si>
  <si>
    <t>N118</t>
  </si>
  <si>
    <t>N119</t>
  </si>
  <si>
    <t>N120</t>
  </si>
  <si>
    <t>N121</t>
  </si>
  <si>
    <t>N122</t>
  </si>
  <si>
    <t>N123</t>
  </si>
  <si>
    <t>N124</t>
  </si>
  <si>
    <t>N125</t>
  </si>
  <si>
    <t>N126</t>
  </si>
  <si>
    <t>N127</t>
  </si>
  <si>
    <t>N128</t>
  </si>
  <si>
    <t>N129</t>
  </si>
  <si>
    <t>N130</t>
  </si>
  <si>
    <t>N131</t>
  </si>
  <si>
    <t>N201</t>
  </si>
  <si>
    <t>N202</t>
  </si>
  <si>
    <t>N211L</t>
  </si>
  <si>
    <t>N212L</t>
  </si>
  <si>
    <t>N213L</t>
  </si>
  <si>
    <t>N214</t>
  </si>
  <si>
    <t>N215</t>
  </si>
  <si>
    <t>N216</t>
  </si>
  <si>
    <t>N217</t>
  </si>
  <si>
    <t>N218</t>
  </si>
  <si>
    <t>N219</t>
  </si>
  <si>
    <t>N220</t>
  </si>
  <si>
    <t>N221</t>
  </si>
  <si>
    <t>N222</t>
  </si>
  <si>
    <t>N223</t>
  </si>
  <si>
    <t>N224</t>
  </si>
  <si>
    <t>NG212</t>
  </si>
  <si>
    <t>NG213</t>
  </si>
  <si>
    <t>NG221</t>
  </si>
  <si>
    <t>630,0 m³/h</t>
  </si>
  <si>
    <t>36,0 m³/h</t>
  </si>
  <si>
    <t>0,0 m³/h</t>
  </si>
  <si>
    <t>450,0 m³/h</t>
  </si>
  <si>
    <t>665,0 m³/h</t>
  </si>
  <si>
    <t>1000,0 m³/h</t>
  </si>
  <si>
    <t>1100,0 m³/h</t>
  </si>
  <si>
    <t>360,0 m³/h</t>
  </si>
  <si>
    <t>252,0 m³/h</t>
  </si>
  <si>
    <t>400,0 m³/h</t>
  </si>
  <si>
    <t>180,0 m³/h</t>
  </si>
  <si>
    <t>1200,0 m³/h</t>
  </si>
  <si>
    <t>1300,0 m³/h</t>
  </si>
  <si>
    <t>900,0 m³/h</t>
  </si>
  <si>
    <t>290,0 m³/h</t>
  </si>
  <si>
    <t>108,0 m³/h</t>
  </si>
  <si>
    <t>200,0 m³/h</t>
  </si>
  <si>
    <t>23100,0 m³/h</t>
  </si>
  <si>
    <t>1500,0 m³/h</t>
  </si>
  <si>
    <t>1532,0 m³/h</t>
  </si>
  <si>
    <t>468,0 m³/h</t>
  </si>
  <si>
    <t>731,0 m³/h</t>
  </si>
  <si>
    <t>144,0 m³/h</t>
  </si>
  <si>
    <t>81,0 m³/h</t>
  </si>
  <si>
    <t>50,0 m³/h</t>
  </si>
  <si>
    <t>155,0 m³/h</t>
  </si>
  <si>
    <t>410,0 m³/h</t>
  </si>
  <si>
    <t>630,</t>
  </si>
  <si>
    <t>36,0</t>
  </si>
  <si>
    <t xml:space="preserve">0,0 </t>
  </si>
  <si>
    <t>450,</t>
  </si>
  <si>
    <t>665,</t>
  </si>
  <si>
    <t>1000</t>
  </si>
  <si>
    <t>1100</t>
  </si>
  <si>
    <t>360,</t>
  </si>
  <si>
    <t>252,</t>
  </si>
  <si>
    <t>400,</t>
  </si>
  <si>
    <t>180,</t>
  </si>
  <si>
    <t>1200</t>
  </si>
  <si>
    <t>44 m²</t>
  </si>
  <si>
    <t>5 m²</t>
  </si>
  <si>
    <t>456 m²</t>
  </si>
  <si>
    <t>146 m²</t>
  </si>
  <si>
    <t>208 m²</t>
  </si>
  <si>
    <t>7 m²</t>
  </si>
  <si>
    <t>86 m²</t>
  </si>
  <si>
    <t>67 m²</t>
  </si>
  <si>
    <t>91 m²</t>
  </si>
  <si>
    <t>6 m²</t>
  </si>
  <si>
    <t>84 m²</t>
  </si>
  <si>
    <t>64 m²</t>
  </si>
  <si>
    <t>63 m²</t>
  </si>
  <si>
    <t>62 m²</t>
  </si>
  <si>
    <t>13 m²</t>
  </si>
  <si>
    <t>2 m²</t>
  </si>
  <si>
    <t>12 m²</t>
  </si>
  <si>
    <t>32 m²</t>
  </si>
  <si>
    <t>156 m²</t>
  </si>
  <si>
    <t>26 m²</t>
  </si>
  <si>
    <t>61 m²</t>
  </si>
  <si>
    <t>9 m²</t>
  </si>
  <si>
    <t>3 m²</t>
  </si>
  <si>
    <t>1 m²</t>
  </si>
  <si>
    <t>27 m²</t>
  </si>
  <si>
    <t>10 m²</t>
  </si>
  <si>
    <t>8 m²</t>
  </si>
  <si>
    <t>11 m²</t>
  </si>
  <si>
    <t>14 m²</t>
  </si>
  <si>
    <t>155 m²</t>
  </si>
  <si>
    <t>41 m²</t>
  </si>
  <si>
    <t>31 m²</t>
  </si>
  <si>
    <t>25 m²</t>
  </si>
  <si>
    <t>986 m²</t>
  </si>
  <si>
    <t>101 m²</t>
  </si>
  <si>
    <t>93 m²</t>
  </si>
  <si>
    <t>55 m²</t>
  </si>
  <si>
    <t>89 m²</t>
  </si>
  <si>
    <t>57 m²</t>
  </si>
  <si>
    <t>108 m²</t>
  </si>
  <si>
    <t>50 m²</t>
  </si>
  <si>
    <t>119 m²</t>
  </si>
  <si>
    <t>75 m²</t>
  </si>
  <si>
    <t>72 m²</t>
  </si>
  <si>
    <t>36 m²</t>
  </si>
  <si>
    <t>81 m²</t>
  </si>
  <si>
    <t>73 m²</t>
  </si>
  <si>
    <t>58 m²</t>
  </si>
  <si>
    <t>65 m²</t>
  </si>
  <si>
    <t>47 m²</t>
  </si>
  <si>
    <t>82 m²</t>
  </si>
  <si>
    <t>46 m²</t>
  </si>
  <si>
    <t>167 m²</t>
  </si>
  <si>
    <t>15 m²</t>
  </si>
  <si>
    <t>eksisterende</t>
  </si>
  <si>
    <t>fælles</t>
  </si>
  <si>
    <t>GANG</t>
  </si>
  <si>
    <t>samf</t>
  </si>
  <si>
    <t>Kunst</t>
  </si>
  <si>
    <t>ombyg</t>
  </si>
  <si>
    <t>toilet</t>
  </si>
  <si>
    <t>hal gang</t>
  </si>
  <si>
    <t>hal</t>
  </si>
  <si>
    <t>hal toilet</t>
  </si>
  <si>
    <t>TEK</t>
  </si>
  <si>
    <t>science</t>
  </si>
  <si>
    <t>toiletscience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</si>
</sst>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00"/>
    <numFmt numFmtId="166" formatCode="0.0000"/>
    <numFmt numFmtId="167" formatCode="0.0000000000"/>
    <numFmt numFmtId="168" formatCode="0.000000000"/>
  </numFmts>
  <fonts count="22" x14ac:knownFonts="1">
    <font>
      <sz val="10"/>
      <name val="Arial"/>
    </font>
    <font>
      <b/>
      <sz val="10"/>
      <name val="Arial"/>
      <family val="2"/>
    </font>
    <font>
      <b/>
      <sz val="10"/>
      <color indexed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i/>
      <sz val="10"/>
      <name val="Arial"/>
      <family val="2"/>
    </font>
    <font>
      <sz val="8"/>
      <name val="Arial"/>
      <family val="2"/>
    </font>
    <font>
      <i/>
      <sz val="10"/>
      <name val="Times New Roman"/>
      <family val="1"/>
    </font>
    <font>
      <b/>
      <sz val="8"/>
      <name val="Arial"/>
      <family val="2"/>
    </font>
    <font>
      <u/>
      <sz val="10"/>
      <name val="Arial"/>
      <family val="2"/>
    </font>
    <font>
      <sz val="10"/>
      <color indexed="47"/>
      <name val="Arial"/>
      <family val="2"/>
    </font>
    <font>
      <sz val="10"/>
      <name val="Symbol"/>
      <family val="1"/>
      <charset val="2"/>
    </font>
    <font>
      <b/>
      <sz val="10"/>
      <name val="Arial"/>
      <family val="2"/>
    </font>
    <font>
      <b/>
      <sz val="10"/>
      <name val="Symbol"/>
      <family val="1"/>
      <charset val="2"/>
    </font>
    <font>
      <sz val="10"/>
      <name val="Arial"/>
      <family val="2"/>
    </font>
    <font>
      <sz val="12"/>
      <color indexed="47"/>
      <name val="Arial"/>
      <family val="2"/>
    </font>
    <font>
      <sz val="14"/>
      <name val="Verdana"/>
      <family val="2"/>
    </font>
    <font>
      <sz val="8"/>
      <color rgb="FF000000"/>
      <name val="Tahoma"/>
      <family val="2"/>
    </font>
    <font>
      <b/>
      <sz val="11"/>
      <name val="Calibri"/>
      <family val="2"/>
    </font>
    <font>
      <sz val="11"/>
      <color rgb="FF000000"/>
      <name val="Arial"/>
      <family val="2"/>
    </font>
    <font>
      <sz val="10"/>
      <color rgb="FF000000"/>
      <name val="Arial"/>
      <family val="2"/>
    </font>
    <font>
      <sz val="8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indexed="5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rgb="FFE5AF42"/>
      </patternFill>
    </fill>
  </fills>
  <borders count="4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2">
    <xf numFmtId="0" fontId="0" fillId="0" borderId="0"/>
    <xf numFmtId="0" fontId="18" fillId="12" borderId="0"/>
  </cellStyleXfs>
  <cellXfs count="227">
    <xf numFmtId="0" fontId="0" fillId="0" borderId="0" xfId="0"/>
    <xf numFmtId="0" fontId="1" fillId="0" borderId="0" xfId="0" applyFont="1"/>
    <xf numFmtId="0" fontId="0" fillId="0" borderId="0" xfId="0" applyBorder="1"/>
    <xf numFmtId="0" fontId="0" fillId="2" borderId="0" xfId="0" applyFill="1"/>
    <xf numFmtId="0" fontId="0" fillId="0" borderId="0" xfId="0" applyFill="1"/>
    <xf numFmtId="0" fontId="0" fillId="0" borderId="0" xfId="0" applyFill="1" applyBorder="1"/>
    <xf numFmtId="0" fontId="0" fillId="0" borderId="1" xfId="0" applyBorder="1"/>
    <xf numFmtId="0" fontId="0" fillId="0" borderId="2" xfId="0" applyBorder="1"/>
    <xf numFmtId="167" fontId="0" fillId="0" borderId="2" xfId="0" applyNumberFormat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0" fillId="3" borderId="11" xfId="0" applyFill="1" applyBorder="1" applyAlignment="1">
      <alignment horizontal="center"/>
    </xf>
    <xf numFmtId="0" fontId="0" fillId="3" borderId="12" xfId="0" applyFill="1" applyBorder="1"/>
    <xf numFmtId="0" fontId="0" fillId="3" borderId="13" xfId="0" applyFill="1" applyBorder="1"/>
    <xf numFmtId="0" fontId="0" fillId="3" borderId="14" xfId="0" applyFill="1" applyBorder="1"/>
    <xf numFmtId="0" fontId="0" fillId="4" borderId="15" xfId="0" applyFill="1" applyBorder="1"/>
    <xf numFmtId="0" fontId="0" fillId="4" borderId="0" xfId="0" applyFill="1" applyBorder="1"/>
    <xf numFmtId="0" fontId="0" fillId="4" borderId="16" xfId="0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0" fillId="4" borderId="12" xfId="0" applyFill="1" applyBorder="1"/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3" xfId="0" applyFill="1" applyBorder="1"/>
    <xf numFmtId="0" fontId="0" fillId="4" borderId="14" xfId="0" applyFill="1" applyBorder="1"/>
    <xf numFmtId="11" fontId="0" fillId="4" borderId="14" xfId="0" applyNumberFormat="1" applyFill="1" applyBorder="1"/>
    <xf numFmtId="0" fontId="0" fillId="4" borderId="9" xfId="0" applyFill="1" applyBorder="1"/>
    <xf numFmtId="0" fontId="0" fillId="4" borderId="10" xfId="0" applyFill="1" applyBorder="1"/>
    <xf numFmtId="0" fontId="0" fillId="4" borderId="11" xfId="0" applyFill="1" applyBorder="1"/>
    <xf numFmtId="0" fontId="0" fillId="5" borderId="3" xfId="0" applyFill="1" applyBorder="1"/>
    <xf numFmtId="0" fontId="0" fillId="5" borderId="4" xfId="0" applyFill="1" applyBorder="1"/>
    <xf numFmtId="0" fontId="0" fillId="5" borderId="9" xfId="0" applyFill="1" applyBorder="1" applyAlignment="1">
      <alignment horizontal="center"/>
    </xf>
    <xf numFmtId="0" fontId="0" fillId="5" borderId="10" xfId="0" applyFill="1" applyBorder="1" applyAlignment="1">
      <alignment horizontal="center"/>
    </xf>
    <xf numFmtId="0" fontId="0" fillId="5" borderId="11" xfId="0" applyFill="1" applyBorder="1"/>
    <xf numFmtId="0" fontId="0" fillId="6" borderId="17" xfId="0" applyFill="1" applyBorder="1"/>
    <xf numFmtId="0" fontId="2" fillId="0" borderId="18" xfId="0" applyFont="1" applyFill="1" applyBorder="1"/>
    <xf numFmtId="0" fontId="0" fillId="0" borderId="19" xfId="0" applyFill="1" applyBorder="1"/>
    <xf numFmtId="0" fontId="1" fillId="0" borderId="19" xfId="0" applyFont="1" applyFill="1" applyBorder="1"/>
    <xf numFmtId="0" fontId="1" fillId="0" borderId="20" xfId="0" applyFont="1" applyFill="1" applyBorder="1"/>
    <xf numFmtId="0" fontId="0" fillId="0" borderId="21" xfId="0" applyFill="1" applyBorder="1"/>
    <xf numFmtId="0" fontId="1" fillId="0" borderId="0" xfId="0" applyFont="1" applyFill="1" applyBorder="1" applyAlignment="1">
      <alignment horizontal="right"/>
    </xf>
    <xf numFmtId="0" fontId="0" fillId="0" borderId="17" xfId="0" applyFill="1" applyBorder="1"/>
    <xf numFmtId="0" fontId="0" fillId="0" borderId="22" xfId="0" applyFill="1" applyBorder="1"/>
    <xf numFmtId="0" fontId="0" fillId="0" borderId="23" xfId="0" applyFill="1" applyBorder="1"/>
    <xf numFmtId="0" fontId="0" fillId="0" borderId="24" xfId="0" applyFill="1" applyBorder="1"/>
    <xf numFmtId="0" fontId="1" fillId="0" borderId="23" xfId="0" applyFont="1" applyFill="1" applyBorder="1"/>
    <xf numFmtId="0" fontId="0" fillId="0" borderId="0" xfId="0" applyNumberFormat="1"/>
    <xf numFmtId="0" fontId="11" fillId="0" borderId="0" xfId="0" applyFont="1" applyAlignment="1">
      <alignment horizontal="center"/>
    </xf>
    <xf numFmtId="0" fontId="0" fillId="0" borderId="0" xfId="0" applyAlignment="1">
      <alignment horizontal="center"/>
    </xf>
    <xf numFmtId="167" fontId="0" fillId="0" borderId="0" xfId="0" applyNumberFormat="1"/>
    <xf numFmtId="164" fontId="0" fillId="0" borderId="0" xfId="0" applyNumberFormat="1" applyFill="1" applyBorder="1"/>
    <xf numFmtId="164" fontId="0" fillId="0" borderId="0" xfId="0" applyNumberFormat="1"/>
    <xf numFmtId="0" fontId="4" fillId="0" borderId="0" xfId="0" applyFont="1"/>
    <xf numFmtId="0" fontId="12" fillId="0" borderId="0" xfId="0" applyFont="1" applyAlignment="1">
      <alignment horizontal="center"/>
    </xf>
    <xf numFmtId="0" fontId="13" fillId="0" borderId="0" xfId="0" applyFont="1" applyAlignment="1">
      <alignment horizontal="center"/>
    </xf>
    <xf numFmtId="0" fontId="12" fillId="0" borderId="0" xfId="0" applyFont="1"/>
    <xf numFmtId="167" fontId="12" fillId="0" borderId="0" xfId="0" applyNumberFormat="1" applyFont="1" applyAlignment="1">
      <alignment horizontal="center"/>
    </xf>
    <xf numFmtId="167" fontId="12" fillId="0" borderId="0" xfId="0" applyNumberFormat="1" applyFont="1" applyAlignment="1">
      <alignment horizontal="right"/>
    </xf>
    <xf numFmtId="0" fontId="4" fillId="0" borderId="0" xfId="0" applyFont="1" applyAlignment="1"/>
    <xf numFmtId="167" fontId="4" fillId="0" borderId="0" xfId="0" applyNumberFormat="1" applyFont="1"/>
    <xf numFmtId="0" fontId="0" fillId="0" borderId="0" xfId="0" applyFill="1" applyBorder="1" applyAlignment="1">
      <alignment horizontal="center"/>
    </xf>
    <xf numFmtId="168" fontId="0" fillId="0" borderId="0" xfId="0" applyNumberFormat="1" applyFill="1" applyBorder="1"/>
    <xf numFmtId="0" fontId="0" fillId="5" borderId="25" xfId="0" applyFill="1" applyBorder="1"/>
    <xf numFmtId="164" fontId="0" fillId="6" borderId="0" xfId="0" applyNumberFormat="1" applyFill="1"/>
    <xf numFmtId="164" fontId="0" fillId="7" borderId="0" xfId="0" applyNumberFormat="1" applyFill="1" applyBorder="1" applyProtection="1">
      <protection locked="0"/>
    </xf>
    <xf numFmtId="0" fontId="1" fillId="0" borderId="0" xfId="0" applyFont="1" applyFill="1" applyBorder="1" applyAlignment="1"/>
    <xf numFmtId="165" fontId="0" fillId="0" borderId="0" xfId="0" applyNumberFormat="1" applyFill="1" applyBorder="1"/>
    <xf numFmtId="0" fontId="14" fillId="0" borderId="0" xfId="0" applyFont="1" applyFill="1" applyBorder="1" applyAlignment="1">
      <alignment horizontal="right"/>
    </xf>
    <xf numFmtId="0" fontId="14" fillId="0" borderId="0" xfId="0" applyFont="1" applyFill="1" applyBorder="1" applyAlignment="1">
      <alignment horizontal="center"/>
    </xf>
    <xf numFmtId="166" fontId="0" fillId="0" borderId="0" xfId="0" applyNumberFormat="1" applyFill="1" applyBorder="1"/>
    <xf numFmtId="167" fontId="0" fillId="0" borderId="0" xfId="0" applyNumberFormat="1" applyFill="1" applyBorder="1"/>
    <xf numFmtId="0" fontId="4" fillId="0" borderId="0" xfId="0" applyFont="1" applyFill="1" applyBorder="1" applyAlignment="1"/>
    <xf numFmtId="0" fontId="5" fillId="0" borderId="0" xfId="0" applyFont="1" applyFill="1" applyBorder="1" applyAlignment="1"/>
    <xf numFmtId="0" fontId="0" fillId="5" borderId="26" xfId="0" applyFill="1" applyBorder="1"/>
    <xf numFmtId="0" fontId="0" fillId="5" borderId="13" xfId="0" applyFill="1" applyBorder="1" applyAlignment="1">
      <alignment horizontal="center"/>
    </xf>
    <xf numFmtId="0" fontId="0" fillId="5" borderId="13" xfId="0" applyFill="1" applyBorder="1"/>
    <xf numFmtId="168" fontId="0" fillId="5" borderId="13" xfId="0" applyNumberFormat="1" applyFill="1" applyBorder="1"/>
    <xf numFmtId="164" fontId="0" fillId="5" borderId="13" xfId="0" applyNumberFormat="1" applyFill="1" applyBorder="1"/>
    <xf numFmtId="0" fontId="0" fillId="5" borderId="25" xfId="0" applyFill="1" applyBorder="1" applyAlignment="1">
      <alignment horizontal="center"/>
    </xf>
    <xf numFmtId="166" fontId="0" fillId="5" borderId="13" xfId="0" applyNumberFormat="1" applyFill="1" applyBorder="1"/>
    <xf numFmtId="167" fontId="0" fillId="5" borderId="13" xfId="0" applyNumberFormat="1" applyFill="1" applyBorder="1"/>
    <xf numFmtId="0" fontId="0" fillId="5" borderId="27" xfId="0" applyFill="1" applyBorder="1"/>
    <xf numFmtId="166" fontId="0" fillId="5" borderId="25" xfId="0" applyNumberFormat="1" applyFill="1" applyBorder="1"/>
    <xf numFmtId="0" fontId="0" fillId="5" borderId="28" xfId="0" applyFill="1" applyBorder="1" applyAlignment="1">
      <alignment horizontal="center"/>
    </xf>
    <xf numFmtId="0" fontId="0" fillId="5" borderId="12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167" fontId="0" fillId="5" borderId="25" xfId="0" applyNumberFormat="1" applyFill="1" applyBorder="1"/>
    <xf numFmtId="0" fontId="0" fillId="3" borderId="14" xfId="0" applyFill="1" applyBorder="1" applyAlignment="1">
      <alignment horizontal="right"/>
    </xf>
    <xf numFmtId="0" fontId="0" fillId="8" borderId="12" xfId="0" applyFill="1" applyBorder="1"/>
    <xf numFmtId="0" fontId="0" fillId="8" borderId="9" xfId="0" applyFill="1" applyBorder="1" applyAlignment="1">
      <alignment horizontal="center"/>
    </xf>
    <xf numFmtId="167" fontId="0" fillId="8" borderId="0" xfId="0" applyNumberFormat="1" applyFill="1" applyBorder="1"/>
    <xf numFmtId="0" fontId="0" fillId="8" borderId="0" xfId="0" applyFill="1" applyBorder="1"/>
    <xf numFmtId="0" fontId="0" fillId="8" borderId="0" xfId="0" applyFill="1"/>
    <xf numFmtId="0" fontId="0" fillId="8" borderId="3" xfId="0" applyFill="1" applyBorder="1"/>
    <xf numFmtId="0" fontId="0" fillId="8" borderId="4" xfId="0" applyFill="1" applyBorder="1"/>
    <xf numFmtId="0" fontId="0" fillId="8" borderId="16" xfId="0" applyFill="1" applyBorder="1"/>
    <xf numFmtId="0" fontId="0" fillId="8" borderId="6" xfId="0" applyFill="1" applyBorder="1"/>
    <xf numFmtId="0" fontId="0" fillId="8" borderId="7" xfId="0" applyFill="1" applyBorder="1"/>
    <xf numFmtId="0" fontId="0" fillId="8" borderId="10" xfId="0" applyFill="1" applyBorder="1" applyAlignment="1">
      <alignment horizontal="center"/>
    </xf>
    <xf numFmtId="0" fontId="0" fillId="8" borderId="13" xfId="0" applyFill="1" applyBorder="1"/>
    <xf numFmtId="0" fontId="0" fillId="8" borderId="9" xfId="0" applyFill="1" applyBorder="1"/>
    <xf numFmtId="0" fontId="0" fillId="8" borderId="11" xfId="0" applyFill="1" applyBorder="1"/>
    <xf numFmtId="0" fontId="0" fillId="8" borderId="29" xfId="0" applyFill="1" applyBorder="1"/>
    <xf numFmtId="0" fontId="0" fillId="8" borderId="25" xfId="0" applyFill="1" applyBorder="1"/>
    <xf numFmtId="167" fontId="0" fillId="8" borderId="10" xfId="0" applyNumberFormat="1" applyFill="1" applyBorder="1"/>
    <xf numFmtId="0" fontId="0" fillId="8" borderId="10" xfId="0" applyFill="1" applyBorder="1"/>
    <xf numFmtId="0" fontId="0" fillId="8" borderId="25" xfId="0" applyFill="1" applyBorder="1" applyAlignment="1">
      <alignment horizontal="center"/>
    </xf>
    <xf numFmtId="167" fontId="0" fillId="8" borderId="25" xfId="0" applyNumberFormat="1" applyFill="1" applyBorder="1" applyAlignment="1">
      <alignment horizontal="center"/>
    </xf>
    <xf numFmtId="167" fontId="0" fillId="8" borderId="30" xfId="0" applyNumberFormat="1" applyFill="1" applyBorder="1" applyAlignment="1">
      <alignment horizontal="center"/>
    </xf>
    <xf numFmtId="167" fontId="0" fillId="8" borderId="31" xfId="0" applyNumberFormat="1" applyFill="1" applyBorder="1"/>
    <xf numFmtId="0" fontId="0" fillId="8" borderId="31" xfId="0" applyFill="1" applyBorder="1"/>
    <xf numFmtId="0" fontId="0" fillId="8" borderId="32" xfId="0" applyFill="1" applyBorder="1"/>
    <xf numFmtId="167" fontId="0" fillId="8" borderId="4" xfId="0" applyNumberFormat="1" applyFill="1" applyBorder="1"/>
    <xf numFmtId="0" fontId="0" fillId="8" borderId="5" xfId="0" applyFill="1" applyBorder="1"/>
    <xf numFmtId="164" fontId="0" fillId="8" borderId="7" xfId="0" applyNumberFormat="1" applyFill="1" applyBorder="1" applyAlignment="1">
      <alignment horizontal="right"/>
    </xf>
    <xf numFmtId="0" fontId="0" fillId="8" borderId="8" xfId="0" applyFill="1" applyBorder="1" applyAlignment="1">
      <alignment horizontal="right"/>
    </xf>
    <xf numFmtId="0" fontId="0" fillId="8" borderId="13" xfId="0" applyFill="1" applyBorder="1" applyAlignment="1">
      <alignment horizontal="right"/>
    </xf>
    <xf numFmtId="164" fontId="0" fillId="8" borderId="13" xfId="0" applyNumberFormat="1" applyFill="1" applyBorder="1" applyAlignment="1">
      <alignment horizontal="right"/>
    </xf>
    <xf numFmtId="0" fontId="0" fillId="8" borderId="14" xfId="0" applyFill="1" applyBorder="1" applyAlignment="1">
      <alignment horizontal="right"/>
    </xf>
    <xf numFmtId="164" fontId="0" fillId="8" borderId="13" xfId="0" quotePrefix="1" applyNumberFormat="1" applyFill="1" applyBorder="1" applyAlignment="1">
      <alignment horizontal="right"/>
    </xf>
    <xf numFmtId="0" fontId="0" fillId="8" borderId="14" xfId="0" quotePrefix="1" applyFill="1" applyBorder="1" applyAlignment="1">
      <alignment horizontal="right"/>
    </xf>
    <xf numFmtId="164" fontId="0" fillId="0" borderId="13" xfId="0" quotePrefix="1" applyNumberFormat="1" applyFill="1" applyBorder="1" applyAlignment="1">
      <alignment horizontal="right"/>
    </xf>
    <xf numFmtId="0" fontId="0" fillId="0" borderId="14" xfId="0" quotePrefix="1" applyFill="1" applyBorder="1" applyAlignment="1">
      <alignment horizontal="right"/>
    </xf>
    <xf numFmtId="0" fontId="0" fillId="8" borderId="7" xfId="0" applyNumberFormat="1" applyFill="1" applyBorder="1" applyAlignment="1">
      <alignment horizontal="right"/>
    </xf>
    <xf numFmtId="0" fontId="0" fillId="8" borderId="13" xfId="0" quotePrefix="1" applyNumberFormat="1" applyFill="1" applyBorder="1" applyAlignment="1">
      <alignment horizontal="right"/>
    </xf>
    <xf numFmtId="0" fontId="0" fillId="8" borderId="13" xfId="0" applyNumberFormat="1" applyFill="1" applyBorder="1" applyAlignment="1">
      <alignment horizontal="right"/>
    </xf>
    <xf numFmtId="0" fontId="0" fillId="0" borderId="13" xfId="0" quotePrefix="1" applyNumberFormat="1" applyFill="1" applyBorder="1" applyAlignment="1">
      <alignment horizontal="right"/>
    </xf>
    <xf numFmtId="0" fontId="0" fillId="7" borderId="0" xfId="0" applyFill="1" applyBorder="1" applyAlignment="1" applyProtection="1">
      <alignment horizontal="right"/>
      <protection locked="0"/>
    </xf>
    <xf numFmtId="0" fontId="10" fillId="10" borderId="0" xfId="0" applyFont="1" applyFill="1" applyBorder="1"/>
    <xf numFmtId="0" fontId="0" fillId="10" borderId="0" xfId="0" applyFill="1" applyBorder="1"/>
    <xf numFmtId="0" fontId="0" fillId="11" borderId="0" xfId="0" applyFill="1" applyBorder="1"/>
    <xf numFmtId="0" fontId="0" fillId="11" borderId="0" xfId="0" applyFill="1" applyBorder="1" applyAlignment="1" applyProtection="1">
      <alignment horizontal="left"/>
    </xf>
    <xf numFmtId="0" fontId="6" fillId="11" borderId="0" xfId="0" applyFont="1" applyFill="1" applyBorder="1" applyAlignment="1">
      <alignment horizontal="left"/>
    </xf>
    <xf numFmtId="164" fontId="1" fillId="10" borderId="0" xfId="0" applyNumberFormat="1" applyFont="1" applyFill="1" applyBorder="1"/>
    <xf numFmtId="164" fontId="1" fillId="10" borderId="0" xfId="0" applyNumberFormat="1" applyFont="1" applyFill="1" applyBorder="1" applyAlignment="1">
      <alignment horizontal="right"/>
    </xf>
    <xf numFmtId="0" fontId="4" fillId="10" borderId="0" xfId="0" applyFont="1" applyFill="1" applyBorder="1" applyAlignment="1">
      <alignment horizontal="center"/>
    </xf>
    <xf numFmtId="0" fontId="18" fillId="12" borderId="0" xfId="1" applyAlignment="1">
      <alignment wrapText="1"/>
    </xf>
    <xf numFmtId="2" fontId="14" fillId="7" borderId="0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4" fillId="11" borderId="0" xfId="0" applyFont="1" applyFill="1" applyBorder="1"/>
    <xf numFmtId="0" fontId="7" fillId="10" borderId="0" xfId="0" applyFont="1" applyFill="1" applyBorder="1" applyAlignment="1">
      <alignment horizontal="center"/>
    </xf>
    <xf numFmtId="0" fontId="0" fillId="10" borderId="0" xfId="0" applyFill="1" applyBorder="1" applyAlignment="1">
      <alignment horizontal="right"/>
    </xf>
    <xf numFmtId="0" fontId="19" fillId="0" borderId="0" xfId="0" applyFont="1"/>
    <xf numFmtId="0" fontId="8" fillId="9" borderId="0" xfId="0" applyFont="1" applyFill="1" applyBorder="1" applyAlignment="1">
      <alignment horizontal="center"/>
    </xf>
    <xf numFmtId="0" fontId="1" fillId="5" borderId="0" xfId="0" applyFont="1" applyFill="1" applyBorder="1" applyAlignment="1">
      <alignment horizontal="center"/>
    </xf>
    <xf numFmtId="0" fontId="0" fillId="9" borderId="0" xfId="0" applyFill="1" applyBorder="1" applyAlignment="1">
      <alignment horizontal="center"/>
    </xf>
    <xf numFmtId="164" fontId="0" fillId="5" borderId="0" xfId="0" applyNumberFormat="1" applyFill="1" applyBorder="1" applyAlignment="1">
      <alignment horizontal="center"/>
    </xf>
    <xf numFmtId="0" fontId="0" fillId="10" borderId="40" xfId="0" applyFill="1" applyBorder="1"/>
    <xf numFmtId="0" fontId="0" fillId="10" borderId="41" xfId="0" applyFill="1" applyBorder="1"/>
    <xf numFmtId="0" fontId="1" fillId="10" borderId="40" xfId="0" applyFont="1" applyFill="1" applyBorder="1"/>
    <xf numFmtId="164" fontId="1" fillId="10" borderId="40" xfId="0" applyNumberFormat="1" applyFont="1" applyFill="1" applyBorder="1"/>
    <xf numFmtId="0" fontId="1" fillId="10" borderId="42" xfId="0" applyFont="1" applyFill="1" applyBorder="1"/>
    <xf numFmtId="0" fontId="0" fillId="10" borderId="43" xfId="0" applyFill="1" applyBorder="1"/>
    <xf numFmtId="164" fontId="1" fillId="10" borderId="43" xfId="0" applyNumberFormat="1" applyFont="1" applyFill="1" applyBorder="1" applyAlignment="1">
      <alignment horizontal="right"/>
    </xf>
    <xf numFmtId="0" fontId="0" fillId="10" borderId="44" xfId="0" applyFill="1" applyBorder="1"/>
    <xf numFmtId="0" fontId="0" fillId="11" borderId="43" xfId="0" applyFill="1" applyBorder="1"/>
    <xf numFmtId="164" fontId="1" fillId="10" borderId="43" xfId="0" applyNumberFormat="1" applyFont="1" applyFill="1" applyBorder="1"/>
    <xf numFmtId="0" fontId="10" fillId="10" borderId="40" xfId="0" applyFont="1" applyFill="1" applyBorder="1"/>
    <xf numFmtId="0" fontId="15" fillId="10" borderId="40" xfId="0" applyFont="1" applyFill="1" applyBorder="1"/>
    <xf numFmtId="0" fontId="0" fillId="11" borderId="40" xfId="0" applyFill="1" applyBorder="1"/>
    <xf numFmtId="0" fontId="1" fillId="11" borderId="40" xfId="0" applyFont="1" applyFill="1" applyBorder="1" applyAlignment="1">
      <alignment horizontal="left"/>
    </xf>
    <xf numFmtId="0" fontId="1" fillId="11" borderId="40" xfId="0" applyFont="1" applyFill="1" applyBorder="1"/>
    <xf numFmtId="0" fontId="0" fillId="11" borderId="42" xfId="0" applyFill="1" applyBorder="1"/>
    <xf numFmtId="0" fontId="10" fillId="10" borderId="37" xfId="0" applyFont="1" applyFill="1" applyBorder="1"/>
    <xf numFmtId="0" fontId="10" fillId="10" borderId="38" xfId="0" applyFont="1" applyFill="1" applyBorder="1"/>
    <xf numFmtId="0" fontId="0" fillId="10" borderId="38" xfId="0" applyFill="1" applyBorder="1"/>
    <xf numFmtId="0" fontId="1" fillId="5" borderId="41" xfId="0" applyFont="1" applyFill="1" applyBorder="1" applyAlignment="1">
      <alignment horizontal="center"/>
    </xf>
    <xf numFmtId="164" fontId="0" fillId="5" borderId="41" xfId="0" applyNumberFormat="1" applyFill="1" applyBorder="1" applyAlignment="1">
      <alignment horizontal="center"/>
    </xf>
    <xf numFmtId="0" fontId="0" fillId="11" borderId="41" xfId="0" applyFill="1" applyBorder="1"/>
    <xf numFmtId="0" fontId="3" fillId="10" borderId="41" xfId="0" applyFont="1" applyFill="1" applyBorder="1" applyAlignment="1">
      <alignment horizontal="right"/>
    </xf>
    <xf numFmtId="0" fontId="0" fillId="10" borderId="39" xfId="0" applyFill="1" applyBorder="1"/>
    <xf numFmtId="0" fontId="10" fillId="10" borderId="42" xfId="0" applyFont="1" applyFill="1" applyBorder="1"/>
    <xf numFmtId="0" fontId="10" fillId="10" borderId="43" xfId="0" applyFont="1" applyFill="1" applyBorder="1"/>
    <xf numFmtId="0" fontId="8" fillId="9" borderId="40" xfId="0" applyFont="1" applyFill="1" applyBorder="1" applyAlignment="1">
      <alignment horizontal="center"/>
    </xf>
    <xf numFmtId="0" fontId="0" fillId="9" borderId="40" xfId="0" applyFill="1" applyBorder="1" applyAlignment="1">
      <alignment horizontal="center"/>
    </xf>
    <xf numFmtId="0" fontId="0" fillId="9" borderId="42" xfId="0" applyFill="1" applyBorder="1" applyAlignment="1">
      <alignment horizontal="center"/>
    </xf>
    <xf numFmtId="164" fontId="0" fillId="5" borderId="43" xfId="0" applyNumberFormat="1" applyFill="1" applyBorder="1" applyAlignment="1">
      <alignment horizontal="center"/>
    </xf>
    <xf numFmtId="0" fontId="0" fillId="9" borderId="43" xfId="0" applyFill="1" applyBorder="1" applyAlignment="1">
      <alignment horizontal="center"/>
    </xf>
    <xf numFmtId="164" fontId="0" fillId="5" borderId="44" xfId="0" applyNumberFormat="1" applyFill="1" applyBorder="1" applyAlignment="1">
      <alignment horizontal="center"/>
    </xf>
    <xf numFmtId="0" fontId="0" fillId="0" borderId="41" xfId="0" applyBorder="1"/>
    <xf numFmtId="0" fontId="16" fillId="10" borderId="0" xfId="0" applyFont="1" applyFill="1" applyBorder="1" applyAlignment="1">
      <alignment horizontal="right"/>
    </xf>
    <xf numFmtId="0" fontId="16" fillId="10" borderId="41" xfId="0" applyFont="1" applyFill="1" applyBorder="1" applyAlignment="1">
      <alignment horizontal="right"/>
    </xf>
    <xf numFmtId="0" fontId="7" fillId="10" borderId="0" xfId="0" applyFont="1" applyFill="1" applyBorder="1" applyAlignment="1">
      <alignment horizontal="center"/>
    </xf>
    <xf numFmtId="0" fontId="7" fillId="10" borderId="40" xfId="0" applyFont="1" applyFill="1" applyBorder="1" applyAlignment="1">
      <alignment horizontal="center"/>
    </xf>
    <xf numFmtId="0" fontId="7" fillId="10" borderId="41" xfId="0" applyFont="1" applyFill="1" applyBorder="1" applyAlignment="1">
      <alignment horizontal="center"/>
    </xf>
    <xf numFmtId="0" fontId="0" fillId="10" borderId="0" xfId="0" applyFill="1" applyBorder="1" applyAlignment="1">
      <alignment horizontal="right"/>
    </xf>
    <xf numFmtId="0" fontId="0" fillId="10" borderId="41" xfId="0" applyFill="1" applyBorder="1" applyAlignment="1">
      <alignment horizontal="right"/>
    </xf>
    <xf numFmtId="0" fontId="1" fillId="5" borderId="37" xfId="0" applyFont="1" applyFill="1" applyBorder="1" applyAlignment="1">
      <alignment horizontal="center" vertical="center"/>
    </xf>
    <xf numFmtId="0" fontId="1" fillId="5" borderId="38" xfId="0" applyFont="1" applyFill="1" applyBorder="1" applyAlignment="1">
      <alignment horizontal="center" vertical="center"/>
    </xf>
    <xf numFmtId="0" fontId="1" fillId="5" borderId="39" xfId="0" applyFont="1" applyFill="1" applyBorder="1" applyAlignment="1">
      <alignment horizontal="center" vertical="center"/>
    </xf>
    <xf numFmtId="0" fontId="1" fillId="5" borderId="40" xfId="0" applyFont="1" applyFill="1" applyBorder="1" applyAlignment="1">
      <alignment horizontal="center" vertical="center"/>
    </xf>
    <xf numFmtId="0" fontId="1" fillId="5" borderId="0" xfId="0" applyFont="1" applyFill="1" applyBorder="1" applyAlignment="1">
      <alignment horizontal="center" vertical="center"/>
    </xf>
    <xf numFmtId="0" fontId="1" fillId="5" borderId="41" xfId="0" applyFont="1" applyFill="1" applyBorder="1" applyAlignment="1">
      <alignment horizontal="center" vertical="center"/>
    </xf>
    <xf numFmtId="0" fontId="4" fillId="10" borderId="40" xfId="0" applyFont="1" applyFill="1" applyBorder="1" applyAlignment="1">
      <alignment horizontal="center"/>
    </xf>
    <xf numFmtId="0" fontId="4" fillId="10" borderId="0" xfId="0" applyFont="1" applyFill="1" applyBorder="1" applyAlignment="1">
      <alignment horizontal="center"/>
    </xf>
    <xf numFmtId="0" fontId="4" fillId="10" borderId="37" xfId="0" applyFont="1" applyFill="1" applyBorder="1" applyAlignment="1">
      <alignment horizontal="center"/>
    </xf>
    <xf numFmtId="0" fontId="4" fillId="10" borderId="38" xfId="0" applyFont="1" applyFill="1" applyBorder="1" applyAlignment="1">
      <alignment horizontal="center"/>
    </xf>
    <xf numFmtId="0" fontId="4" fillId="10" borderId="39" xfId="0" applyFont="1" applyFill="1" applyBorder="1" applyAlignment="1">
      <alignment horizontal="center"/>
    </xf>
    <xf numFmtId="0" fontId="0" fillId="5" borderId="34" xfId="0" applyFill="1" applyBorder="1" applyAlignment="1">
      <alignment horizontal="center"/>
    </xf>
    <xf numFmtId="0" fontId="0" fillId="5" borderId="35" xfId="0" applyFill="1" applyBorder="1" applyAlignment="1">
      <alignment horizontal="center"/>
    </xf>
    <xf numFmtId="0" fontId="0" fillId="5" borderId="36" xfId="0" applyFill="1" applyBorder="1" applyAlignment="1">
      <alignment horizontal="center"/>
    </xf>
    <xf numFmtId="0" fontId="4" fillId="5" borderId="15" xfId="0" applyFont="1" applyFill="1" applyBorder="1" applyAlignment="1">
      <alignment horizontal="center" vertical="center"/>
    </xf>
    <xf numFmtId="0" fontId="4" fillId="5" borderId="0" xfId="0" applyFont="1" applyFill="1" applyBorder="1" applyAlignment="1">
      <alignment horizontal="center" vertical="center"/>
    </xf>
    <xf numFmtId="0" fontId="4" fillId="3" borderId="33" xfId="0" applyFont="1" applyFill="1" applyBorder="1" applyAlignment="1">
      <alignment horizontal="center"/>
    </xf>
    <xf numFmtId="0" fontId="4" fillId="3" borderId="31" xfId="0" applyFont="1" applyFill="1" applyBorder="1" applyAlignment="1">
      <alignment horizontal="center"/>
    </xf>
    <xf numFmtId="0" fontId="4" fillId="3" borderId="32" xfId="0" applyFont="1" applyFill="1" applyBorder="1" applyAlignment="1">
      <alignment horizontal="center"/>
    </xf>
    <xf numFmtId="0" fontId="5" fillId="3" borderId="15" xfId="0" applyFont="1" applyFill="1" applyBorder="1" applyAlignment="1">
      <alignment horizontal="center"/>
    </xf>
    <xf numFmtId="0" fontId="5" fillId="3" borderId="0" xfId="0" applyFont="1" applyFill="1" applyBorder="1" applyAlignment="1">
      <alignment horizontal="center"/>
    </xf>
    <xf numFmtId="0" fontId="5" fillId="3" borderId="16" xfId="0" applyFont="1" applyFill="1" applyBorder="1" applyAlignment="1">
      <alignment horizontal="center"/>
    </xf>
    <xf numFmtId="0" fontId="4" fillId="8" borderId="33" xfId="0" applyFont="1" applyFill="1" applyBorder="1" applyAlignment="1">
      <alignment horizontal="center"/>
    </xf>
    <xf numFmtId="0" fontId="4" fillId="8" borderId="31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8" borderId="0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4" fillId="4" borderId="31" xfId="0" applyFont="1" applyFill="1" applyBorder="1" applyAlignment="1">
      <alignment horizontal="center"/>
    </xf>
    <xf numFmtId="0" fontId="4" fillId="4" borderId="32" xfId="0" applyFont="1" applyFill="1" applyBorder="1" applyAlignment="1">
      <alignment horizontal="center"/>
    </xf>
    <xf numFmtId="0" fontId="14" fillId="5" borderId="34" xfId="0" applyFont="1" applyFill="1" applyBorder="1" applyAlignment="1">
      <alignment horizontal="center"/>
    </xf>
    <xf numFmtId="0" fontId="14" fillId="5" borderId="35" xfId="0" applyFont="1" applyFill="1" applyBorder="1" applyAlignment="1">
      <alignment horizontal="center"/>
    </xf>
    <xf numFmtId="0" fontId="14" fillId="5" borderId="36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DiRootsHeaderStyle" xfId="1" xr:uid="{9CB69A2D-7B43-4C04-B32B-6D522F6349F8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1.xml"/><Relationship Id="rId1" Type="http://schemas.openxmlformats.org/officeDocument/2006/relationships/dialogsheet" Target="dialogsheets/sheet1.xml"/><Relationship Id="rId6" Type="http://schemas.openxmlformats.org/officeDocument/2006/relationships/worksheet" Target="worksheets/sheet5.xml"/><Relationship Id="rId11" Type="http://schemas.openxmlformats.org/officeDocument/2006/relationships/calcChain" Target="calcChain.xml"/><Relationship Id="rId5" Type="http://schemas.openxmlformats.org/officeDocument/2006/relationships/worksheet" Target="worksheets/sheet4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fmlaLink="Tabeller!$A$30" lockText="1"/>
</file>

<file path=xl/ctrlProps/ctrlProp4.xml><?xml version="1.0" encoding="utf-8"?>
<formControlPr xmlns="http://schemas.microsoft.com/office/spreadsheetml/2009/9/main" objectType="Radio" lockText="1"/>
</file>

<file path=xl/ctrlProps/ctrlProp5.xml><?xml version="1.0" encoding="utf-8"?>
<formControlPr xmlns="http://schemas.microsoft.com/office/spreadsheetml/2009/9/main" objectType="Drop" dropLines="4" dropStyle="combo" dx="16" fmlaLink="Tabeller!$A$36" fmlaRange="Tabeller!$E$6:$E$36" sel="5" val="4"/>
</file>

<file path=xl/ctrlProps/ctrlProp6.xml><?xml version="1.0" encoding="utf-8"?>
<formControlPr xmlns="http://schemas.microsoft.com/office/spreadsheetml/2009/9/main" objectType="Drop" dropStyle="combo" dx="16" fmlaLink="Tabeller!$A$33" fmlaRange="Tabeller!$A$6:$A$23" sel="1" val="0"/>
</file>

<file path=xl/ctrlProps/ctrlProp7.xml><?xml version="1.0" encoding="utf-8"?>
<formControlPr xmlns="http://schemas.microsoft.com/office/spreadsheetml/2009/9/main" objectType="Drop" dropLines="5" dropStyle="combo" dx="16" fmlaLink="Tabeller!$A$48" fmlaRange="Tabeller!$E$43:$E$47" sel="4" val="0"/>
</file>

<file path=xl/ctrlProps/ctrlProp8.xml><?xml version="1.0" encoding="utf-8"?>
<formControlPr xmlns="http://schemas.microsoft.com/office/spreadsheetml/2009/9/main" objectType="Radio" checked="Checked" lockText="1"/>
</file>

<file path=xl/ctrlProps/ctrlProp9.xml><?xml version="1.0" encoding="utf-8"?>
<formControlPr xmlns="http://schemas.microsoft.com/office/spreadsheetml/2009/9/main" objectType="Spin" dx="16" fmlaLink="Tabeller!$H$5" max="100" page="10" val="20"/>
</file>

<file path=xl/dialog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dialogsheets/sheet1.xml><?xml version="1.0" encoding="utf-8"?>
<dialog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291A79F2-3A41-4CD0-A354-A0D3E6B22100}">
  <sheetViews>
    <sheetView showRowColHeaders="0" showZeros="0" showOutlineSymbols="0" workbookViewId="0"/>
  </sheetViews>
  <sheetFormatPr defaultColWidth="1" defaultRowHeight="5.25" customHeight="1" x14ac:dyDescent="0.25"/>
  <sheetProtection sheet="1"/>
  <pageMargins left="0.7" right="0.7" top="0.75" bottom="0.75" header="0.3" footer="0.3"/>
  <pageSetup orientation="portrait" horizontalDpi="1200" verticalDpi="1200" r:id="rId1"/>
  <legacyDrawing r:id="rId2"/>
</dialogsheet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wmf"/><Relationship Id="rId2" Type="http://schemas.openxmlformats.org/officeDocument/2006/relationships/image" Target="../media/image2.wmf"/><Relationship Id="rId1" Type="http://schemas.openxmlformats.org/officeDocument/2006/relationships/image" Target="../media/image1.wmf"/><Relationship Id="rId6" Type="http://schemas.openxmlformats.org/officeDocument/2006/relationships/image" Target="../media/image6.wmf"/><Relationship Id="rId5" Type="http://schemas.openxmlformats.org/officeDocument/2006/relationships/image" Target="../media/image5.wmf"/><Relationship Id="rId4" Type="http://schemas.openxmlformats.org/officeDocument/2006/relationships/image" Target="../media/image4.w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12700</xdr:colOff>
          <xdr:row>1</xdr:row>
          <xdr:rowOff>0</xdr:rowOff>
        </xdr:from>
        <xdr:to>
          <xdr:col>12</xdr:col>
          <xdr:colOff>0</xdr:colOff>
          <xdr:row>2</xdr:row>
          <xdr:rowOff>184150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Process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590550</xdr:colOff>
          <xdr:row>3</xdr:row>
          <xdr:rowOff>152400</xdr:rowOff>
        </xdr:from>
        <xdr:to>
          <xdr:col>12</xdr:col>
          <xdr:colOff>0</xdr:colOff>
          <xdr:row>6</xdr:row>
          <xdr:rowOff>12700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1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Cleanup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9</xdr:row>
          <xdr:rowOff>0</xdr:rowOff>
        </xdr:from>
        <xdr:to>
          <xdr:col>2</xdr:col>
          <xdr:colOff>50800</xdr:colOff>
          <xdr:row>10</xdr:row>
          <xdr:rowOff>31750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3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Vand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10</xdr:row>
          <xdr:rowOff>0</xdr:rowOff>
        </xdr:from>
        <xdr:to>
          <xdr:col>4</xdr:col>
          <xdr:colOff>412750</xdr:colOff>
          <xdr:row>11</xdr:row>
          <xdr:rowOff>19050</xdr:rowOff>
        </xdr:to>
        <xdr:sp macro="" textlink="">
          <xdr:nvSpPr>
            <xdr:cNvPr id="2067" name="Option Button 19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3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Vand med glycol, vælg glycol %: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1200150</xdr:colOff>
          <xdr:row>14</xdr:row>
          <xdr:rowOff>0</xdr:rowOff>
        </xdr:from>
        <xdr:to>
          <xdr:col>2</xdr:col>
          <xdr:colOff>88900</xdr:colOff>
          <xdr:row>15</xdr:row>
          <xdr:rowOff>19050</xdr:rowOff>
        </xdr:to>
        <xdr:sp macro="" textlink="">
          <xdr:nvSpPr>
            <xdr:cNvPr id="2071" name="Drop Down 23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3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1212850</xdr:colOff>
          <xdr:row>15</xdr:row>
          <xdr:rowOff>165100</xdr:rowOff>
        </xdr:from>
        <xdr:to>
          <xdr:col>6</xdr:col>
          <xdr:colOff>304800</xdr:colOff>
          <xdr:row>17</xdr:row>
          <xdr:rowOff>0</xdr:rowOff>
        </xdr:to>
        <xdr:sp macro="" textlink="">
          <xdr:nvSpPr>
            <xdr:cNvPr id="2072" name="Drop Down 24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3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50800</xdr:colOff>
          <xdr:row>17</xdr:row>
          <xdr:rowOff>165100</xdr:rowOff>
        </xdr:from>
        <xdr:to>
          <xdr:col>3</xdr:col>
          <xdr:colOff>647700</xdr:colOff>
          <xdr:row>19</xdr:row>
          <xdr:rowOff>0</xdr:rowOff>
        </xdr:to>
        <xdr:sp macro="" textlink="">
          <xdr:nvSpPr>
            <xdr:cNvPr id="2092" name="Drop Down 44" hidden="1">
              <a:extLst>
                <a:ext uri="{63B3BB69-23CF-44E3-9099-C40C66FF867C}">
                  <a14:compatExt spid="_x0000_s2092"/>
                </a:ext>
                <a:ext uri="{FF2B5EF4-FFF2-40B4-BE49-F238E27FC236}">
                  <a16:creationId xmlns:a16="http://schemas.microsoft.com/office/drawing/2014/main" id="{00000000-0008-0000-0300-00002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1143000</xdr:colOff>
          <xdr:row>11</xdr:row>
          <xdr:rowOff>114300</xdr:rowOff>
        </xdr:from>
        <xdr:to>
          <xdr:col>4</xdr:col>
          <xdr:colOff>31750</xdr:colOff>
          <xdr:row>13</xdr:row>
          <xdr:rowOff>12700</xdr:rowOff>
        </xdr:to>
        <xdr:sp macro="" textlink="">
          <xdr:nvSpPr>
            <xdr:cNvPr id="2115" name="Option Button 67" hidden="1">
              <a:extLst>
                <a:ext uri="{63B3BB69-23CF-44E3-9099-C40C66FF867C}">
                  <a14:compatExt spid="_x0000_s2115"/>
                </a:ext>
                <a:ext uri="{FF2B5EF4-FFF2-40B4-BE49-F238E27FC236}">
                  <a16:creationId xmlns:a16="http://schemas.microsoft.com/office/drawing/2014/main" id="{00000000-0008-0000-0300-00004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Atmosfærisk, tør luft ved 1 atm.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241300</xdr:colOff>
          <xdr:row>9</xdr:row>
          <xdr:rowOff>184150</xdr:rowOff>
        </xdr:from>
        <xdr:to>
          <xdr:col>4</xdr:col>
          <xdr:colOff>355600</xdr:colOff>
          <xdr:row>11</xdr:row>
          <xdr:rowOff>50800</xdr:rowOff>
        </xdr:to>
        <xdr:sp macro="" textlink="">
          <xdr:nvSpPr>
            <xdr:cNvPr id="2116" name="Spinner 68" hidden="1">
              <a:extLst>
                <a:ext uri="{63B3BB69-23CF-44E3-9099-C40C66FF867C}">
                  <a14:compatExt spid="_x0000_s2116"/>
                </a:ext>
                <a:ext uri="{FF2B5EF4-FFF2-40B4-BE49-F238E27FC236}">
                  <a16:creationId xmlns:a16="http://schemas.microsoft.com/office/drawing/2014/main" id="{00000000-0008-0000-0300-00004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0</xdr:rowOff>
        </xdr:from>
        <xdr:to>
          <xdr:col>4</xdr:col>
          <xdr:colOff>222250</xdr:colOff>
          <xdr:row>8</xdr:row>
          <xdr:rowOff>50800</xdr:rowOff>
        </xdr:to>
        <xdr:sp macro="" textlink="">
          <xdr:nvSpPr>
            <xdr:cNvPr id="1025" name="Object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9</xdr:row>
          <xdr:rowOff>0</xdr:rowOff>
        </xdr:from>
        <xdr:to>
          <xdr:col>5</xdr:col>
          <xdr:colOff>31750</xdr:colOff>
          <xdr:row>12</xdr:row>
          <xdr:rowOff>95250</xdr:rowOff>
        </xdr:to>
        <xdr:sp macro="" textlink="">
          <xdr:nvSpPr>
            <xdr:cNvPr id="1026" name="Object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5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31750</xdr:colOff>
          <xdr:row>12</xdr:row>
          <xdr:rowOff>127000</xdr:rowOff>
        </xdr:from>
        <xdr:to>
          <xdr:col>3</xdr:col>
          <xdr:colOff>304800</xdr:colOff>
          <xdr:row>15</xdr:row>
          <xdr:rowOff>88900</xdr:rowOff>
        </xdr:to>
        <xdr:sp macro="" textlink="">
          <xdr:nvSpPr>
            <xdr:cNvPr id="1027" name="Object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5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9</xdr:col>
          <xdr:colOff>457200</xdr:colOff>
          <xdr:row>8</xdr:row>
          <xdr:rowOff>76200</xdr:rowOff>
        </xdr:to>
        <xdr:sp macro="" textlink="">
          <xdr:nvSpPr>
            <xdr:cNvPr id="1028" name="Object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5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10</xdr:row>
          <xdr:rowOff>0</xdr:rowOff>
        </xdr:from>
        <xdr:to>
          <xdr:col>9</xdr:col>
          <xdr:colOff>190500</xdr:colOff>
          <xdr:row>12</xdr:row>
          <xdr:rowOff>133350</xdr:rowOff>
        </xdr:to>
        <xdr:sp macro="" textlink="">
          <xdr:nvSpPr>
            <xdr:cNvPr id="1029" name="Object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5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13</xdr:row>
          <xdr:rowOff>0</xdr:rowOff>
        </xdr:from>
        <xdr:to>
          <xdr:col>9</xdr:col>
          <xdr:colOff>450850</xdr:colOff>
          <xdr:row>16</xdr:row>
          <xdr:rowOff>12700</xdr:rowOff>
        </xdr:to>
        <xdr:sp macro="" textlink="">
          <xdr:nvSpPr>
            <xdr:cNvPr id="1030" name="Object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5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12700</xdr:colOff>
          <xdr:row>1</xdr:row>
          <xdr:rowOff>146050</xdr:rowOff>
        </xdr:from>
        <xdr:to>
          <xdr:col>11</xdr:col>
          <xdr:colOff>57150</xdr:colOff>
          <xdr:row>11</xdr:row>
          <xdr:rowOff>88900</xdr:rowOff>
        </xdr:to>
        <xdr:sp macro="" textlink="">
          <xdr:nvSpPr>
            <xdr:cNvPr id="3073" name="Object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6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Kontortema">
  <a:themeElements>
    <a:clrScheme name="Kont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ont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ont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oleObject" Target="../embeddings/oleObject3.bin"/><Relationship Id="rId13" Type="http://schemas.openxmlformats.org/officeDocument/2006/relationships/image" Target="../media/image5.w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2.wmf"/><Relationship Id="rId12" Type="http://schemas.openxmlformats.org/officeDocument/2006/relationships/oleObject" Target="../embeddings/oleObject5.bin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oleObject" Target="../embeddings/oleObject2.bin"/><Relationship Id="rId11" Type="http://schemas.openxmlformats.org/officeDocument/2006/relationships/image" Target="../media/image4.wmf"/><Relationship Id="rId5" Type="http://schemas.openxmlformats.org/officeDocument/2006/relationships/image" Target="../media/image1.wmf"/><Relationship Id="rId15" Type="http://schemas.openxmlformats.org/officeDocument/2006/relationships/image" Target="../media/image6.wmf"/><Relationship Id="rId10" Type="http://schemas.openxmlformats.org/officeDocument/2006/relationships/oleObject" Target="../embeddings/oleObject4.bin"/><Relationship Id="rId4" Type="http://schemas.openxmlformats.org/officeDocument/2006/relationships/oleObject" Target="../embeddings/oleObject1.bin"/><Relationship Id="rId9" Type="http://schemas.openxmlformats.org/officeDocument/2006/relationships/image" Target="../media/image3.wmf"/><Relationship Id="rId14" Type="http://schemas.openxmlformats.org/officeDocument/2006/relationships/oleObject" Target="../embeddings/oleObject6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oleObject" Target="../embeddings/oleObject7.bin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07C5D5-A6FE-4CA1-B3B4-D7390EADA683}">
  <sheetPr codeName="Ark4">
    <tabColor rgb="FFFFFF00"/>
  </sheetPr>
  <dimension ref="A1:I156"/>
  <sheetViews>
    <sheetView tabSelected="1" zoomScaleNormal="100" workbookViewId="0">
      <selection activeCell="G2" sqref="G2:G156"/>
    </sheetView>
  </sheetViews>
  <sheetFormatPr defaultRowHeight="12.5" x14ac:dyDescent="0.25"/>
  <cols>
    <col min="1" max="1" width="31.7265625" bestFit="1" customWidth="1"/>
    <col min="2" max="2" width="10.54296875" bestFit="1" customWidth="1"/>
    <col min="3" max="3" width="25.453125" bestFit="1" customWidth="1"/>
    <col min="4" max="4" width="14.453125" customWidth="1"/>
    <col min="5" max="5" width="23.1796875" bestFit="1" customWidth="1"/>
    <col min="6" max="6" width="8.1796875" customWidth="1"/>
    <col min="7" max="7" width="18.54296875" bestFit="1" customWidth="1"/>
    <col min="8" max="8" width="44.7265625" customWidth="1"/>
    <col min="9" max="9" width="18.7265625" customWidth="1"/>
  </cols>
  <sheetData>
    <row r="1" spans="1:9" ht="14.5" x14ac:dyDescent="0.35">
      <c r="A1" s="143" t="s">
        <v>254</v>
      </c>
      <c r="B1" s="143" t="s">
        <v>247</v>
      </c>
      <c r="C1" s="143" t="s">
        <v>248</v>
      </c>
      <c r="D1" s="143" t="s">
        <v>253</v>
      </c>
      <c r="E1" s="143" t="s">
        <v>249</v>
      </c>
      <c r="F1" s="143" t="s">
        <v>250</v>
      </c>
      <c r="G1" s="143" t="s">
        <v>251</v>
      </c>
      <c r="H1" s="143" t="s">
        <v>255</v>
      </c>
      <c r="I1" s="143" t="s">
        <v>252</v>
      </c>
    </row>
    <row r="2" spans="1:9" ht="14" x14ac:dyDescent="0.3">
      <c r="A2" t="s">
        <v>263</v>
      </c>
      <c r="B2" t="s">
        <v>324</v>
      </c>
      <c r="C2" t="s">
        <v>476</v>
      </c>
      <c r="E2" t="s">
        <v>478</v>
      </c>
      <c r="F2" t="s">
        <v>515</v>
      </c>
      <c r="G2" t="s">
        <v>319</v>
      </c>
      <c r="I2" s="149"/>
    </row>
    <row r="3" spans="1:9" ht="14" x14ac:dyDescent="0.3">
      <c r="A3" t="s">
        <v>264</v>
      </c>
      <c r="B3" t="s">
        <v>325</v>
      </c>
      <c r="C3" t="s">
        <v>477</v>
      </c>
      <c r="E3" t="s">
        <v>477</v>
      </c>
      <c r="F3" t="s">
        <v>516</v>
      </c>
      <c r="G3" t="s">
        <v>569</v>
      </c>
      <c r="I3" s="149"/>
    </row>
    <row r="4" spans="1:9" ht="14" x14ac:dyDescent="0.3">
      <c r="A4" t="s">
        <v>265</v>
      </c>
      <c r="B4" t="s">
        <v>326</v>
      </c>
      <c r="C4" t="s">
        <v>478</v>
      </c>
      <c r="E4" t="s">
        <v>478</v>
      </c>
      <c r="F4" t="s">
        <v>517</v>
      </c>
      <c r="G4" t="s">
        <v>570</v>
      </c>
      <c r="I4" s="149"/>
    </row>
    <row r="5" spans="1:9" ht="14" x14ac:dyDescent="0.3">
      <c r="A5" t="s">
        <v>266</v>
      </c>
      <c r="B5" t="s">
        <v>327</v>
      </c>
      <c r="C5" t="s">
        <v>479</v>
      </c>
      <c r="E5" t="s">
        <v>479</v>
      </c>
      <c r="F5" t="s">
        <v>518</v>
      </c>
      <c r="G5" t="s">
        <v>571</v>
      </c>
      <c r="I5" s="149"/>
    </row>
    <row r="6" spans="1:9" ht="14" x14ac:dyDescent="0.3">
      <c r="A6" t="s">
        <v>267</v>
      </c>
      <c r="B6" t="s">
        <v>328</v>
      </c>
      <c r="C6" t="s">
        <v>480</v>
      </c>
      <c r="E6" t="s">
        <v>480</v>
      </c>
      <c r="F6" t="s">
        <v>519</v>
      </c>
      <c r="G6" t="s">
        <v>572</v>
      </c>
      <c r="H6" s="145"/>
      <c r="I6" s="149"/>
    </row>
    <row r="7" spans="1:9" ht="14" x14ac:dyDescent="0.3">
      <c r="A7" t="s">
        <v>268</v>
      </c>
      <c r="B7" t="s">
        <v>329</v>
      </c>
      <c r="C7" t="s">
        <v>478</v>
      </c>
      <c r="E7" t="s">
        <v>478</v>
      </c>
      <c r="F7" t="s">
        <v>520</v>
      </c>
      <c r="G7" t="s">
        <v>571</v>
      </c>
      <c r="I7" s="149"/>
    </row>
    <row r="8" spans="1:9" ht="14" x14ac:dyDescent="0.3">
      <c r="A8" t="s">
        <v>268</v>
      </c>
      <c r="B8" t="s">
        <v>330</v>
      </c>
      <c r="C8" t="s">
        <v>478</v>
      </c>
      <c r="E8" t="s">
        <v>478</v>
      </c>
      <c r="F8" t="s">
        <v>516</v>
      </c>
      <c r="G8" t="s">
        <v>571</v>
      </c>
      <c r="I8" s="149"/>
    </row>
    <row r="9" spans="1:9" ht="14" x14ac:dyDescent="0.3">
      <c r="A9" t="s">
        <v>268</v>
      </c>
      <c r="B9" t="s">
        <v>331</v>
      </c>
      <c r="C9" t="s">
        <v>478</v>
      </c>
      <c r="E9" t="s">
        <v>478</v>
      </c>
      <c r="F9" t="s">
        <v>520</v>
      </c>
      <c r="G9" t="s">
        <v>571</v>
      </c>
      <c r="I9" s="149"/>
    </row>
    <row r="10" spans="1:9" ht="14" x14ac:dyDescent="0.3">
      <c r="A10" t="s">
        <v>269</v>
      </c>
      <c r="B10" t="s">
        <v>332</v>
      </c>
      <c r="C10" t="s">
        <v>481</v>
      </c>
      <c r="E10" t="s">
        <v>481</v>
      </c>
      <c r="F10" t="s">
        <v>521</v>
      </c>
      <c r="G10" t="s">
        <v>573</v>
      </c>
      <c r="I10" s="149"/>
    </row>
    <row r="11" spans="1:9" ht="14" x14ac:dyDescent="0.3">
      <c r="A11" t="s">
        <v>270</v>
      </c>
      <c r="B11" t="s">
        <v>333</v>
      </c>
      <c r="C11" t="s">
        <v>481</v>
      </c>
      <c r="E11" t="s">
        <v>481</v>
      </c>
      <c r="F11" t="s">
        <v>522</v>
      </c>
      <c r="G11" t="s">
        <v>573</v>
      </c>
      <c r="I11" s="149"/>
    </row>
    <row r="12" spans="1:9" ht="14" x14ac:dyDescent="0.3">
      <c r="A12" t="s">
        <v>270</v>
      </c>
      <c r="B12" t="s">
        <v>334</v>
      </c>
      <c r="C12" t="s">
        <v>481</v>
      </c>
      <c r="E12" t="s">
        <v>481</v>
      </c>
      <c r="F12" t="s">
        <v>523</v>
      </c>
      <c r="G12" t="s">
        <v>573</v>
      </c>
      <c r="I12" s="149"/>
    </row>
    <row r="13" spans="1:9" x14ac:dyDescent="0.25">
      <c r="A13" t="s">
        <v>271</v>
      </c>
      <c r="B13" t="s">
        <v>335</v>
      </c>
      <c r="C13" t="s">
        <v>478</v>
      </c>
      <c r="E13" t="s">
        <v>478</v>
      </c>
      <c r="F13" t="s">
        <v>524</v>
      </c>
      <c r="G13" t="s">
        <v>574</v>
      </c>
    </row>
    <row r="14" spans="1:9" x14ac:dyDescent="0.25">
      <c r="A14" t="s">
        <v>269</v>
      </c>
      <c r="B14" t="s">
        <v>336</v>
      </c>
      <c r="C14" t="s">
        <v>481</v>
      </c>
      <c r="E14" t="s">
        <v>481</v>
      </c>
      <c r="F14" t="s">
        <v>525</v>
      </c>
      <c r="G14" t="s">
        <v>573</v>
      </c>
    </row>
    <row r="15" spans="1:9" x14ac:dyDescent="0.25">
      <c r="A15" t="s">
        <v>272</v>
      </c>
      <c r="B15" t="s">
        <v>337</v>
      </c>
      <c r="C15" t="s">
        <v>481</v>
      </c>
      <c r="E15" t="s">
        <v>481</v>
      </c>
      <c r="F15" t="s">
        <v>526</v>
      </c>
      <c r="G15" t="s">
        <v>572</v>
      </c>
    </row>
    <row r="16" spans="1:9" x14ac:dyDescent="0.25">
      <c r="A16" t="s">
        <v>272</v>
      </c>
      <c r="B16" t="s">
        <v>338</v>
      </c>
      <c r="C16" t="s">
        <v>481</v>
      </c>
      <c r="E16" t="s">
        <v>481</v>
      </c>
      <c r="F16" t="s">
        <v>527</v>
      </c>
      <c r="G16" t="s">
        <v>572</v>
      </c>
    </row>
    <row r="17" spans="1:7" x14ac:dyDescent="0.25">
      <c r="A17" t="s">
        <v>273</v>
      </c>
      <c r="B17" t="s">
        <v>339</v>
      </c>
      <c r="C17" t="s">
        <v>481</v>
      </c>
      <c r="E17" t="s">
        <v>481</v>
      </c>
      <c r="F17" t="s">
        <v>527</v>
      </c>
      <c r="G17" t="s">
        <v>572</v>
      </c>
    </row>
    <row r="18" spans="1:7" x14ac:dyDescent="0.25">
      <c r="A18" t="s">
        <v>273</v>
      </c>
      <c r="B18" t="s">
        <v>340</v>
      </c>
      <c r="C18" t="s">
        <v>482</v>
      </c>
      <c r="E18" t="s">
        <v>482</v>
      </c>
      <c r="F18" t="s">
        <v>528</v>
      </c>
      <c r="G18" t="s">
        <v>572</v>
      </c>
    </row>
    <row r="19" spans="1:7" x14ac:dyDescent="0.25">
      <c r="A19" t="s">
        <v>273</v>
      </c>
      <c r="B19" t="s">
        <v>341</v>
      </c>
      <c r="C19" t="s">
        <v>481</v>
      </c>
      <c r="E19" t="s">
        <v>481</v>
      </c>
      <c r="F19" t="s">
        <v>527</v>
      </c>
      <c r="G19" t="s">
        <v>572</v>
      </c>
    </row>
    <row r="20" spans="1:7" x14ac:dyDescent="0.25">
      <c r="A20" t="s">
        <v>273</v>
      </c>
      <c r="B20" t="s">
        <v>342</v>
      </c>
      <c r="C20" t="s">
        <v>481</v>
      </c>
      <c r="E20" t="s">
        <v>481</v>
      </c>
      <c r="F20" t="s">
        <v>526</v>
      </c>
      <c r="G20" t="s">
        <v>572</v>
      </c>
    </row>
    <row r="21" spans="1:7" x14ac:dyDescent="0.25">
      <c r="A21" t="s">
        <v>274</v>
      </c>
      <c r="B21" t="s">
        <v>343</v>
      </c>
      <c r="C21" t="s">
        <v>483</v>
      </c>
      <c r="E21" t="s">
        <v>483</v>
      </c>
      <c r="F21" t="s">
        <v>529</v>
      </c>
      <c r="G21" t="s">
        <v>575</v>
      </c>
    </row>
    <row r="22" spans="1:7" x14ac:dyDescent="0.25">
      <c r="A22" t="s">
        <v>275</v>
      </c>
      <c r="B22" t="s">
        <v>344</v>
      </c>
      <c r="C22" t="s">
        <v>478</v>
      </c>
      <c r="E22" t="s">
        <v>477</v>
      </c>
      <c r="F22" t="s">
        <v>530</v>
      </c>
      <c r="G22" t="s">
        <v>575</v>
      </c>
    </row>
    <row r="23" spans="1:7" x14ac:dyDescent="0.25">
      <c r="A23" t="s">
        <v>275</v>
      </c>
      <c r="B23" t="s">
        <v>345</v>
      </c>
      <c r="C23" t="s">
        <v>478</v>
      </c>
      <c r="E23" t="s">
        <v>477</v>
      </c>
      <c r="F23" t="s">
        <v>530</v>
      </c>
      <c r="G23" t="s">
        <v>575</v>
      </c>
    </row>
    <row r="24" spans="1:7" x14ac:dyDescent="0.25">
      <c r="A24" t="s">
        <v>275</v>
      </c>
      <c r="B24" t="s">
        <v>346</v>
      </c>
      <c r="C24" t="s">
        <v>478</v>
      </c>
      <c r="E24" t="s">
        <v>477</v>
      </c>
      <c r="F24" t="s">
        <v>530</v>
      </c>
      <c r="G24" t="s">
        <v>575</v>
      </c>
    </row>
    <row r="25" spans="1:7" x14ac:dyDescent="0.25">
      <c r="A25" t="s">
        <v>275</v>
      </c>
      <c r="B25" t="s">
        <v>347</v>
      </c>
      <c r="C25" t="s">
        <v>478</v>
      </c>
      <c r="E25" t="s">
        <v>477</v>
      </c>
      <c r="F25" t="s">
        <v>530</v>
      </c>
      <c r="G25" t="s">
        <v>575</v>
      </c>
    </row>
    <row r="26" spans="1:7" x14ac:dyDescent="0.25">
      <c r="A26" t="s">
        <v>275</v>
      </c>
      <c r="B26" t="s">
        <v>348</v>
      </c>
      <c r="C26" t="s">
        <v>478</v>
      </c>
      <c r="E26" t="s">
        <v>477</v>
      </c>
      <c r="F26" t="s">
        <v>530</v>
      </c>
      <c r="G26" t="s">
        <v>575</v>
      </c>
    </row>
    <row r="27" spans="1:7" x14ac:dyDescent="0.25">
      <c r="A27" t="s">
        <v>275</v>
      </c>
      <c r="B27" t="s">
        <v>349</v>
      </c>
      <c r="C27" t="s">
        <v>478</v>
      </c>
      <c r="E27" t="s">
        <v>477</v>
      </c>
      <c r="F27" t="s">
        <v>530</v>
      </c>
      <c r="G27" t="s">
        <v>575</v>
      </c>
    </row>
    <row r="28" spans="1:7" x14ac:dyDescent="0.25">
      <c r="A28" t="s">
        <v>275</v>
      </c>
      <c r="B28" t="s">
        <v>350</v>
      </c>
      <c r="C28" t="s">
        <v>478</v>
      </c>
      <c r="E28" t="s">
        <v>477</v>
      </c>
      <c r="F28" t="s">
        <v>530</v>
      </c>
      <c r="G28" t="s">
        <v>575</v>
      </c>
    </row>
    <row r="29" spans="1:7" x14ac:dyDescent="0.25">
      <c r="A29" t="s">
        <v>275</v>
      </c>
      <c r="B29" t="s">
        <v>351</v>
      </c>
      <c r="C29" t="s">
        <v>478</v>
      </c>
      <c r="E29" t="s">
        <v>477</v>
      </c>
      <c r="F29" t="s">
        <v>530</v>
      </c>
      <c r="G29" t="s">
        <v>575</v>
      </c>
    </row>
    <row r="30" spans="1:7" x14ac:dyDescent="0.25">
      <c r="A30" t="s">
        <v>275</v>
      </c>
      <c r="B30" t="s">
        <v>352</v>
      </c>
      <c r="C30" t="s">
        <v>478</v>
      </c>
      <c r="E30" t="s">
        <v>477</v>
      </c>
      <c r="F30" t="s">
        <v>530</v>
      </c>
      <c r="G30" t="s">
        <v>575</v>
      </c>
    </row>
    <row r="31" spans="1:7" x14ac:dyDescent="0.25">
      <c r="A31" t="s">
        <v>264</v>
      </c>
      <c r="B31" t="s">
        <v>353</v>
      </c>
      <c r="C31" t="s">
        <v>478</v>
      </c>
      <c r="E31" t="s">
        <v>477</v>
      </c>
      <c r="F31" t="s">
        <v>516</v>
      </c>
      <c r="G31" t="s">
        <v>575</v>
      </c>
    </row>
    <row r="32" spans="1:7" x14ac:dyDescent="0.25">
      <c r="A32" t="s">
        <v>276</v>
      </c>
      <c r="B32" t="s">
        <v>354</v>
      </c>
      <c r="C32" t="s">
        <v>484</v>
      </c>
      <c r="E32" t="s">
        <v>484</v>
      </c>
      <c r="F32" t="s">
        <v>531</v>
      </c>
      <c r="G32" t="s">
        <v>575</v>
      </c>
    </row>
    <row r="33" spans="1:7" x14ac:dyDescent="0.25">
      <c r="A33" t="s">
        <v>275</v>
      </c>
      <c r="B33" t="s">
        <v>355</v>
      </c>
      <c r="C33" t="s">
        <v>478</v>
      </c>
      <c r="E33" t="s">
        <v>477</v>
      </c>
      <c r="F33" t="s">
        <v>530</v>
      </c>
      <c r="G33" t="s">
        <v>575</v>
      </c>
    </row>
    <row r="34" spans="1:7" x14ac:dyDescent="0.25">
      <c r="A34" t="s">
        <v>275</v>
      </c>
      <c r="B34" t="s">
        <v>356</v>
      </c>
      <c r="C34" t="s">
        <v>478</v>
      </c>
      <c r="E34" t="s">
        <v>477</v>
      </c>
      <c r="F34" t="s">
        <v>530</v>
      </c>
      <c r="G34" t="s">
        <v>575</v>
      </c>
    </row>
    <row r="35" spans="1:7" x14ac:dyDescent="0.25">
      <c r="A35" t="s">
        <v>275</v>
      </c>
      <c r="B35" t="s">
        <v>357</v>
      </c>
      <c r="C35" t="s">
        <v>478</v>
      </c>
      <c r="E35" t="s">
        <v>477</v>
      </c>
      <c r="F35" t="s">
        <v>530</v>
      </c>
      <c r="G35" t="s">
        <v>575</v>
      </c>
    </row>
    <row r="36" spans="1:7" x14ac:dyDescent="0.25">
      <c r="A36" t="s">
        <v>275</v>
      </c>
      <c r="B36" t="s">
        <v>358</v>
      </c>
      <c r="C36" t="s">
        <v>478</v>
      </c>
      <c r="E36" t="s">
        <v>477</v>
      </c>
      <c r="F36" t="s">
        <v>530</v>
      </c>
      <c r="G36" t="s">
        <v>575</v>
      </c>
    </row>
    <row r="37" spans="1:7" x14ac:dyDescent="0.25">
      <c r="A37" t="s">
        <v>275</v>
      </c>
      <c r="B37" t="s">
        <v>359</v>
      </c>
      <c r="C37" t="s">
        <v>478</v>
      </c>
      <c r="E37" t="s">
        <v>477</v>
      </c>
      <c r="F37" t="s">
        <v>530</v>
      </c>
      <c r="G37" t="s">
        <v>575</v>
      </c>
    </row>
    <row r="38" spans="1:7" x14ac:dyDescent="0.25">
      <c r="A38" t="s">
        <v>275</v>
      </c>
      <c r="B38" t="s">
        <v>360</v>
      </c>
      <c r="C38" t="s">
        <v>478</v>
      </c>
      <c r="E38" t="s">
        <v>477</v>
      </c>
      <c r="F38" t="s">
        <v>530</v>
      </c>
      <c r="G38" t="s">
        <v>575</v>
      </c>
    </row>
    <row r="39" spans="1:7" x14ac:dyDescent="0.25">
      <c r="A39" t="s">
        <v>264</v>
      </c>
      <c r="B39" t="s">
        <v>361</v>
      </c>
      <c r="C39" t="s">
        <v>478</v>
      </c>
      <c r="E39" t="s">
        <v>477</v>
      </c>
      <c r="F39" t="s">
        <v>516</v>
      </c>
      <c r="G39" t="s">
        <v>575</v>
      </c>
    </row>
    <row r="40" spans="1:7" x14ac:dyDescent="0.25">
      <c r="A40" t="s">
        <v>265</v>
      </c>
      <c r="B40" t="s">
        <v>362</v>
      </c>
      <c r="C40" t="s">
        <v>478</v>
      </c>
      <c r="E40" t="s">
        <v>491</v>
      </c>
      <c r="F40" t="s">
        <v>532</v>
      </c>
      <c r="G40" t="s">
        <v>570</v>
      </c>
    </row>
    <row r="41" spans="1:7" x14ac:dyDescent="0.25">
      <c r="A41" t="s">
        <v>277</v>
      </c>
      <c r="B41" t="s">
        <v>363</v>
      </c>
      <c r="C41" t="s">
        <v>485</v>
      </c>
      <c r="E41" t="s">
        <v>485</v>
      </c>
      <c r="F41" t="s">
        <v>525</v>
      </c>
      <c r="G41" t="s">
        <v>571</v>
      </c>
    </row>
    <row r="42" spans="1:7" x14ac:dyDescent="0.25">
      <c r="A42" t="s">
        <v>267</v>
      </c>
      <c r="B42" t="s">
        <v>364</v>
      </c>
      <c r="C42" t="s">
        <v>480</v>
      </c>
      <c r="E42" t="s">
        <v>480</v>
      </c>
      <c r="F42" t="s">
        <v>533</v>
      </c>
      <c r="G42" t="s">
        <v>572</v>
      </c>
    </row>
    <row r="43" spans="1:7" x14ac:dyDescent="0.25">
      <c r="A43" t="s">
        <v>278</v>
      </c>
      <c r="B43" t="s">
        <v>365</v>
      </c>
      <c r="C43" t="s">
        <v>486</v>
      </c>
      <c r="E43" t="s">
        <v>486</v>
      </c>
      <c r="F43" t="s">
        <v>534</v>
      </c>
      <c r="G43" t="s">
        <v>573</v>
      </c>
    </row>
    <row r="44" spans="1:7" x14ac:dyDescent="0.25">
      <c r="A44" t="s">
        <v>278</v>
      </c>
      <c r="B44" t="s">
        <v>366</v>
      </c>
      <c r="C44" t="s">
        <v>486</v>
      </c>
      <c r="E44" t="s">
        <v>486</v>
      </c>
      <c r="F44" t="s">
        <v>534</v>
      </c>
      <c r="G44" t="s">
        <v>573</v>
      </c>
    </row>
    <row r="45" spans="1:7" x14ac:dyDescent="0.25">
      <c r="A45" t="s">
        <v>279</v>
      </c>
      <c r="B45" t="s">
        <v>367</v>
      </c>
      <c r="C45" t="s">
        <v>487</v>
      </c>
      <c r="E45" t="s">
        <v>487</v>
      </c>
      <c r="F45" t="s">
        <v>535</v>
      </c>
      <c r="G45" t="s">
        <v>573</v>
      </c>
    </row>
    <row r="46" spans="1:7" x14ac:dyDescent="0.25">
      <c r="A46" t="s">
        <v>279</v>
      </c>
      <c r="B46" t="s">
        <v>368</v>
      </c>
      <c r="C46" t="s">
        <v>487</v>
      </c>
      <c r="E46" t="s">
        <v>487</v>
      </c>
      <c r="F46" t="s">
        <v>527</v>
      </c>
      <c r="G46" t="s">
        <v>573</v>
      </c>
    </row>
    <row r="47" spans="1:7" x14ac:dyDescent="0.25">
      <c r="A47" t="s">
        <v>280</v>
      </c>
      <c r="B47" t="s">
        <v>369</v>
      </c>
      <c r="C47" t="s">
        <v>482</v>
      </c>
      <c r="E47" t="s">
        <v>482</v>
      </c>
      <c r="F47" t="s">
        <v>526</v>
      </c>
      <c r="G47" t="s">
        <v>572</v>
      </c>
    </row>
    <row r="48" spans="1:7" x14ac:dyDescent="0.25">
      <c r="A48" t="s">
        <v>280</v>
      </c>
      <c r="B48" t="s">
        <v>370</v>
      </c>
      <c r="C48" t="s">
        <v>482</v>
      </c>
      <c r="E48" t="s">
        <v>482</v>
      </c>
      <c r="F48" t="s">
        <v>527</v>
      </c>
      <c r="G48" t="s">
        <v>572</v>
      </c>
    </row>
    <row r="49" spans="1:7" x14ac:dyDescent="0.25">
      <c r="A49" t="s">
        <v>272</v>
      </c>
      <c r="B49" t="s">
        <v>371</v>
      </c>
      <c r="C49" t="s">
        <v>482</v>
      </c>
      <c r="E49" t="s">
        <v>482</v>
      </c>
      <c r="F49" t="s">
        <v>527</v>
      </c>
      <c r="G49" t="s">
        <v>572</v>
      </c>
    </row>
    <row r="50" spans="1:7" x14ac:dyDescent="0.25">
      <c r="A50" t="s">
        <v>272</v>
      </c>
      <c r="B50" t="s">
        <v>372</v>
      </c>
      <c r="C50" t="s">
        <v>488</v>
      </c>
      <c r="E50" t="s">
        <v>488</v>
      </c>
      <c r="F50" t="s">
        <v>528</v>
      </c>
      <c r="G50" t="s">
        <v>572</v>
      </c>
    </row>
    <row r="51" spans="1:7" x14ac:dyDescent="0.25">
      <c r="A51" t="s">
        <v>281</v>
      </c>
      <c r="B51" t="s">
        <v>373</v>
      </c>
      <c r="C51" t="s">
        <v>482</v>
      </c>
      <c r="E51" t="s">
        <v>482</v>
      </c>
      <c r="F51" t="s">
        <v>527</v>
      </c>
      <c r="G51" t="s">
        <v>572</v>
      </c>
    </row>
    <row r="52" spans="1:7" x14ac:dyDescent="0.25">
      <c r="A52" t="s">
        <v>273</v>
      </c>
      <c r="B52" t="s">
        <v>374</v>
      </c>
      <c r="C52" t="s">
        <v>481</v>
      </c>
      <c r="E52" t="s">
        <v>481</v>
      </c>
      <c r="F52" t="s">
        <v>526</v>
      </c>
      <c r="G52" t="s">
        <v>572</v>
      </c>
    </row>
    <row r="53" spans="1:7" x14ac:dyDescent="0.25">
      <c r="A53" t="s">
        <v>282</v>
      </c>
      <c r="B53" t="s">
        <v>375</v>
      </c>
      <c r="C53" t="s">
        <v>489</v>
      </c>
      <c r="E53" t="s">
        <v>489</v>
      </c>
      <c r="F53" t="s">
        <v>526</v>
      </c>
      <c r="G53" t="s">
        <v>572</v>
      </c>
    </row>
    <row r="54" spans="1:7" x14ac:dyDescent="0.25">
      <c r="A54" t="s">
        <v>283</v>
      </c>
      <c r="B54" t="s">
        <v>376</v>
      </c>
      <c r="C54" t="s">
        <v>490</v>
      </c>
      <c r="E54" t="s">
        <v>478</v>
      </c>
      <c r="F54" t="s">
        <v>536</v>
      </c>
      <c r="G54" t="s">
        <v>575</v>
      </c>
    </row>
    <row r="55" spans="1:7" x14ac:dyDescent="0.25">
      <c r="A55" t="s">
        <v>275</v>
      </c>
      <c r="B55" t="s">
        <v>377</v>
      </c>
      <c r="C55" t="s">
        <v>478</v>
      </c>
      <c r="E55" t="s">
        <v>477</v>
      </c>
      <c r="F55" t="s">
        <v>537</v>
      </c>
      <c r="G55" t="s">
        <v>575</v>
      </c>
    </row>
    <row r="56" spans="1:7" x14ac:dyDescent="0.25">
      <c r="A56" t="s">
        <v>275</v>
      </c>
      <c r="B56" t="s">
        <v>378</v>
      </c>
      <c r="C56" t="s">
        <v>478</v>
      </c>
      <c r="E56" t="s">
        <v>477</v>
      </c>
      <c r="F56" t="s">
        <v>538</v>
      </c>
      <c r="G56" t="s">
        <v>575</v>
      </c>
    </row>
    <row r="57" spans="1:7" x14ac:dyDescent="0.25">
      <c r="A57" t="s">
        <v>275</v>
      </c>
      <c r="B57" t="s">
        <v>379</v>
      </c>
      <c r="C57" t="s">
        <v>478</v>
      </c>
      <c r="E57" t="s">
        <v>477</v>
      </c>
      <c r="F57" t="s">
        <v>538</v>
      </c>
      <c r="G57" t="s">
        <v>575</v>
      </c>
    </row>
    <row r="58" spans="1:7" x14ac:dyDescent="0.25">
      <c r="A58" t="s">
        <v>275</v>
      </c>
      <c r="B58" t="s">
        <v>380</v>
      </c>
      <c r="C58" t="s">
        <v>478</v>
      </c>
      <c r="E58" t="s">
        <v>477</v>
      </c>
      <c r="F58" t="s">
        <v>530</v>
      </c>
      <c r="G58" t="s">
        <v>575</v>
      </c>
    </row>
    <row r="59" spans="1:7" x14ac:dyDescent="0.25">
      <c r="A59" t="s">
        <v>275</v>
      </c>
      <c r="B59" t="s">
        <v>381</v>
      </c>
      <c r="C59" t="s">
        <v>478</v>
      </c>
      <c r="E59" t="s">
        <v>477</v>
      </c>
      <c r="F59" t="s">
        <v>530</v>
      </c>
      <c r="G59" t="s">
        <v>575</v>
      </c>
    </row>
    <row r="60" spans="1:7" x14ac:dyDescent="0.25">
      <c r="A60" t="s">
        <v>275</v>
      </c>
      <c r="B60" t="s">
        <v>382</v>
      </c>
      <c r="C60" t="s">
        <v>478</v>
      </c>
      <c r="E60" t="s">
        <v>477</v>
      </c>
      <c r="F60" t="s">
        <v>530</v>
      </c>
      <c r="G60" t="s">
        <v>575</v>
      </c>
    </row>
    <row r="61" spans="1:7" x14ac:dyDescent="0.25">
      <c r="A61" t="s">
        <v>275</v>
      </c>
      <c r="B61" t="s">
        <v>383</v>
      </c>
      <c r="C61" t="s">
        <v>478</v>
      </c>
      <c r="E61" t="s">
        <v>477</v>
      </c>
      <c r="F61" t="s">
        <v>530</v>
      </c>
      <c r="G61" t="s">
        <v>575</v>
      </c>
    </row>
    <row r="62" spans="1:7" x14ac:dyDescent="0.25">
      <c r="A62" t="s">
        <v>264</v>
      </c>
      <c r="B62" t="s">
        <v>384</v>
      </c>
      <c r="C62" t="s">
        <v>478</v>
      </c>
      <c r="E62" t="s">
        <v>477</v>
      </c>
      <c r="F62" t="s">
        <v>516</v>
      </c>
      <c r="G62" t="s">
        <v>575</v>
      </c>
    </row>
    <row r="63" spans="1:7" x14ac:dyDescent="0.25">
      <c r="A63" t="s">
        <v>284</v>
      </c>
      <c r="B63" t="s">
        <v>385</v>
      </c>
      <c r="C63" t="s">
        <v>477</v>
      </c>
      <c r="E63" t="s">
        <v>477</v>
      </c>
      <c r="F63" t="s">
        <v>539</v>
      </c>
      <c r="G63" t="s">
        <v>570</v>
      </c>
    </row>
    <row r="64" spans="1:7" x14ac:dyDescent="0.25">
      <c r="A64" t="s">
        <v>285</v>
      </c>
      <c r="B64" t="s">
        <v>386</v>
      </c>
      <c r="C64" t="s">
        <v>477</v>
      </c>
      <c r="E64" t="s">
        <v>477</v>
      </c>
      <c r="F64" t="s">
        <v>531</v>
      </c>
      <c r="G64" t="s">
        <v>570</v>
      </c>
    </row>
    <row r="65" spans="1:7" x14ac:dyDescent="0.25">
      <c r="A65" t="s">
        <v>286</v>
      </c>
      <c r="B65" t="s">
        <v>387</v>
      </c>
      <c r="C65" t="s">
        <v>486</v>
      </c>
      <c r="E65" t="s">
        <v>486</v>
      </c>
      <c r="F65" t="s">
        <v>540</v>
      </c>
      <c r="G65" t="s">
        <v>572</v>
      </c>
    </row>
    <row r="66" spans="1:7" x14ac:dyDescent="0.25">
      <c r="A66" t="s">
        <v>286</v>
      </c>
      <c r="B66" t="s">
        <v>388</v>
      </c>
      <c r="C66" t="s">
        <v>491</v>
      </c>
      <c r="E66" t="s">
        <v>491</v>
      </c>
      <c r="F66" t="s">
        <v>524</v>
      </c>
      <c r="G66" t="s">
        <v>573</v>
      </c>
    </row>
    <row r="67" spans="1:7" x14ac:dyDescent="0.25">
      <c r="A67" t="s">
        <v>286</v>
      </c>
      <c r="B67" t="s">
        <v>389</v>
      </c>
      <c r="C67" t="s">
        <v>491</v>
      </c>
      <c r="E67" t="s">
        <v>491</v>
      </c>
      <c r="F67" t="s">
        <v>524</v>
      </c>
      <c r="G67" t="s">
        <v>573</v>
      </c>
    </row>
    <row r="68" spans="1:7" x14ac:dyDescent="0.25">
      <c r="A68" t="s">
        <v>286</v>
      </c>
      <c r="B68" t="s">
        <v>390</v>
      </c>
      <c r="C68" t="s">
        <v>491</v>
      </c>
      <c r="E68" t="s">
        <v>491</v>
      </c>
      <c r="F68" t="s">
        <v>524</v>
      </c>
      <c r="G68" t="s">
        <v>573</v>
      </c>
    </row>
    <row r="69" spans="1:7" x14ac:dyDescent="0.25">
      <c r="A69" t="s">
        <v>286</v>
      </c>
      <c r="B69" t="s">
        <v>391</v>
      </c>
      <c r="C69" t="s">
        <v>491</v>
      </c>
      <c r="E69" t="s">
        <v>491</v>
      </c>
      <c r="F69" t="s">
        <v>524</v>
      </c>
      <c r="G69" t="s">
        <v>573</v>
      </c>
    </row>
    <row r="70" spans="1:7" x14ac:dyDescent="0.25">
      <c r="A70" t="s">
        <v>286</v>
      </c>
      <c r="B70" t="s">
        <v>392</v>
      </c>
      <c r="C70" t="s">
        <v>491</v>
      </c>
      <c r="E70" t="s">
        <v>491</v>
      </c>
      <c r="F70" t="s">
        <v>524</v>
      </c>
      <c r="G70" t="s">
        <v>573</v>
      </c>
    </row>
    <row r="71" spans="1:7" x14ac:dyDescent="0.25">
      <c r="A71" t="s">
        <v>286</v>
      </c>
      <c r="B71" t="s">
        <v>393</v>
      </c>
      <c r="C71" t="s">
        <v>491</v>
      </c>
      <c r="E71" t="s">
        <v>491</v>
      </c>
      <c r="F71" t="s">
        <v>524</v>
      </c>
      <c r="G71" t="s">
        <v>573</v>
      </c>
    </row>
    <row r="72" spans="1:7" x14ac:dyDescent="0.25">
      <c r="A72" t="s">
        <v>286</v>
      </c>
      <c r="B72" t="s">
        <v>394</v>
      </c>
      <c r="C72" t="s">
        <v>491</v>
      </c>
      <c r="E72" t="s">
        <v>491</v>
      </c>
      <c r="F72" t="s">
        <v>524</v>
      </c>
      <c r="G72" t="s">
        <v>573</v>
      </c>
    </row>
    <row r="73" spans="1:7" x14ac:dyDescent="0.25">
      <c r="A73" t="s">
        <v>286</v>
      </c>
      <c r="B73" t="s">
        <v>394</v>
      </c>
      <c r="C73" t="s">
        <v>491</v>
      </c>
      <c r="E73" t="s">
        <v>491</v>
      </c>
      <c r="F73" t="s">
        <v>524</v>
      </c>
      <c r="G73" t="s">
        <v>573</v>
      </c>
    </row>
    <row r="74" spans="1:7" x14ac:dyDescent="0.25">
      <c r="A74" t="s">
        <v>286</v>
      </c>
      <c r="B74" t="s">
        <v>395</v>
      </c>
      <c r="C74" t="s">
        <v>491</v>
      </c>
      <c r="E74" t="s">
        <v>491</v>
      </c>
      <c r="F74" t="s">
        <v>524</v>
      </c>
      <c r="G74" t="s">
        <v>573</v>
      </c>
    </row>
    <row r="75" spans="1:7" x14ac:dyDescent="0.25">
      <c r="A75" t="s">
        <v>286</v>
      </c>
      <c r="B75" t="s">
        <v>396</v>
      </c>
      <c r="C75" t="s">
        <v>486</v>
      </c>
      <c r="E75" t="s">
        <v>486</v>
      </c>
      <c r="F75" t="s">
        <v>541</v>
      </c>
      <c r="G75" t="s">
        <v>573</v>
      </c>
    </row>
    <row r="76" spans="1:7" x14ac:dyDescent="0.25">
      <c r="A76" t="s">
        <v>286</v>
      </c>
      <c r="B76" t="s">
        <v>397</v>
      </c>
      <c r="C76" t="s">
        <v>486</v>
      </c>
      <c r="E76" t="s">
        <v>486</v>
      </c>
      <c r="F76" t="s">
        <v>541</v>
      </c>
      <c r="G76" t="s">
        <v>573</v>
      </c>
    </row>
    <row r="77" spans="1:7" x14ac:dyDescent="0.25">
      <c r="A77" t="s">
        <v>286</v>
      </c>
      <c r="B77" t="s">
        <v>398</v>
      </c>
      <c r="C77" t="s">
        <v>486</v>
      </c>
      <c r="E77" t="s">
        <v>486</v>
      </c>
      <c r="F77" t="s">
        <v>541</v>
      </c>
      <c r="G77" t="s">
        <v>573</v>
      </c>
    </row>
    <row r="78" spans="1:7" x14ac:dyDescent="0.25">
      <c r="A78" t="s">
        <v>287</v>
      </c>
      <c r="B78" t="s">
        <v>399</v>
      </c>
      <c r="C78" t="s">
        <v>477</v>
      </c>
      <c r="E78" t="s">
        <v>477</v>
      </c>
      <c r="F78" t="s">
        <v>542</v>
      </c>
      <c r="G78" t="s">
        <v>573</v>
      </c>
    </row>
    <row r="79" spans="1:7" x14ac:dyDescent="0.25">
      <c r="A79" t="s">
        <v>288</v>
      </c>
      <c r="B79" t="s">
        <v>400</v>
      </c>
      <c r="C79" t="s">
        <v>477</v>
      </c>
      <c r="E79" t="s">
        <v>477</v>
      </c>
      <c r="F79" t="s">
        <v>543</v>
      </c>
      <c r="G79" t="s">
        <v>573</v>
      </c>
    </row>
    <row r="80" spans="1:7" x14ac:dyDescent="0.25">
      <c r="A80" t="s">
        <v>285</v>
      </c>
      <c r="B80" t="s">
        <v>401</v>
      </c>
      <c r="C80" t="s">
        <v>477</v>
      </c>
      <c r="E80" t="s">
        <v>477</v>
      </c>
      <c r="F80" t="s">
        <v>529</v>
      </c>
      <c r="G80" t="s">
        <v>570</v>
      </c>
    </row>
    <row r="81" spans="1:7" x14ac:dyDescent="0.25">
      <c r="A81" t="s">
        <v>289</v>
      </c>
      <c r="B81" t="s">
        <v>402</v>
      </c>
      <c r="C81" t="s">
        <v>492</v>
      </c>
      <c r="E81" t="s">
        <v>492</v>
      </c>
      <c r="F81" t="s">
        <v>529</v>
      </c>
      <c r="G81" t="s">
        <v>572</v>
      </c>
    </row>
    <row r="82" spans="1:7" x14ac:dyDescent="0.25">
      <c r="A82" t="s">
        <v>289</v>
      </c>
      <c r="B82" t="s">
        <v>403</v>
      </c>
      <c r="C82" t="s">
        <v>492</v>
      </c>
      <c r="E82" t="s">
        <v>492</v>
      </c>
      <c r="F82" t="s">
        <v>543</v>
      </c>
      <c r="G82" t="s">
        <v>572</v>
      </c>
    </row>
    <row r="83" spans="1:7" x14ac:dyDescent="0.25">
      <c r="A83" t="s">
        <v>289</v>
      </c>
      <c r="B83" t="s">
        <v>404</v>
      </c>
      <c r="C83" t="s">
        <v>492</v>
      </c>
      <c r="E83" t="s">
        <v>492</v>
      </c>
      <c r="F83" t="s">
        <v>529</v>
      </c>
      <c r="G83" t="s">
        <v>572</v>
      </c>
    </row>
    <row r="84" spans="1:7" x14ac:dyDescent="0.25">
      <c r="A84" t="s">
        <v>286</v>
      </c>
      <c r="B84" t="s">
        <v>405</v>
      </c>
      <c r="C84" t="s">
        <v>486</v>
      </c>
      <c r="E84" t="s">
        <v>486</v>
      </c>
      <c r="F84" t="s">
        <v>540</v>
      </c>
      <c r="G84" t="s">
        <v>572</v>
      </c>
    </row>
    <row r="85" spans="1:7" x14ac:dyDescent="0.25">
      <c r="A85" t="s">
        <v>286</v>
      </c>
      <c r="B85" t="s">
        <v>406</v>
      </c>
      <c r="C85" t="s">
        <v>486</v>
      </c>
      <c r="E85" t="s">
        <v>486</v>
      </c>
      <c r="F85" t="s">
        <v>536</v>
      </c>
      <c r="G85" t="s">
        <v>572</v>
      </c>
    </row>
    <row r="86" spans="1:7" x14ac:dyDescent="0.25">
      <c r="A86" t="s">
        <v>290</v>
      </c>
      <c r="B86" t="s">
        <v>407</v>
      </c>
      <c r="C86" t="s">
        <v>478</v>
      </c>
      <c r="E86" t="s">
        <v>478</v>
      </c>
      <c r="F86" t="s">
        <v>544</v>
      </c>
      <c r="G86" t="s">
        <v>569</v>
      </c>
    </row>
    <row r="87" spans="1:7" x14ac:dyDescent="0.25">
      <c r="A87" t="s">
        <v>291</v>
      </c>
      <c r="B87" t="s">
        <v>408</v>
      </c>
      <c r="C87" t="s">
        <v>478</v>
      </c>
      <c r="E87" t="s">
        <v>478</v>
      </c>
      <c r="F87" t="s">
        <v>545</v>
      </c>
      <c r="G87" t="s">
        <v>576</v>
      </c>
    </row>
    <row r="88" spans="1:7" x14ac:dyDescent="0.25">
      <c r="A88" t="s">
        <v>292</v>
      </c>
      <c r="B88" t="s">
        <v>409</v>
      </c>
      <c r="C88" t="s">
        <v>478</v>
      </c>
      <c r="E88" t="s">
        <v>478</v>
      </c>
      <c r="F88" t="s">
        <v>546</v>
      </c>
      <c r="G88" t="s">
        <v>576</v>
      </c>
    </row>
    <row r="89" spans="1:7" x14ac:dyDescent="0.25">
      <c r="A89" t="s">
        <v>292</v>
      </c>
      <c r="B89" t="s">
        <v>410</v>
      </c>
      <c r="C89" t="s">
        <v>478</v>
      </c>
      <c r="E89" t="s">
        <v>478</v>
      </c>
      <c r="F89" t="s">
        <v>547</v>
      </c>
      <c r="G89" t="s">
        <v>576</v>
      </c>
    </row>
    <row r="90" spans="1:7" x14ac:dyDescent="0.25">
      <c r="A90" t="s">
        <v>268</v>
      </c>
      <c r="B90" t="s">
        <v>411</v>
      </c>
      <c r="C90" t="s">
        <v>478</v>
      </c>
      <c r="E90" t="s">
        <v>478</v>
      </c>
      <c r="F90" t="s">
        <v>520</v>
      </c>
      <c r="G90" t="s">
        <v>576</v>
      </c>
    </row>
    <row r="91" spans="1:7" x14ac:dyDescent="0.25">
      <c r="A91" t="s">
        <v>293</v>
      </c>
      <c r="B91" t="s">
        <v>412</v>
      </c>
      <c r="C91" t="s">
        <v>478</v>
      </c>
      <c r="E91" t="s">
        <v>478</v>
      </c>
      <c r="F91" t="s">
        <v>536</v>
      </c>
      <c r="G91" t="s">
        <v>571</v>
      </c>
    </row>
    <row r="92" spans="1:7" x14ac:dyDescent="0.25">
      <c r="A92" t="s">
        <v>294</v>
      </c>
      <c r="B92" t="s">
        <v>413</v>
      </c>
      <c r="C92" t="s">
        <v>493</v>
      </c>
      <c r="E92" t="s">
        <v>493</v>
      </c>
      <c r="F92" t="s">
        <v>548</v>
      </c>
      <c r="G92" t="s">
        <v>577</v>
      </c>
    </row>
    <row r="93" spans="1:7" x14ac:dyDescent="0.25">
      <c r="A93" t="s">
        <v>295</v>
      </c>
      <c r="B93" t="s">
        <v>414</v>
      </c>
      <c r="C93" t="s">
        <v>494</v>
      </c>
      <c r="E93" t="s">
        <v>494</v>
      </c>
      <c r="F93" t="s">
        <v>549</v>
      </c>
      <c r="G93" t="s">
        <v>577</v>
      </c>
    </row>
    <row r="94" spans="1:7" x14ac:dyDescent="0.25">
      <c r="A94" t="s">
        <v>296</v>
      </c>
      <c r="B94" t="s">
        <v>415</v>
      </c>
      <c r="C94" t="s">
        <v>494</v>
      </c>
      <c r="E94" t="s">
        <v>494</v>
      </c>
      <c r="F94" t="s">
        <v>550</v>
      </c>
      <c r="G94" t="s">
        <v>577</v>
      </c>
    </row>
    <row r="95" spans="1:7" x14ac:dyDescent="0.25">
      <c r="A95" t="s">
        <v>297</v>
      </c>
      <c r="B95" t="s">
        <v>416</v>
      </c>
      <c r="C95" t="s">
        <v>488</v>
      </c>
      <c r="E95" t="s">
        <v>488</v>
      </c>
      <c r="F95" t="s">
        <v>551</v>
      </c>
      <c r="G95" t="s">
        <v>577</v>
      </c>
    </row>
    <row r="96" spans="1:7" x14ac:dyDescent="0.25">
      <c r="A96" t="s">
        <v>298</v>
      </c>
      <c r="B96" t="s">
        <v>417</v>
      </c>
      <c r="C96" t="s">
        <v>495</v>
      </c>
      <c r="E96" t="s">
        <v>495</v>
      </c>
      <c r="F96" t="s">
        <v>552</v>
      </c>
      <c r="G96" t="s">
        <v>577</v>
      </c>
    </row>
    <row r="97" spans="1:7" x14ac:dyDescent="0.25">
      <c r="A97" t="s">
        <v>299</v>
      </c>
      <c r="B97" t="s">
        <v>418</v>
      </c>
      <c r="C97" t="s">
        <v>496</v>
      </c>
      <c r="E97" t="s">
        <v>496</v>
      </c>
      <c r="F97" t="s">
        <v>516</v>
      </c>
      <c r="G97" t="s">
        <v>577</v>
      </c>
    </row>
    <row r="98" spans="1:7" x14ac:dyDescent="0.25">
      <c r="A98" t="s">
        <v>300</v>
      </c>
      <c r="B98" t="s">
        <v>419</v>
      </c>
      <c r="C98" t="s">
        <v>497</v>
      </c>
      <c r="E98" t="s">
        <v>497</v>
      </c>
      <c r="F98" t="s">
        <v>553</v>
      </c>
      <c r="G98" t="s">
        <v>577</v>
      </c>
    </row>
    <row r="99" spans="1:7" x14ac:dyDescent="0.25">
      <c r="A99" t="s">
        <v>301</v>
      </c>
      <c r="B99" t="s">
        <v>420</v>
      </c>
      <c r="C99" t="s">
        <v>478</v>
      </c>
      <c r="E99" t="s">
        <v>478</v>
      </c>
      <c r="F99" t="s">
        <v>516</v>
      </c>
      <c r="G99" t="s">
        <v>576</v>
      </c>
    </row>
    <row r="100" spans="1:7" x14ac:dyDescent="0.25">
      <c r="A100" t="s">
        <v>283</v>
      </c>
      <c r="B100" t="s">
        <v>421</v>
      </c>
      <c r="C100" t="s">
        <v>477</v>
      </c>
      <c r="E100" t="s">
        <v>477</v>
      </c>
      <c r="F100" t="s">
        <v>540</v>
      </c>
      <c r="G100" t="s">
        <v>578</v>
      </c>
    </row>
    <row r="101" spans="1:7" x14ac:dyDescent="0.25">
      <c r="A101" t="s">
        <v>264</v>
      </c>
      <c r="B101" t="s">
        <v>422</v>
      </c>
      <c r="C101" t="s">
        <v>477</v>
      </c>
      <c r="E101" t="s">
        <v>477</v>
      </c>
      <c r="F101" t="s">
        <v>541</v>
      </c>
      <c r="G101" t="s">
        <v>578</v>
      </c>
    </row>
    <row r="102" spans="1:7" x14ac:dyDescent="0.25">
      <c r="A102" t="s">
        <v>264</v>
      </c>
      <c r="B102" t="s">
        <v>423</v>
      </c>
      <c r="C102" t="s">
        <v>478</v>
      </c>
      <c r="E102" t="s">
        <v>478</v>
      </c>
      <c r="F102" t="s">
        <v>516</v>
      </c>
      <c r="G102" t="s">
        <v>578</v>
      </c>
    </row>
    <row r="103" spans="1:7" x14ac:dyDescent="0.25">
      <c r="A103" t="s">
        <v>301</v>
      </c>
      <c r="B103" t="s">
        <v>424</v>
      </c>
      <c r="C103" t="s">
        <v>478</v>
      </c>
      <c r="E103" t="s">
        <v>478</v>
      </c>
      <c r="F103" t="s">
        <v>537</v>
      </c>
      <c r="G103" t="s">
        <v>576</v>
      </c>
    </row>
    <row r="104" spans="1:7" x14ac:dyDescent="0.25">
      <c r="A104" t="s">
        <v>283</v>
      </c>
      <c r="B104" t="s">
        <v>425</v>
      </c>
      <c r="C104" t="s">
        <v>498</v>
      </c>
      <c r="E104" t="s">
        <v>498</v>
      </c>
      <c r="F104" t="s">
        <v>529</v>
      </c>
      <c r="G104" t="s">
        <v>578</v>
      </c>
    </row>
    <row r="105" spans="1:7" x14ac:dyDescent="0.25">
      <c r="A105" t="s">
        <v>302</v>
      </c>
      <c r="B105" t="s">
        <v>426</v>
      </c>
      <c r="C105" t="s">
        <v>478</v>
      </c>
      <c r="E105" t="s">
        <v>478</v>
      </c>
      <c r="F105" t="s">
        <v>529</v>
      </c>
      <c r="G105" t="s">
        <v>579</v>
      </c>
    </row>
    <row r="106" spans="1:7" x14ac:dyDescent="0.25">
      <c r="A106" t="s">
        <v>285</v>
      </c>
      <c r="B106" t="s">
        <v>427</v>
      </c>
      <c r="C106" t="s">
        <v>499</v>
      </c>
      <c r="E106" t="s">
        <v>499</v>
      </c>
      <c r="F106" t="s">
        <v>542</v>
      </c>
      <c r="G106" t="s">
        <v>577</v>
      </c>
    </row>
    <row r="107" spans="1:7" x14ac:dyDescent="0.25">
      <c r="A107" t="s">
        <v>303</v>
      </c>
      <c r="B107" t="s">
        <v>428</v>
      </c>
      <c r="C107" t="s">
        <v>500</v>
      </c>
      <c r="E107" t="s">
        <v>500</v>
      </c>
      <c r="F107" t="s">
        <v>546</v>
      </c>
      <c r="G107" t="s">
        <v>577</v>
      </c>
    </row>
    <row r="108" spans="1:7" x14ac:dyDescent="0.25">
      <c r="A108" t="s">
        <v>304</v>
      </c>
      <c r="B108" t="s">
        <v>429</v>
      </c>
      <c r="C108" t="s">
        <v>478</v>
      </c>
      <c r="E108" t="s">
        <v>478</v>
      </c>
      <c r="F108" t="s">
        <v>554</v>
      </c>
      <c r="G108" t="s">
        <v>569</v>
      </c>
    </row>
    <row r="109" spans="1:7" x14ac:dyDescent="0.25">
      <c r="A109" t="s">
        <v>277</v>
      </c>
      <c r="B109" t="s">
        <v>430</v>
      </c>
      <c r="C109" t="s">
        <v>478</v>
      </c>
      <c r="E109" t="s">
        <v>478</v>
      </c>
      <c r="F109" t="s">
        <v>539</v>
      </c>
      <c r="G109" t="s">
        <v>571</v>
      </c>
    </row>
    <row r="110" spans="1:7" x14ac:dyDescent="0.25">
      <c r="A110" t="s">
        <v>277</v>
      </c>
      <c r="B110" t="s">
        <v>431</v>
      </c>
      <c r="C110" t="s">
        <v>478</v>
      </c>
      <c r="E110" t="s">
        <v>478</v>
      </c>
      <c r="F110" t="s">
        <v>534</v>
      </c>
      <c r="G110" t="s">
        <v>571</v>
      </c>
    </row>
    <row r="111" spans="1:7" x14ac:dyDescent="0.25">
      <c r="A111" t="s">
        <v>277</v>
      </c>
      <c r="B111" t="s">
        <v>432</v>
      </c>
      <c r="C111" t="s">
        <v>501</v>
      </c>
      <c r="E111" t="s">
        <v>501</v>
      </c>
      <c r="F111" t="s">
        <v>555</v>
      </c>
      <c r="G111" t="s">
        <v>571</v>
      </c>
    </row>
    <row r="112" spans="1:7" x14ac:dyDescent="0.25">
      <c r="A112" t="s">
        <v>263</v>
      </c>
      <c r="B112" t="s">
        <v>433</v>
      </c>
      <c r="C112" t="s">
        <v>502</v>
      </c>
      <c r="E112" t="s">
        <v>502</v>
      </c>
      <c r="F112" t="s">
        <v>556</v>
      </c>
      <c r="G112" t="s">
        <v>580</v>
      </c>
    </row>
    <row r="113" spans="1:7" x14ac:dyDescent="0.25">
      <c r="A113" t="s">
        <v>268</v>
      </c>
      <c r="B113" t="s">
        <v>434</v>
      </c>
      <c r="C113" t="s">
        <v>478</v>
      </c>
      <c r="E113" t="s">
        <v>478</v>
      </c>
      <c r="F113" t="s">
        <v>520</v>
      </c>
      <c r="G113" t="s">
        <v>571</v>
      </c>
    </row>
    <row r="114" spans="1:7" x14ac:dyDescent="0.25">
      <c r="A114" t="s">
        <v>305</v>
      </c>
      <c r="B114" t="s">
        <v>435</v>
      </c>
      <c r="C114" t="s">
        <v>478</v>
      </c>
      <c r="E114" t="s">
        <v>478</v>
      </c>
      <c r="F114" t="s">
        <v>557</v>
      </c>
      <c r="G114" t="s">
        <v>569</v>
      </c>
    </row>
    <row r="115" spans="1:7" x14ac:dyDescent="0.25">
      <c r="A115" t="s">
        <v>306</v>
      </c>
      <c r="B115" t="s">
        <v>436</v>
      </c>
      <c r="C115" t="s">
        <v>478</v>
      </c>
      <c r="E115" t="s">
        <v>478</v>
      </c>
      <c r="F115" t="s">
        <v>558</v>
      </c>
      <c r="G115" t="s">
        <v>569</v>
      </c>
    </row>
    <row r="116" spans="1:7" x14ac:dyDescent="0.25">
      <c r="A116" t="s">
        <v>307</v>
      </c>
      <c r="B116" t="s">
        <v>437</v>
      </c>
      <c r="C116" t="s">
        <v>478</v>
      </c>
      <c r="E116" t="s">
        <v>478</v>
      </c>
      <c r="F116" t="s">
        <v>559</v>
      </c>
      <c r="G116" t="s">
        <v>574</v>
      </c>
    </row>
    <row r="117" spans="1:7" x14ac:dyDescent="0.25">
      <c r="A117" t="s">
        <v>308</v>
      </c>
      <c r="B117" t="s">
        <v>438</v>
      </c>
      <c r="C117" t="s">
        <v>478</v>
      </c>
      <c r="E117" t="s">
        <v>478</v>
      </c>
      <c r="F117" t="s">
        <v>560</v>
      </c>
      <c r="G117" t="s">
        <v>569</v>
      </c>
    </row>
    <row r="118" spans="1:7" x14ac:dyDescent="0.25">
      <c r="A118" t="s">
        <v>309</v>
      </c>
      <c r="B118" t="s">
        <v>439</v>
      </c>
      <c r="C118" t="s">
        <v>478</v>
      </c>
      <c r="E118" t="s">
        <v>478</v>
      </c>
      <c r="F118" t="s">
        <v>558</v>
      </c>
      <c r="G118" t="s">
        <v>574</v>
      </c>
    </row>
    <row r="119" spans="1:7" x14ac:dyDescent="0.25">
      <c r="A119" t="s">
        <v>310</v>
      </c>
      <c r="B119" t="s">
        <v>440</v>
      </c>
      <c r="C119" t="s">
        <v>478</v>
      </c>
      <c r="E119" t="s">
        <v>478</v>
      </c>
      <c r="F119" t="s">
        <v>561</v>
      </c>
      <c r="G119" t="s">
        <v>569</v>
      </c>
    </row>
    <row r="120" spans="1:7" x14ac:dyDescent="0.25">
      <c r="A120" t="s">
        <v>311</v>
      </c>
      <c r="B120" t="s">
        <v>441</v>
      </c>
      <c r="C120" t="s">
        <v>481</v>
      </c>
      <c r="E120" t="s">
        <v>481</v>
      </c>
      <c r="F120" t="s">
        <v>527</v>
      </c>
      <c r="G120" t="s">
        <v>580</v>
      </c>
    </row>
    <row r="121" spans="1:7" x14ac:dyDescent="0.25">
      <c r="A121" t="s">
        <v>311</v>
      </c>
      <c r="B121" t="s">
        <v>442</v>
      </c>
      <c r="C121" t="s">
        <v>482</v>
      </c>
      <c r="E121" t="s">
        <v>482</v>
      </c>
      <c r="F121" t="s">
        <v>562</v>
      </c>
      <c r="G121" t="s">
        <v>580</v>
      </c>
    </row>
    <row r="122" spans="1:7" x14ac:dyDescent="0.25">
      <c r="A122" t="s">
        <v>311</v>
      </c>
      <c r="B122" t="s">
        <v>443</v>
      </c>
      <c r="C122" t="s">
        <v>481</v>
      </c>
      <c r="E122" t="s">
        <v>481</v>
      </c>
      <c r="F122" t="s">
        <v>563</v>
      </c>
      <c r="G122" t="s">
        <v>580</v>
      </c>
    </row>
    <row r="123" spans="1:7" x14ac:dyDescent="0.25">
      <c r="A123" t="s">
        <v>312</v>
      </c>
      <c r="B123" t="s">
        <v>444</v>
      </c>
      <c r="C123" t="s">
        <v>481</v>
      </c>
      <c r="E123" t="s">
        <v>481</v>
      </c>
      <c r="F123" t="s">
        <v>526</v>
      </c>
      <c r="G123" t="s">
        <v>580</v>
      </c>
    </row>
    <row r="124" spans="1:7" x14ac:dyDescent="0.25">
      <c r="A124" t="s">
        <v>286</v>
      </c>
      <c r="B124" t="s">
        <v>445</v>
      </c>
      <c r="C124" t="s">
        <v>486</v>
      </c>
      <c r="E124" t="s">
        <v>486</v>
      </c>
      <c r="F124" t="s">
        <v>542</v>
      </c>
      <c r="G124" t="s">
        <v>580</v>
      </c>
    </row>
    <row r="125" spans="1:7" x14ac:dyDescent="0.25">
      <c r="A125" t="s">
        <v>286</v>
      </c>
      <c r="B125" t="s">
        <v>446</v>
      </c>
      <c r="C125" t="s">
        <v>486</v>
      </c>
      <c r="E125" t="s">
        <v>486</v>
      </c>
      <c r="F125" t="s">
        <v>541</v>
      </c>
      <c r="G125" t="s">
        <v>580</v>
      </c>
    </row>
    <row r="126" spans="1:7" x14ac:dyDescent="0.25">
      <c r="A126" t="s">
        <v>313</v>
      </c>
      <c r="B126" t="s">
        <v>447</v>
      </c>
      <c r="C126" t="s">
        <v>478</v>
      </c>
      <c r="E126" t="s">
        <v>478</v>
      </c>
      <c r="F126" t="s">
        <v>516</v>
      </c>
      <c r="G126" t="s">
        <v>569</v>
      </c>
    </row>
    <row r="127" spans="1:7" x14ac:dyDescent="0.25">
      <c r="A127" t="s">
        <v>314</v>
      </c>
      <c r="B127" t="s">
        <v>448</v>
      </c>
      <c r="C127" t="s">
        <v>478</v>
      </c>
      <c r="E127" t="s">
        <v>478</v>
      </c>
      <c r="F127" t="s">
        <v>516</v>
      </c>
      <c r="G127" t="s">
        <v>569</v>
      </c>
    </row>
    <row r="128" spans="1:7" x14ac:dyDescent="0.25">
      <c r="A128" t="s">
        <v>315</v>
      </c>
      <c r="B128" t="s">
        <v>449</v>
      </c>
      <c r="C128" t="s">
        <v>478</v>
      </c>
      <c r="E128" t="s">
        <v>478</v>
      </c>
      <c r="F128" t="s">
        <v>530</v>
      </c>
      <c r="G128" t="s">
        <v>569</v>
      </c>
    </row>
    <row r="129" spans="1:7" x14ac:dyDescent="0.25">
      <c r="A129" t="s">
        <v>315</v>
      </c>
      <c r="B129" t="s">
        <v>450</v>
      </c>
      <c r="C129" t="s">
        <v>478</v>
      </c>
      <c r="E129" t="s">
        <v>478</v>
      </c>
      <c r="F129" t="s">
        <v>530</v>
      </c>
      <c r="G129" t="s">
        <v>569</v>
      </c>
    </row>
    <row r="130" spans="1:7" x14ac:dyDescent="0.25">
      <c r="A130" t="s">
        <v>315</v>
      </c>
      <c r="B130" t="s">
        <v>451</v>
      </c>
      <c r="C130" t="s">
        <v>478</v>
      </c>
      <c r="E130" t="s">
        <v>478</v>
      </c>
      <c r="F130" t="s">
        <v>530</v>
      </c>
      <c r="G130" t="s">
        <v>569</v>
      </c>
    </row>
    <row r="131" spans="1:7" x14ac:dyDescent="0.25">
      <c r="A131" t="s">
        <v>313</v>
      </c>
      <c r="B131" t="s">
        <v>452</v>
      </c>
      <c r="C131" t="s">
        <v>478</v>
      </c>
      <c r="E131" t="s">
        <v>478</v>
      </c>
      <c r="F131" t="s">
        <v>524</v>
      </c>
      <c r="G131" t="s">
        <v>569</v>
      </c>
    </row>
    <row r="132" spans="1:7" x14ac:dyDescent="0.25">
      <c r="A132" t="s">
        <v>314</v>
      </c>
      <c r="B132" t="s">
        <v>453</v>
      </c>
      <c r="C132" t="s">
        <v>478</v>
      </c>
      <c r="E132" t="s">
        <v>478</v>
      </c>
      <c r="F132" t="s">
        <v>538</v>
      </c>
      <c r="G132" t="s">
        <v>569</v>
      </c>
    </row>
    <row r="133" spans="1:7" x14ac:dyDescent="0.25">
      <c r="A133" t="s">
        <v>314</v>
      </c>
      <c r="B133" t="s">
        <v>454</v>
      </c>
      <c r="C133" t="s">
        <v>478</v>
      </c>
      <c r="E133" t="s">
        <v>478</v>
      </c>
      <c r="F133" t="s">
        <v>530</v>
      </c>
      <c r="G133" t="s">
        <v>569</v>
      </c>
    </row>
    <row r="134" spans="1:7" x14ac:dyDescent="0.25">
      <c r="A134" t="s">
        <v>314</v>
      </c>
      <c r="B134" t="s">
        <v>455</v>
      </c>
      <c r="C134" t="s">
        <v>478</v>
      </c>
      <c r="E134" t="s">
        <v>478</v>
      </c>
      <c r="F134" t="s">
        <v>538</v>
      </c>
      <c r="G134" t="s">
        <v>569</v>
      </c>
    </row>
    <row r="135" spans="1:7" x14ac:dyDescent="0.25">
      <c r="A135" t="s">
        <v>314</v>
      </c>
      <c r="B135" t="s">
        <v>456</v>
      </c>
      <c r="C135" t="s">
        <v>478</v>
      </c>
      <c r="E135" t="s">
        <v>478</v>
      </c>
      <c r="F135" t="s">
        <v>530</v>
      </c>
      <c r="G135" t="s">
        <v>569</v>
      </c>
    </row>
    <row r="136" spans="1:7" x14ac:dyDescent="0.25">
      <c r="A136" t="s">
        <v>277</v>
      </c>
      <c r="B136" t="s">
        <v>457</v>
      </c>
      <c r="C136" t="s">
        <v>501</v>
      </c>
      <c r="E136" t="s">
        <v>501</v>
      </c>
      <c r="F136" t="s">
        <v>564</v>
      </c>
      <c r="G136" t="s">
        <v>571</v>
      </c>
    </row>
    <row r="137" spans="1:7" x14ac:dyDescent="0.25">
      <c r="A137" t="s">
        <v>263</v>
      </c>
      <c r="B137" t="s">
        <v>458</v>
      </c>
      <c r="C137" t="s">
        <v>476</v>
      </c>
      <c r="E137" t="s">
        <v>476</v>
      </c>
      <c r="F137" t="s">
        <v>565</v>
      </c>
      <c r="G137" t="s">
        <v>580</v>
      </c>
    </row>
    <row r="138" spans="1:7" x14ac:dyDescent="0.25">
      <c r="A138" t="s">
        <v>316</v>
      </c>
      <c r="B138" t="s">
        <v>459</v>
      </c>
      <c r="C138" t="s">
        <v>478</v>
      </c>
      <c r="E138" t="s">
        <v>478</v>
      </c>
      <c r="F138" t="s">
        <v>557</v>
      </c>
      <c r="G138" t="s">
        <v>569</v>
      </c>
    </row>
    <row r="139" spans="1:7" x14ac:dyDescent="0.25">
      <c r="A139" t="s">
        <v>317</v>
      </c>
      <c r="B139" t="s">
        <v>460</v>
      </c>
      <c r="C139" t="s">
        <v>478</v>
      </c>
      <c r="E139" t="s">
        <v>478</v>
      </c>
      <c r="F139" t="s">
        <v>560</v>
      </c>
      <c r="G139" t="s">
        <v>569</v>
      </c>
    </row>
    <row r="140" spans="1:7" x14ac:dyDescent="0.25">
      <c r="A140" t="s">
        <v>318</v>
      </c>
      <c r="B140" t="s">
        <v>461</v>
      </c>
      <c r="C140" t="s">
        <v>478</v>
      </c>
      <c r="E140" t="s">
        <v>478</v>
      </c>
      <c r="F140" t="s">
        <v>561</v>
      </c>
      <c r="G140" t="s">
        <v>574</v>
      </c>
    </row>
    <row r="141" spans="1:7" x14ac:dyDescent="0.25">
      <c r="A141" t="s">
        <v>319</v>
      </c>
      <c r="B141" t="s">
        <v>462</v>
      </c>
      <c r="C141" t="s">
        <v>482</v>
      </c>
      <c r="E141" t="s">
        <v>482</v>
      </c>
      <c r="F141" t="s">
        <v>526</v>
      </c>
      <c r="G141" t="s">
        <v>580</v>
      </c>
    </row>
    <row r="142" spans="1:7" x14ac:dyDescent="0.25">
      <c r="A142" t="s">
        <v>320</v>
      </c>
      <c r="B142" t="s">
        <v>463</v>
      </c>
      <c r="C142" t="s">
        <v>488</v>
      </c>
      <c r="E142" t="s">
        <v>488</v>
      </c>
      <c r="F142" t="s">
        <v>562</v>
      </c>
      <c r="G142" t="s">
        <v>580</v>
      </c>
    </row>
    <row r="143" spans="1:7" x14ac:dyDescent="0.25">
      <c r="A143" t="s">
        <v>319</v>
      </c>
      <c r="B143" t="s">
        <v>464</v>
      </c>
      <c r="C143" t="s">
        <v>482</v>
      </c>
      <c r="E143" t="s">
        <v>482</v>
      </c>
      <c r="F143" t="s">
        <v>563</v>
      </c>
      <c r="G143" t="s">
        <v>580</v>
      </c>
    </row>
    <row r="144" spans="1:7" x14ac:dyDescent="0.25">
      <c r="A144" t="s">
        <v>319</v>
      </c>
      <c r="B144" t="s">
        <v>465</v>
      </c>
      <c r="C144" t="s">
        <v>481</v>
      </c>
      <c r="E144" t="s">
        <v>481</v>
      </c>
      <c r="F144" t="s">
        <v>526</v>
      </c>
      <c r="G144" t="s">
        <v>580</v>
      </c>
    </row>
    <row r="145" spans="1:7" x14ac:dyDescent="0.25">
      <c r="A145" t="s">
        <v>321</v>
      </c>
      <c r="B145" t="s">
        <v>466</v>
      </c>
      <c r="C145" t="s">
        <v>488</v>
      </c>
      <c r="E145" t="s">
        <v>488</v>
      </c>
      <c r="F145" t="s">
        <v>547</v>
      </c>
      <c r="G145" t="s">
        <v>574</v>
      </c>
    </row>
    <row r="146" spans="1:7" x14ac:dyDescent="0.25">
      <c r="A146" t="s">
        <v>322</v>
      </c>
      <c r="B146" t="s">
        <v>467</v>
      </c>
      <c r="C146" t="s">
        <v>482</v>
      </c>
      <c r="E146" t="s">
        <v>482</v>
      </c>
      <c r="F146" t="s">
        <v>566</v>
      </c>
      <c r="G146" t="s">
        <v>574</v>
      </c>
    </row>
    <row r="147" spans="1:7" x14ac:dyDescent="0.25">
      <c r="A147" t="s">
        <v>283</v>
      </c>
      <c r="B147" t="s">
        <v>468</v>
      </c>
      <c r="C147" t="s">
        <v>478</v>
      </c>
      <c r="E147" t="s">
        <v>478</v>
      </c>
      <c r="F147" t="s">
        <v>524</v>
      </c>
      <c r="G147" t="s">
        <v>581</v>
      </c>
    </row>
    <row r="148" spans="1:7" x14ac:dyDescent="0.25">
      <c r="A148" t="s">
        <v>275</v>
      </c>
      <c r="B148" t="s">
        <v>469</v>
      </c>
      <c r="C148" t="s">
        <v>478</v>
      </c>
      <c r="E148" t="s">
        <v>478</v>
      </c>
      <c r="F148" t="s">
        <v>530</v>
      </c>
      <c r="G148" t="s">
        <v>581</v>
      </c>
    </row>
    <row r="149" spans="1:7" x14ac:dyDescent="0.25">
      <c r="A149" t="s">
        <v>275</v>
      </c>
      <c r="B149" t="s">
        <v>470</v>
      </c>
      <c r="C149" t="s">
        <v>478</v>
      </c>
      <c r="E149" t="s">
        <v>478</v>
      </c>
      <c r="F149" t="s">
        <v>530</v>
      </c>
      <c r="G149" t="s">
        <v>581</v>
      </c>
    </row>
    <row r="150" spans="1:7" x14ac:dyDescent="0.25">
      <c r="A150" t="s">
        <v>275</v>
      </c>
      <c r="B150" t="s">
        <v>471</v>
      </c>
      <c r="C150" t="s">
        <v>478</v>
      </c>
      <c r="E150" t="s">
        <v>478</v>
      </c>
      <c r="F150" t="s">
        <v>530</v>
      </c>
      <c r="G150" t="s">
        <v>581</v>
      </c>
    </row>
    <row r="151" spans="1:7" x14ac:dyDescent="0.25">
      <c r="A151" t="s">
        <v>275</v>
      </c>
      <c r="B151" t="s">
        <v>472</v>
      </c>
      <c r="C151" t="s">
        <v>478</v>
      </c>
      <c r="E151" t="s">
        <v>478</v>
      </c>
      <c r="F151" t="s">
        <v>530</v>
      </c>
      <c r="G151" t="s">
        <v>581</v>
      </c>
    </row>
    <row r="152" spans="1:7" x14ac:dyDescent="0.25">
      <c r="A152" t="s">
        <v>286</v>
      </c>
      <c r="B152" t="s">
        <v>473</v>
      </c>
      <c r="C152" t="s">
        <v>486</v>
      </c>
      <c r="E152" t="s">
        <v>486</v>
      </c>
      <c r="F152" t="s">
        <v>542</v>
      </c>
      <c r="G152" t="s">
        <v>580</v>
      </c>
    </row>
    <row r="153" spans="1:7" x14ac:dyDescent="0.25">
      <c r="A153" t="s">
        <v>286</v>
      </c>
      <c r="B153" t="s">
        <v>474</v>
      </c>
      <c r="C153" t="s">
        <v>486</v>
      </c>
      <c r="E153" t="s">
        <v>486</v>
      </c>
      <c r="F153" t="s">
        <v>542</v>
      </c>
      <c r="G153" t="s">
        <v>580</v>
      </c>
    </row>
    <row r="154" spans="1:7" x14ac:dyDescent="0.25">
      <c r="A154" t="s">
        <v>289</v>
      </c>
      <c r="B154" t="s">
        <v>475</v>
      </c>
      <c r="C154" t="s">
        <v>478</v>
      </c>
      <c r="E154" t="s">
        <v>478</v>
      </c>
      <c r="F154" t="s">
        <v>559</v>
      </c>
      <c r="G154" t="s">
        <v>574</v>
      </c>
    </row>
    <row r="155" spans="1:7" x14ac:dyDescent="0.25">
      <c r="A155" t="s">
        <v>302</v>
      </c>
      <c r="B155" t="s">
        <v>302</v>
      </c>
      <c r="C155" t="s">
        <v>478</v>
      </c>
      <c r="E155" t="s">
        <v>478</v>
      </c>
      <c r="F155" t="s">
        <v>567</v>
      </c>
      <c r="G155" t="s">
        <v>579</v>
      </c>
    </row>
    <row r="156" spans="1:7" x14ac:dyDescent="0.25">
      <c r="A156" t="s">
        <v>323</v>
      </c>
      <c r="B156" t="s">
        <v>302</v>
      </c>
      <c r="C156" t="s">
        <v>478</v>
      </c>
      <c r="E156" t="s">
        <v>478</v>
      </c>
      <c r="F156" t="s">
        <v>568</v>
      </c>
      <c r="G156" t="s">
        <v>569</v>
      </c>
    </row>
  </sheetData>
  <autoFilter ref="A1:I5" xr:uid="{17E33184-C92B-48C1-9192-B82ED2F7BB11}"/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ProcessData.ProcessData">
                <anchor moveWithCells="1" sizeWithCells="1">
                  <from>
                    <xdr:col>10</xdr:col>
                    <xdr:colOff>12700</xdr:colOff>
                    <xdr:row>1</xdr:row>
                    <xdr:rowOff>0</xdr:rowOff>
                  </from>
                  <to>
                    <xdr:col>12</xdr:col>
                    <xdr:colOff>0</xdr:colOff>
                    <xdr:row>2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5" name="Button 3">
              <controlPr defaultSize="0" print="0" autoFill="0" autoPict="0" macro="[0]!Cleanup">
                <anchor moveWithCells="1" sizeWithCells="1">
                  <from>
                    <xdr:col>9</xdr:col>
                    <xdr:colOff>590550</xdr:colOff>
                    <xdr:row>3</xdr:row>
                    <xdr:rowOff>152400</xdr:rowOff>
                  </from>
                  <to>
                    <xdr:col>12</xdr:col>
                    <xdr:colOff>0</xdr:colOff>
                    <xdr:row>6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E5FD1-5F9F-4226-8453-6C9D3AF081FE}">
  <sheetPr codeName="Sheet1">
    <tabColor theme="0" tint="-0.499984740745262"/>
  </sheetPr>
  <dimension ref="A1:I156"/>
  <sheetViews>
    <sheetView workbookViewId="0">
      <selection activeCell="G2" sqref="G2:G156"/>
    </sheetView>
  </sheetViews>
  <sheetFormatPr defaultRowHeight="12.5" x14ac:dyDescent="0.25"/>
  <sheetData>
    <row r="1" spans="1:9" x14ac:dyDescent="0.25">
      <c r="A1" t="s">
        <v>254</v>
      </c>
      <c r="B1" t="s">
        <v>250</v>
      </c>
      <c r="C1" t="s">
        <v>248</v>
      </c>
      <c r="D1" t="s">
        <v>247</v>
      </c>
      <c r="E1" t="s">
        <v>249</v>
      </c>
      <c r="F1" t="s">
        <v>253</v>
      </c>
      <c r="G1" t="s">
        <v>251</v>
      </c>
      <c r="H1" t="s">
        <v>255</v>
      </c>
      <c r="I1" t="s">
        <v>252</v>
      </c>
    </row>
    <row r="2" spans="1:9" x14ac:dyDescent="0.25">
      <c r="A2" t="s">
        <v>263</v>
      </c>
      <c r="B2" t="s">
        <v>515</v>
      </c>
      <c r="C2" t="s">
        <v>476</v>
      </c>
      <c r="D2" t="s">
        <v>324</v>
      </c>
      <c r="E2" t="s">
        <v>478</v>
      </c>
      <c r="F2" t="s">
        <v>503</v>
      </c>
      <c r="G2" t="s">
        <v>319</v>
      </c>
      <c r="H2">
        <v>512.20168843859256</v>
      </c>
      <c r="I2">
        <v>550</v>
      </c>
    </row>
    <row r="3" spans="1:9" x14ac:dyDescent="0.25">
      <c r="A3" t="s">
        <v>264</v>
      </c>
      <c r="B3" t="s">
        <v>516</v>
      </c>
      <c r="C3" t="s">
        <v>477</v>
      </c>
      <c r="D3" t="s">
        <v>325</v>
      </c>
      <c r="E3" t="s">
        <v>477</v>
      </c>
      <c r="F3" t="s">
        <v>504</v>
      </c>
      <c r="G3" t="s">
        <v>569</v>
      </c>
      <c r="H3">
        <v>137.34523897192631</v>
      </c>
      <c r="I3">
        <v>150</v>
      </c>
    </row>
    <row r="4" spans="1:9" x14ac:dyDescent="0.25">
      <c r="A4" t="s">
        <v>265</v>
      </c>
      <c r="B4" t="s">
        <v>517</v>
      </c>
      <c r="C4" t="s">
        <v>478</v>
      </c>
      <c r="D4" t="s">
        <v>326</v>
      </c>
      <c r="E4" t="s">
        <v>478</v>
      </c>
      <c r="F4" t="s">
        <v>505</v>
      </c>
      <c r="G4" t="s">
        <v>570</v>
      </c>
      <c r="H4">
        <v>0</v>
      </c>
      <c r="I4">
        <v>0</v>
      </c>
    </row>
    <row r="5" spans="1:9" x14ac:dyDescent="0.25">
      <c r="A5" t="s">
        <v>266</v>
      </c>
      <c r="B5" t="s">
        <v>518</v>
      </c>
      <c r="C5" t="s">
        <v>479</v>
      </c>
      <c r="D5" t="s">
        <v>327</v>
      </c>
      <c r="E5" t="s">
        <v>479</v>
      </c>
      <c r="F5" t="s">
        <v>506</v>
      </c>
      <c r="G5" t="s">
        <v>571</v>
      </c>
      <c r="H5">
        <v>437.1338624340375</v>
      </c>
      <c r="I5">
        <v>450</v>
      </c>
    </row>
    <row r="6" spans="1:9" x14ac:dyDescent="0.25">
      <c r="A6" t="s">
        <v>267</v>
      </c>
      <c r="B6" t="s">
        <v>519</v>
      </c>
      <c r="C6" t="s">
        <v>480</v>
      </c>
      <c r="D6" t="s">
        <v>328</v>
      </c>
      <c r="E6" t="s">
        <v>480</v>
      </c>
      <c r="F6" t="s">
        <v>507</v>
      </c>
      <c r="G6" t="s">
        <v>572</v>
      </c>
    </row>
    <row r="7" spans="1:9" x14ac:dyDescent="0.25">
      <c r="A7" t="s">
        <v>268</v>
      </c>
      <c r="B7" t="s">
        <v>520</v>
      </c>
      <c r="C7" t="s">
        <v>478</v>
      </c>
      <c r="D7" t="s">
        <v>329</v>
      </c>
      <c r="E7" t="s">
        <v>478</v>
      </c>
      <c r="F7" t="s">
        <v>505</v>
      </c>
      <c r="G7" t="s">
        <v>571</v>
      </c>
    </row>
    <row r="8" spans="1:9" x14ac:dyDescent="0.25">
      <c r="A8" t="s">
        <v>268</v>
      </c>
      <c r="B8" t="s">
        <v>516</v>
      </c>
      <c r="C8" t="s">
        <v>478</v>
      </c>
      <c r="D8" t="s">
        <v>330</v>
      </c>
      <c r="E8" t="s">
        <v>478</v>
      </c>
      <c r="F8" t="s">
        <v>505</v>
      </c>
      <c r="G8" t="s">
        <v>571</v>
      </c>
    </row>
    <row r="9" spans="1:9" x14ac:dyDescent="0.25">
      <c r="A9" t="s">
        <v>268</v>
      </c>
      <c r="B9" t="s">
        <v>520</v>
      </c>
      <c r="C9" t="s">
        <v>478</v>
      </c>
      <c r="D9" t="s">
        <v>331</v>
      </c>
      <c r="E9" t="s">
        <v>478</v>
      </c>
      <c r="F9" t="s">
        <v>505</v>
      </c>
      <c r="G9" t="s">
        <v>571</v>
      </c>
    </row>
    <row r="10" spans="1:9" x14ac:dyDescent="0.25">
      <c r="A10" t="s">
        <v>269</v>
      </c>
      <c r="B10" t="s">
        <v>521</v>
      </c>
      <c r="C10" t="s">
        <v>481</v>
      </c>
      <c r="D10" t="s">
        <v>332</v>
      </c>
      <c r="E10" t="s">
        <v>481</v>
      </c>
      <c r="F10" t="s">
        <v>508</v>
      </c>
      <c r="G10" t="s">
        <v>573</v>
      </c>
    </row>
    <row r="11" spans="1:9" x14ac:dyDescent="0.25">
      <c r="A11" t="s">
        <v>270</v>
      </c>
      <c r="B11" t="s">
        <v>522</v>
      </c>
      <c r="C11" t="s">
        <v>481</v>
      </c>
      <c r="D11" t="s">
        <v>333</v>
      </c>
      <c r="E11" t="s">
        <v>481</v>
      </c>
      <c r="F11" t="s">
        <v>508</v>
      </c>
      <c r="G11" t="s">
        <v>573</v>
      </c>
    </row>
    <row r="12" spans="1:9" x14ac:dyDescent="0.25">
      <c r="A12" t="s">
        <v>270</v>
      </c>
      <c r="B12" t="s">
        <v>523</v>
      </c>
      <c r="C12" t="s">
        <v>481</v>
      </c>
      <c r="D12" t="s">
        <v>334</v>
      </c>
      <c r="E12" t="s">
        <v>481</v>
      </c>
      <c r="F12" t="s">
        <v>508</v>
      </c>
      <c r="G12" t="s">
        <v>573</v>
      </c>
    </row>
    <row r="13" spans="1:9" x14ac:dyDescent="0.25">
      <c r="A13" t="s">
        <v>271</v>
      </c>
      <c r="B13" t="s">
        <v>524</v>
      </c>
      <c r="C13" t="s">
        <v>478</v>
      </c>
      <c r="D13" t="s">
        <v>335</v>
      </c>
      <c r="E13" t="s">
        <v>478</v>
      </c>
      <c r="F13" t="s">
        <v>505</v>
      </c>
      <c r="G13" t="s">
        <v>574</v>
      </c>
    </row>
    <row r="14" spans="1:9" x14ac:dyDescent="0.25">
      <c r="A14" t="s">
        <v>269</v>
      </c>
      <c r="B14" t="s">
        <v>525</v>
      </c>
      <c r="C14" t="s">
        <v>481</v>
      </c>
      <c r="D14" t="s">
        <v>336</v>
      </c>
      <c r="E14" t="s">
        <v>481</v>
      </c>
      <c r="F14" t="s">
        <v>508</v>
      </c>
      <c r="G14" t="s">
        <v>573</v>
      </c>
    </row>
    <row r="15" spans="1:9" x14ac:dyDescent="0.25">
      <c r="A15" t="s">
        <v>272</v>
      </c>
      <c r="B15" t="s">
        <v>526</v>
      </c>
      <c r="C15" t="s">
        <v>481</v>
      </c>
      <c r="D15" t="s">
        <v>337</v>
      </c>
      <c r="E15" t="s">
        <v>481</v>
      </c>
      <c r="F15" t="s">
        <v>508</v>
      </c>
      <c r="G15" t="s">
        <v>572</v>
      </c>
    </row>
    <row r="16" spans="1:9" x14ac:dyDescent="0.25">
      <c r="A16" t="s">
        <v>272</v>
      </c>
      <c r="B16" t="s">
        <v>527</v>
      </c>
      <c r="C16" t="s">
        <v>481</v>
      </c>
      <c r="D16" t="s">
        <v>338</v>
      </c>
      <c r="E16" t="s">
        <v>481</v>
      </c>
      <c r="F16" t="s">
        <v>508</v>
      </c>
      <c r="G16" t="s">
        <v>572</v>
      </c>
    </row>
    <row r="17" spans="1:7" x14ac:dyDescent="0.25">
      <c r="A17" t="s">
        <v>273</v>
      </c>
      <c r="B17" t="s">
        <v>527</v>
      </c>
      <c r="C17" t="s">
        <v>481</v>
      </c>
      <c r="D17" t="s">
        <v>339</v>
      </c>
      <c r="E17" t="s">
        <v>481</v>
      </c>
      <c r="F17" t="s">
        <v>508</v>
      </c>
      <c r="G17" t="s">
        <v>572</v>
      </c>
    </row>
    <row r="18" spans="1:7" x14ac:dyDescent="0.25">
      <c r="A18" t="s">
        <v>273</v>
      </c>
      <c r="B18" t="s">
        <v>528</v>
      </c>
      <c r="C18" t="s">
        <v>482</v>
      </c>
      <c r="D18" t="s">
        <v>340</v>
      </c>
      <c r="E18" t="s">
        <v>482</v>
      </c>
      <c r="F18" t="s">
        <v>509</v>
      </c>
      <c r="G18" t="s">
        <v>572</v>
      </c>
    </row>
    <row r="19" spans="1:7" x14ac:dyDescent="0.25">
      <c r="A19" t="s">
        <v>273</v>
      </c>
      <c r="B19" t="s">
        <v>527</v>
      </c>
      <c r="C19" t="s">
        <v>481</v>
      </c>
      <c r="D19" t="s">
        <v>341</v>
      </c>
      <c r="E19" t="s">
        <v>481</v>
      </c>
      <c r="F19" t="s">
        <v>508</v>
      </c>
      <c r="G19" t="s">
        <v>572</v>
      </c>
    </row>
    <row r="20" spans="1:7" x14ac:dyDescent="0.25">
      <c r="A20" t="s">
        <v>273</v>
      </c>
      <c r="B20" t="s">
        <v>526</v>
      </c>
      <c r="C20" t="s">
        <v>481</v>
      </c>
      <c r="D20" t="s">
        <v>342</v>
      </c>
      <c r="E20" t="s">
        <v>481</v>
      </c>
      <c r="F20" t="s">
        <v>508</v>
      </c>
      <c r="G20" t="s">
        <v>572</v>
      </c>
    </row>
    <row r="21" spans="1:7" x14ac:dyDescent="0.25">
      <c r="A21" t="s">
        <v>274</v>
      </c>
      <c r="B21" t="s">
        <v>529</v>
      </c>
      <c r="C21" t="s">
        <v>483</v>
      </c>
      <c r="D21" t="s">
        <v>343</v>
      </c>
      <c r="E21" t="s">
        <v>483</v>
      </c>
      <c r="F21" t="s">
        <v>510</v>
      </c>
      <c r="G21" t="s">
        <v>575</v>
      </c>
    </row>
    <row r="22" spans="1:7" x14ac:dyDescent="0.25">
      <c r="A22" t="s">
        <v>275</v>
      </c>
      <c r="B22" t="s">
        <v>530</v>
      </c>
      <c r="C22" t="s">
        <v>478</v>
      </c>
      <c r="D22" t="s">
        <v>344</v>
      </c>
      <c r="E22" t="s">
        <v>477</v>
      </c>
      <c r="F22" t="s">
        <v>505</v>
      </c>
      <c r="G22" t="s">
        <v>575</v>
      </c>
    </row>
    <row r="23" spans="1:7" x14ac:dyDescent="0.25">
      <c r="A23" t="s">
        <v>275</v>
      </c>
      <c r="B23" t="s">
        <v>530</v>
      </c>
      <c r="C23" t="s">
        <v>478</v>
      </c>
      <c r="D23" t="s">
        <v>345</v>
      </c>
      <c r="E23" t="s">
        <v>477</v>
      </c>
      <c r="F23" t="s">
        <v>505</v>
      </c>
      <c r="G23" t="s">
        <v>575</v>
      </c>
    </row>
    <row r="24" spans="1:7" x14ac:dyDescent="0.25">
      <c r="A24" t="s">
        <v>275</v>
      </c>
      <c r="B24" t="s">
        <v>530</v>
      </c>
      <c r="C24" t="s">
        <v>478</v>
      </c>
      <c r="D24" t="s">
        <v>346</v>
      </c>
      <c r="E24" t="s">
        <v>477</v>
      </c>
      <c r="F24" t="s">
        <v>505</v>
      </c>
      <c r="G24" t="s">
        <v>575</v>
      </c>
    </row>
    <row r="25" spans="1:7" x14ac:dyDescent="0.25">
      <c r="A25" t="s">
        <v>275</v>
      </c>
      <c r="B25" t="s">
        <v>530</v>
      </c>
      <c r="C25" t="s">
        <v>478</v>
      </c>
      <c r="D25" t="s">
        <v>347</v>
      </c>
      <c r="E25" t="s">
        <v>477</v>
      </c>
      <c r="F25" t="s">
        <v>505</v>
      </c>
      <c r="G25" t="s">
        <v>575</v>
      </c>
    </row>
    <row r="26" spans="1:7" x14ac:dyDescent="0.25">
      <c r="A26" t="s">
        <v>275</v>
      </c>
      <c r="B26" t="s">
        <v>530</v>
      </c>
      <c r="C26" t="s">
        <v>478</v>
      </c>
      <c r="D26" t="s">
        <v>348</v>
      </c>
      <c r="E26" t="s">
        <v>477</v>
      </c>
      <c r="F26" t="s">
        <v>505</v>
      </c>
      <c r="G26" t="s">
        <v>575</v>
      </c>
    </row>
    <row r="27" spans="1:7" x14ac:dyDescent="0.25">
      <c r="A27" t="s">
        <v>275</v>
      </c>
      <c r="B27" t="s">
        <v>530</v>
      </c>
      <c r="C27" t="s">
        <v>478</v>
      </c>
      <c r="D27" t="s">
        <v>349</v>
      </c>
      <c r="E27" t="s">
        <v>477</v>
      </c>
      <c r="F27" t="s">
        <v>505</v>
      </c>
      <c r="G27" t="s">
        <v>575</v>
      </c>
    </row>
    <row r="28" spans="1:7" x14ac:dyDescent="0.25">
      <c r="A28" t="s">
        <v>275</v>
      </c>
      <c r="B28" t="s">
        <v>530</v>
      </c>
      <c r="C28" t="s">
        <v>478</v>
      </c>
      <c r="D28" t="s">
        <v>350</v>
      </c>
      <c r="E28" t="s">
        <v>477</v>
      </c>
      <c r="F28" t="s">
        <v>505</v>
      </c>
      <c r="G28" t="s">
        <v>575</v>
      </c>
    </row>
    <row r="29" spans="1:7" x14ac:dyDescent="0.25">
      <c r="A29" t="s">
        <v>275</v>
      </c>
      <c r="B29" t="s">
        <v>530</v>
      </c>
      <c r="C29" t="s">
        <v>478</v>
      </c>
      <c r="D29" t="s">
        <v>351</v>
      </c>
      <c r="E29" t="s">
        <v>477</v>
      </c>
      <c r="F29" t="s">
        <v>505</v>
      </c>
      <c r="G29" t="s">
        <v>575</v>
      </c>
    </row>
    <row r="30" spans="1:7" x14ac:dyDescent="0.25">
      <c r="A30" t="s">
        <v>275</v>
      </c>
      <c r="B30" t="s">
        <v>530</v>
      </c>
      <c r="C30" t="s">
        <v>478</v>
      </c>
      <c r="D30" t="s">
        <v>352</v>
      </c>
      <c r="E30" t="s">
        <v>477</v>
      </c>
      <c r="F30" t="s">
        <v>505</v>
      </c>
      <c r="G30" t="s">
        <v>575</v>
      </c>
    </row>
    <row r="31" spans="1:7" x14ac:dyDescent="0.25">
      <c r="A31" t="s">
        <v>264</v>
      </c>
      <c r="B31" t="s">
        <v>516</v>
      </c>
      <c r="C31" t="s">
        <v>478</v>
      </c>
      <c r="D31" t="s">
        <v>353</v>
      </c>
      <c r="E31" t="s">
        <v>477</v>
      </c>
      <c r="F31" t="s">
        <v>505</v>
      </c>
      <c r="G31" t="s">
        <v>575</v>
      </c>
    </row>
    <row r="32" spans="1:7" x14ac:dyDescent="0.25">
      <c r="A32" t="s">
        <v>276</v>
      </c>
      <c r="B32" t="s">
        <v>531</v>
      </c>
      <c r="C32" t="s">
        <v>484</v>
      </c>
      <c r="D32" t="s">
        <v>354</v>
      </c>
      <c r="E32" t="s">
        <v>484</v>
      </c>
      <c r="F32" t="s">
        <v>511</v>
      </c>
      <c r="G32" t="s">
        <v>575</v>
      </c>
    </row>
    <row r="33" spans="1:7" x14ac:dyDescent="0.25">
      <c r="A33" t="s">
        <v>275</v>
      </c>
      <c r="B33" t="s">
        <v>530</v>
      </c>
      <c r="C33" t="s">
        <v>478</v>
      </c>
      <c r="D33" t="s">
        <v>355</v>
      </c>
      <c r="E33" t="s">
        <v>477</v>
      </c>
      <c r="F33" t="s">
        <v>505</v>
      </c>
      <c r="G33" t="s">
        <v>575</v>
      </c>
    </row>
    <row r="34" spans="1:7" x14ac:dyDescent="0.25">
      <c r="A34" t="s">
        <v>275</v>
      </c>
      <c r="B34" t="s">
        <v>530</v>
      </c>
      <c r="C34" t="s">
        <v>478</v>
      </c>
      <c r="D34" t="s">
        <v>356</v>
      </c>
      <c r="E34" t="s">
        <v>477</v>
      </c>
      <c r="F34" t="s">
        <v>505</v>
      </c>
      <c r="G34" t="s">
        <v>575</v>
      </c>
    </row>
    <row r="35" spans="1:7" x14ac:dyDescent="0.25">
      <c r="A35" t="s">
        <v>275</v>
      </c>
      <c r="B35" t="s">
        <v>530</v>
      </c>
      <c r="C35" t="s">
        <v>478</v>
      </c>
      <c r="D35" t="s">
        <v>357</v>
      </c>
      <c r="E35" t="s">
        <v>477</v>
      </c>
      <c r="F35" t="s">
        <v>505</v>
      </c>
      <c r="G35" t="s">
        <v>575</v>
      </c>
    </row>
    <row r="36" spans="1:7" x14ac:dyDescent="0.25">
      <c r="A36" t="s">
        <v>275</v>
      </c>
      <c r="B36" t="s">
        <v>530</v>
      </c>
      <c r="C36" t="s">
        <v>478</v>
      </c>
      <c r="D36" t="s">
        <v>358</v>
      </c>
      <c r="E36" t="s">
        <v>477</v>
      </c>
      <c r="F36" t="s">
        <v>505</v>
      </c>
      <c r="G36" t="s">
        <v>575</v>
      </c>
    </row>
    <row r="37" spans="1:7" x14ac:dyDescent="0.25">
      <c r="A37" t="s">
        <v>275</v>
      </c>
      <c r="B37" t="s">
        <v>530</v>
      </c>
      <c r="C37" t="s">
        <v>478</v>
      </c>
      <c r="D37" t="s">
        <v>359</v>
      </c>
      <c r="E37" t="s">
        <v>477</v>
      </c>
      <c r="F37" t="s">
        <v>505</v>
      </c>
      <c r="G37" t="s">
        <v>575</v>
      </c>
    </row>
    <row r="38" spans="1:7" x14ac:dyDescent="0.25">
      <c r="A38" t="s">
        <v>275</v>
      </c>
      <c r="B38" t="s">
        <v>530</v>
      </c>
      <c r="C38" t="s">
        <v>478</v>
      </c>
      <c r="D38" t="s">
        <v>360</v>
      </c>
      <c r="E38" t="s">
        <v>477</v>
      </c>
      <c r="F38" t="s">
        <v>505</v>
      </c>
      <c r="G38" t="s">
        <v>575</v>
      </c>
    </row>
    <row r="39" spans="1:7" x14ac:dyDescent="0.25">
      <c r="A39" t="s">
        <v>264</v>
      </c>
      <c r="B39" t="s">
        <v>516</v>
      </c>
      <c r="C39" t="s">
        <v>478</v>
      </c>
      <c r="D39" t="s">
        <v>361</v>
      </c>
      <c r="E39" t="s">
        <v>477</v>
      </c>
      <c r="F39" t="s">
        <v>505</v>
      </c>
      <c r="G39" t="s">
        <v>575</v>
      </c>
    </row>
    <row r="40" spans="1:7" x14ac:dyDescent="0.25">
      <c r="A40" t="s">
        <v>265</v>
      </c>
      <c r="B40" t="s">
        <v>532</v>
      </c>
      <c r="C40" t="s">
        <v>478</v>
      </c>
      <c r="D40" t="s">
        <v>362</v>
      </c>
      <c r="E40" t="s">
        <v>491</v>
      </c>
      <c r="F40" t="s">
        <v>505</v>
      </c>
      <c r="G40" t="s">
        <v>570</v>
      </c>
    </row>
    <row r="41" spans="1:7" x14ac:dyDescent="0.25">
      <c r="A41" t="s">
        <v>277</v>
      </c>
      <c r="B41" t="s">
        <v>525</v>
      </c>
      <c r="C41" t="s">
        <v>485</v>
      </c>
      <c r="D41" t="s">
        <v>363</v>
      </c>
      <c r="E41" t="s">
        <v>485</v>
      </c>
      <c r="F41" t="s">
        <v>512</v>
      </c>
      <c r="G41" t="s">
        <v>571</v>
      </c>
    </row>
    <row r="42" spans="1:7" x14ac:dyDescent="0.25">
      <c r="A42" t="s">
        <v>267</v>
      </c>
      <c r="B42" t="s">
        <v>533</v>
      </c>
      <c r="C42" t="s">
        <v>480</v>
      </c>
      <c r="D42" t="s">
        <v>364</v>
      </c>
      <c r="E42" t="s">
        <v>480</v>
      </c>
      <c r="F42" t="s">
        <v>507</v>
      </c>
      <c r="G42" t="s">
        <v>572</v>
      </c>
    </row>
    <row r="43" spans="1:7" x14ac:dyDescent="0.25">
      <c r="A43" t="s">
        <v>278</v>
      </c>
      <c r="B43" t="s">
        <v>534</v>
      </c>
      <c r="C43" t="s">
        <v>486</v>
      </c>
      <c r="D43" t="s">
        <v>365</v>
      </c>
      <c r="E43" t="s">
        <v>486</v>
      </c>
      <c r="F43" t="s">
        <v>513</v>
      </c>
      <c r="G43" t="s">
        <v>573</v>
      </c>
    </row>
    <row r="44" spans="1:7" x14ac:dyDescent="0.25">
      <c r="A44" t="s">
        <v>278</v>
      </c>
      <c r="B44" t="s">
        <v>534</v>
      </c>
      <c r="C44" t="s">
        <v>486</v>
      </c>
      <c r="D44" t="s">
        <v>366</v>
      </c>
      <c r="E44" t="s">
        <v>486</v>
      </c>
      <c r="F44" t="s">
        <v>513</v>
      </c>
      <c r="G44" t="s">
        <v>573</v>
      </c>
    </row>
    <row r="45" spans="1:7" x14ac:dyDescent="0.25">
      <c r="A45" t="s">
        <v>279</v>
      </c>
      <c r="B45" t="s">
        <v>535</v>
      </c>
      <c r="C45" t="s">
        <v>487</v>
      </c>
      <c r="D45" t="s">
        <v>367</v>
      </c>
      <c r="E45" t="s">
        <v>487</v>
      </c>
      <c r="F45" t="s">
        <v>514</v>
      </c>
      <c r="G45" t="s">
        <v>573</v>
      </c>
    </row>
    <row r="46" spans="1:7" x14ac:dyDescent="0.25">
      <c r="A46" t="s">
        <v>279</v>
      </c>
      <c r="B46" t="s">
        <v>527</v>
      </c>
      <c r="C46" t="s">
        <v>487</v>
      </c>
      <c r="D46" t="s">
        <v>368</v>
      </c>
      <c r="E46" t="s">
        <v>487</v>
      </c>
      <c r="F46" t="s">
        <v>514</v>
      </c>
      <c r="G46" t="s">
        <v>573</v>
      </c>
    </row>
    <row r="47" spans="1:7" x14ac:dyDescent="0.25">
      <c r="A47" t="s">
        <v>280</v>
      </c>
      <c r="B47" t="s">
        <v>526</v>
      </c>
      <c r="C47" t="s">
        <v>482</v>
      </c>
      <c r="D47" t="s">
        <v>369</v>
      </c>
      <c r="E47" t="s">
        <v>482</v>
      </c>
      <c r="G47" t="s">
        <v>572</v>
      </c>
    </row>
    <row r="48" spans="1:7" x14ac:dyDescent="0.25">
      <c r="A48" t="s">
        <v>280</v>
      </c>
      <c r="B48" t="s">
        <v>527</v>
      </c>
      <c r="C48" t="s">
        <v>482</v>
      </c>
      <c r="D48" t="s">
        <v>370</v>
      </c>
      <c r="E48" t="s">
        <v>482</v>
      </c>
      <c r="G48" t="s">
        <v>572</v>
      </c>
    </row>
    <row r="49" spans="1:7" x14ac:dyDescent="0.25">
      <c r="A49" t="s">
        <v>272</v>
      </c>
      <c r="B49" t="s">
        <v>527</v>
      </c>
      <c r="C49" t="s">
        <v>482</v>
      </c>
      <c r="D49" t="s">
        <v>371</v>
      </c>
      <c r="E49" t="s">
        <v>482</v>
      </c>
      <c r="G49" t="s">
        <v>572</v>
      </c>
    </row>
    <row r="50" spans="1:7" x14ac:dyDescent="0.25">
      <c r="A50" t="s">
        <v>272</v>
      </c>
      <c r="B50" t="s">
        <v>528</v>
      </c>
      <c r="C50" t="s">
        <v>488</v>
      </c>
      <c r="D50" t="s">
        <v>372</v>
      </c>
      <c r="E50" t="s">
        <v>488</v>
      </c>
      <c r="G50" t="s">
        <v>572</v>
      </c>
    </row>
    <row r="51" spans="1:7" x14ac:dyDescent="0.25">
      <c r="A51" t="s">
        <v>281</v>
      </c>
      <c r="B51" t="s">
        <v>527</v>
      </c>
      <c r="C51" t="s">
        <v>482</v>
      </c>
      <c r="D51" t="s">
        <v>373</v>
      </c>
      <c r="E51" t="s">
        <v>482</v>
      </c>
      <c r="G51" t="s">
        <v>572</v>
      </c>
    </row>
    <row r="52" spans="1:7" x14ac:dyDescent="0.25">
      <c r="A52" t="s">
        <v>273</v>
      </c>
      <c r="B52" t="s">
        <v>526</v>
      </c>
      <c r="C52" t="s">
        <v>481</v>
      </c>
      <c r="D52" t="s">
        <v>374</v>
      </c>
      <c r="E52" t="s">
        <v>481</v>
      </c>
      <c r="G52" t="s">
        <v>572</v>
      </c>
    </row>
    <row r="53" spans="1:7" x14ac:dyDescent="0.25">
      <c r="A53" t="s">
        <v>282</v>
      </c>
      <c r="B53" t="s">
        <v>526</v>
      </c>
      <c r="C53" t="s">
        <v>489</v>
      </c>
      <c r="D53" t="s">
        <v>375</v>
      </c>
      <c r="E53" t="s">
        <v>489</v>
      </c>
      <c r="G53" t="s">
        <v>572</v>
      </c>
    </row>
    <row r="54" spans="1:7" x14ac:dyDescent="0.25">
      <c r="A54" t="s">
        <v>283</v>
      </c>
      <c r="B54" t="s">
        <v>536</v>
      </c>
      <c r="C54" t="s">
        <v>490</v>
      </c>
      <c r="D54" t="s">
        <v>376</v>
      </c>
      <c r="E54" t="s">
        <v>478</v>
      </c>
      <c r="G54" t="s">
        <v>575</v>
      </c>
    </row>
    <row r="55" spans="1:7" x14ac:dyDescent="0.25">
      <c r="A55" t="s">
        <v>275</v>
      </c>
      <c r="B55" t="s">
        <v>537</v>
      </c>
      <c r="C55" t="s">
        <v>478</v>
      </c>
      <c r="D55" t="s">
        <v>377</v>
      </c>
      <c r="E55" t="s">
        <v>477</v>
      </c>
      <c r="G55" t="s">
        <v>575</v>
      </c>
    </row>
    <row r="56" spans="1:7" x14ac:dyDescent="0.25">
      <c r="A56" t="s">
        <v>275</v>
      </c>
      <c r="B56" t="s">
        <v>538</v>
      </c>
      <c r="C56" t="s">
        <v>478</v>
      </c>
      <c r="D56" t="s">
        <v>378</v>
      </c>
      <c r="E56" t="s">
        <v>477</v>
      </c>
      <c r="G56" t="s">
        <v>575</v>
      </c>
    </row>
    <row r="57" spans="1:7" x14ac:dyDescent="0.25">
      <c r="A57" t="s">
        <v>275</v>
      </c>
      <c r="B57" t="s">
        <v>538</v>
      </c>
      <c r="C57" t="s">
        <v>478</v>
      </c>
      <c r="D57" t="s">
        <v>379</v>
      </c>
      <c r="E57" t="s">
        <v>477</v>
      </c>
      <c r="G57" t="s">
        <v>575</v>
      </c>
    </row>
    <row r="58" spans="1:7" x14ac:dyDescent="0.25">
      <c r="A58" t="s">
        <v>275</v>
      </c>
      <c r="B58" t="s">
        <v>530</v>
      </c>
      <c r="C58" t="s">
        <v>478</v>
      </c>
      <c r="D58" t="s">
        <v>380</v>
      </c>
      <c r="E58" t="s">
        <v>477</v>
      </c>
      <c r="G58" t="s">
        <v>575</v>
      </c>
    </row>
    <row r="59" spans="1:7" x14ac:dyDescent="0.25">
      <c r="A59" t="s">
        <v>275</v>
      </c>
      <c r="B59" t="s">
        <v>530</v>
      </c>
      <c r="C59" t="s">
        <v>478</v>
      </c>
      <c r="D59" t="s">
        <v>381</v>
      </c>
      <c r="E59" t="s">
        <v>477</v>
      </c>
      <c r="G59" t="s">
        <v>575</v>
      </c>
    </row>
    <row r="60" spans="1:7" x14ac:dyDescent="0.25">
      <c r="A60" t="s">
        <v>275</v>
      </c>
      <c r="B60" t="s">
        <v>530</v>
      </c>
      <c r="C60" t="s">
        <v>478</v>
      </c>
      <c r="D60" t="s">
        <v>382</v>
      </c>
      <c r="E60" t="s">
        <v>477</v>
      </c>
      <c r="G60" t="s">
        <v>575</v>
      </c>
    </row>
    <row r="61" spans="1:7" x14ac:dyDescent="0.25">
      <c r="A61" t="s">
        <v>275</v>
      </c>
      <c r="B61" t="s">
        <v>530</v>
      </c>
      <c r="C61" t="s">
        <v>478</v>
      </c>
      <c r="D61" t="s">
        <v>383</v>
      </c>
      <c r="E61" t="s">
        <v>477</v>
      </c>
      <c r="G61" t="s">
        <v>575</v>
      </c>
    </row>
    <row r="62" spans="1:7" x14ac:dyDescent="0.25">
      <c r="A62" t="s">
        <v>264</v>
      </c>
      <c r="B62" t="s">
        <v>516</v>
      </c>
      <c r="C62" t="s">
        <v>478</v>
      </c>
      <c r="D62" t="s">
        <v>384</v>
      </c>
      <c r="E62" t="s">
        <v>477</v>
      </c>
      <c r="G62" t="s">
        <v>575</v>
      </c>
    </row>
    <row r="63" spans="1:7" x14ac:dyDescent="0.25">
      <c r="A63" t="s">
        <v>284</v>
      </c>
      <c r="B63" t="s">
        <v>539</v>
      </c>
      <c r="C63" t="s">
        <v>477</v>
      </c>
      <c r="D63" t="s">
        <v>385</v>
      </c>
      <c r="E63" t="s">
        <v>477</v>
      </c>
      <c r="G63" t="s">
        <v>570</v>
      </c>
    </row>
    <row r="64" spans="1:7" x14ac:dyDescent="0.25">
      <c r="A64" t="s">
        <v>285</v>
      </c>
      <c r="B64" t="s">
        <v>531</v>
      </c>
      <c r="C64" t="s">
        <v>477</v>
      </c>
      <c r="D64" t="s">
        <v>386</v>
      </c>
      <c r="E64" t="s">
        <v>477</v>
      </c>
      <c r="G64" t="s">
        <v>570</v>
      </c>
    </row>
    <row r="65" spans="1:7" x14ac:dyDescent="0.25">
      <c r="A65" t="s">
        <v>286</v>
      </c>
      <c r="B65" t="s">
        <v>540</v>
      </c>
      <c r="C65" t="s">
        <v>486</v>
      </c>
      <c r="D65" t="s">
        <v>387</v>
      </c>
      <c r="E65" t="s">
        <v>486</v>
      </c>
      <c r="G65" t="s">
        <v>572</v>
      </c>
    </row>
    <row r="66" spans="1:7" x14ac:dyDescent="0.25">
      <c r="A66" t="s">
        <v>286</v>
      </c>
      <c r="B66" t="s">
        <v>524</v>
      </c>
      <c r="C66" t="s">
        <v>491</v>
      </c>
      <c r="D66" t="s">
        <v>388</v>
      </c>
      <c r="E66" t="s">
        <v>491</v>
      </c>
      <c r="G66" t="s">
        <v>573</v>
      </c>
    </row>
    <row r="67" spans="1:7" x14ac:dyDescent="0.25">
      <c r="A67" t="s">
        <v>286</v>
      </c>
      <c r="B67" t="s">
        <v>524</v>
      </c>
      <c r="C67" t="s">
        <v>491</v>
      </c>
      <c r="D67" t="s">
        <v>389</v>
      </c>
      <c r="E67" t="s">
        <v>491</v>
      </c>
      <c r="G67" t="s">
        <v>573</v>
      </c>
    </row>
    <row r="68" spans="1:7" x14ac:dyDescent="0.25">
      <c r="A68" t="s">
        <v>286</v>
      </c>
      <c r="B68" t="s">
        <v>524</v>
      </c>
      <c r="C68" t="s">
        <v>491</v>
      </c>
      <c r="D68" t="s">
        <v>390</v>
      </c>
      <c r="E68" t="s">
        <v>491</v>
      </c>
      <c r="G68" t="s">
        <v>573</v>
      </c>
    </row>
    <row r="69" spans="1:7" x14ac:dyDescent="0.25">
      <c r="A69" t="s">
        <v>286</v>
      </c>
      <c r="B69" t="s">
        <v>524</v>
      </c>
      <c r="C69" t="s">
        <v>491</v>
      </c>
      <c r="D69" t="s">
        <v>391</v>
      </c>
      <c r="E69" t="s">
        <v>491</v>
      </c>
      <c r="G69" t="s">
        <v>573</v>
      </c>
    </row>
    <row r="70" spans="1:7" x14ac:dyDescent="0.25">
      <c r="A70" t="s">
        <v>286</v>
      </c>
      <c r="B70" t="s">
        <v>524</v>
      </c>
      <c r="C70" t="s">
        <v>491</v>
      </c>
      <c r="D70" t="s">
        <v>392</v>
      </c>
      <c r="E70" t="s">
        <v>491</v>
      </c>
      <c r="G70" t="s">
        <v>573</v>
      </c>
    </row>
    <row r="71" spans="1:7" x14ac:dyDescent="0.25">
      <c r="A71" t="s">
        <v>286</v>
      </c>
      <c r="B71" t="s">
        <v>524</v>
      </c>
      <c r="C71" t="s">
        <v>491</v>
      </c>
      <c r="D71" t="s">
        <v>393</v>
      </c>
      <c r="E71" t="s">
        <v>491</v>
      </c>
      <c r="G71" t="s">
        <v>573</v>
      </c>
    </row>
    <row r="72" spans="1:7" x14ac:dyDescent="0.25">
      <c r="A72" t="s">
        <v>286</v>
      </c>
      <c r="B72" t="s">
        <v>524</v>
      </c>
      <c r="C72" t="s">
        <v>491</v>
      </c>
      <c r="D72" t="s">
        <v>394</v>
      </c>
      <c r="E72" t="s">
        <v>491</v>
      </c>
      <c r="G72" t="s">
        <v>573</v>
      </c>
    </row>
    <row r="73" spans="1:7" x14ac:dyDescent="0.25">
      <c r="A73" t="s">
        <v>286</v>
      </c>
      <c r="B73" t="s">
        <v>524</v>
      </c>
      <c r="C73" t="s">
        <v>491</v>
      </c>
      <c r="D73" t="s">
        <v>394</v>
      </c>
      <c r="E73" t="s">
        <v>491</v>
      </c>
      <c r="G73" t="s">
        <v>573</v>
      </c>
    </row>
    <row r="74" spans="1:7" x14ac:dyDescent="0.25">
      <c r="A74" t="s">
        <v>286</v>
      </c>
      <c r="B74" t="s">
        <v>524</v>
      </c>
      <c r="C74" t="s">
        <v>491</v>
      </c>
      <c r="D74" t="s">
        <v>395</v>
      </c>
      <c r="E74" t="s">
        <v>491</v>
      </c>
      <c r="G74" t="s">
        <v>573</v>
      </c>
    </row>
    <row r="75" spans="1:7" x14ac:dyDescent="0.25">
      <c r="A75" t="s">
        <v>286</v>
      </c>
      <c r="B75" t="s">
        <v>541</v>
      </c>
      <c r="C75" t="s">
        <v>486</v>
      </c>
      <c r="D75" t="s">
        <v>396</v>
      </c>
      <c r="E75" t="s">
        <v>486</v>
      </c>
      <c r="G75" t="s">
        <v>573</v>
      </c>
    </row>
    <row r="76" spans="1:7" x14ac:dyDescent="0.25">
      <c r="A76" t="s">
        <v>286</v>
      </c>
      <c r="B76" t="s">
        <v>541</v>
      </c>
      <c r="C76" t="s">
        <v>486</v>
      </c>
      <c r="D76" t="s">
        <v>397</v>
      </c>
      <c r="E76" t="s">
        <v>486</v>
      </c>
      <c r="G76" t="s">
        <v>573</v>
      </c>
    </row>
    <row r="77" spans="1:7" x14ac:dyDescent="0.25">
      <c r="A77" t="s">
        <v>286</v>
      </c>
      <c r="B77" t="s">
        <v>541</v>
      </c>
      <c r="C77" t="s">
        <v>486</v>
      </c>
      <c r="D77" t="s">
        <v>398</v>
      </c>
      <c r="E77" t="s">
        <v>486</v>
      </c>
      <c r="G77" t="s">
        <v>573</v>
      </c>
    </row>
    <row r="78" spans="1:7" x14ac:dyDescent="0.25">
      <c r="A78" t="s">
        <v>287</v>
      </c>
      <c r="B78" t="s">
        <v>542</v>
      </c>
      <c r="C78" t="s">
        <v>477</v>
      </c>
      <c r="D78" t="s">
        <v>399</v>
      </c>
      <c r="E78" t="s">
        <v>477</v>
      </c>
      <c r="G78" t="s">
        <v>573</v>
      </c>
    </row>
    <row r="79" spans="1:7" x14ac:dyDescent="0.25">
      <c r="A79" t="s">
        <v>288</v>
      </c>
      <c r="B79" t="s">
        <v>543</v>
      </c>
      <c r="C79" t="s">
        <v>477</v>
      </c>
      <c r="D79" t="s">
        <v>400</v>
      </c>
      <c r="E79" t="s">
        <v>477</v>
      </c>
      <c r="G79" t="s">
        <v>573</v>
      </c>
    </row>
    <row r="80" spans="1:7" x14ac:dyDescent="0.25">
      <c r="A80" t="s">
        <v>285</v>
      </c>
      <c r="B80" t="s">
        <v>529</v>
      </c>
      <c r="C80" t="s">
        <v>477</v>
      </c>
      <c r="D80" t="s">
        <v>401</v>
      </c>
      <c r="E80" t="s">
        <v>477</v>
      </c>
      <c r="G80" t="s">
        <v>570</v>
      </c>
    </row>
    <row r="81" spans="1:7" x14ac:dyDescent="0.25">
      <c r="A81" t="s">
        <v>289</v>
      </c>
      <c r="B81" t="s">
        <v>529</v>
      </c>
      <c r="C81" t="s">
        <v>492</v>
      </c>
      <c r="D81" t="s">
        <v>402</v>
      </c>
      <c r="E81" t="s">
        <v>492</v>
      </c>
      <c r="G81" t="s">
        <v>572</v>
      </c>
    </row>
    <row r="82" spans="1:7" x14ac:dyDescent="0.25">
      <c r="A82" t="s">
        <v>289</v>
      </c>
      <c r="B82" t="s">
        <v>543</v>
      </c>
      <c r="C82" t="s">
        <v>492</v>
      </c>
      <c r="D82" t="s">
        <v>403</v>
      </c>
      <c r="E82" t="s">
        <v>492</v>
      </c>
      <c r="G82" t="s">
        <v>572</v>
      </c>
    </row>
    <row r="83" spans="1:7" x14ac:dyDescent="0.25">
      <c r="A83" t="s">
        <v>289</v>
      </c>
      <c r="B83" t="s">
        <v>529</v>
      </c>
      <c r="C83" t="s">
        <v>492</v>
      </c>
      <c r="D83" t="s">
        <v>404</v>
      </c>
      <c r="E83" t="s">
        <v>492</v>
      </c>
      <c r="G83" t="s">
        <v>572</v>
      </c>
    </row>
    <row r="84" spans="1:7" x14ac:dyDescent="0.25">
      <c r="A84" t="s">
        <v>286</v>
      </c>
      <c r="B84" t="s">
        <v>540</v>
      </c>
      <c r="C84" t="s">
        <v>486</v>
      </c>
      <c r="D84" t="s">
        <v>405</v>
      </c>
      <c r="E84" t="s">
        <v>486</v>
      </c>
      <c r="G84" t="s">
        <v>572</v>
      </c>
    </row>
    <row r="85" spans="1:7" x14ac:dyDescent="0.25">
      <c r="A85" t="s">
        <v>286</v>
      </c>
      <c r="B85" t="s">
        <v>536</v>
      </c>
      <c r="C85" t="s">
        <v>486</v>
      </c>
      <c r="D85" t="s">
        <v>406</v>
      </c>
      <c r="E85" t="s">
        <v>486</v>
      </c>
      <c r="G85" t="s">
        <v>572</v>
      </c>
    </row>
    <row r="86" spans="1:7" x14ac:dyDescent="0.25">
      <c r="A86" t="s">
        <v>290</v>
      </c>
      <c r="B86" t="s">
        <v>544</v>
      </c>
      <c r="C86" t="s">
        <v>478</v>
      </c>
      <c r="D86" t="s">
        <v>407</v>
      </c>
      <c r="E86" t="s">
        <v>478</v>
      </c>
      <c r="G86" t="s">
        <v>569</v>
      </c>
    </row>
    <row r="87" spans="1:7" x14ac:dyDescent="0.25">
      <c r="A87" t="s">
        <v>291</v>
      </c>
      <c r="B87" t="s">
        <v>545</v>
      </c>
      <c r="C87" t="s">
        <v>478</v>
      </c>
      <c r="D87" t="s">
        <v>408</v>
      </c>
      <c r="E87" t="s">
        <v>478</v>
      </c>
      <c r="G87" t="s">
        <v>576</v>
      </c>
    </row>
    <row r="88" spans="1:7" x14ac:dyDescent="0.25">
      <c r="A88" t="s">
        <v>292</v>
      </c>
      <c r="B88" t="s">
        <v>546</v>
      </c>
      <c r="C88" t="s">
        <v>478</v>
      </c>
      <c r="D88" t="s">
        <v>409</v>
      </c>
      <c r="E88" t="s">
        <v>478</v>
      </c>
      <c r="G88" t="s">
        <v>576</v>
      </c>
    </row>
    <row r="89" spans="1:7" x14ac:dyDescent="0.25">
      <c r="A89" t="s">
        <v>292</v>
      </c>
      <c r="B89" t="s">
        <v>547</v>
      </c>
      <c r="C89" t="s">
        <v>478</v>
      </c>
      <c r="D89" t="s">
        <v>410</v>
      </c>
      <c r="E89" t="s">
        <v>478</v>
      </c>
      <c r="G89" t="s">
        <v>576</v>
      </c>
    </row>
    <row r="90" spans="1:7" x14ac:dyDescent="0.25">
      <c r="A90" t="s">
        <v>268</v>
      </c>
      <c r="B90" t="s">
        <v>520</v>
      </c>
      <c r="C90" t="s">
        <v>478</v>
      </c>
      <c r="D90" t="s">
        <v>411</v>
      </c>
      <c r="E90" t="s">
        <v>478</v>
      </c>
      <c r="G90" t="s">
        <v>576</v>
      </c>
    </row>
    <row r="91" spans="1:7" x14ac:dyDescent="0.25">
      <c r="A91" t="s">
        <v>293</v>
      </c>
      <c r="B91" t="s">
        <v>536</v>
      </c>
      <c r="C91" t="s">
        <v>478</v>
      </c>
      <c r="D91" t="s">
        <v>412</v>
      </c>
      <c r="E91" t="s">
        <v>478</v>
      </c>
      <c r="G91" t="s">
        <v>571</v>
      </c>
    </row>
    <row r="92" spans="1:7" x14ac:dyDescent="0.25">
      <c r="A92" t="s">
        <v>294</v>
      </c>
      <c r="B92" t="s">
        <v>548</v>
      </c>
      <c r="C92" t="s">
        <v>493</v>
      </c>
      <c r="D92" t="s">
        <v>413</v>
      </c>
      <c r="E92" t="s">
        <v>493</v>
      </c>
      <c r="G92" t="s">
        <v>577</v>
      </c>
    </row>
    <row r="93" spans="1:7" x14ac:dyDescent="0.25">
      <c r="A93" t="s">
        <v>295</v>
      </c>
      <c r="B93" t="s">
        <v>549</v>
      </c>
      <c r="C93" t="s">
        <v>494</v>
      </c>
      <c r="D93" t="s">
        <v>414</v>
      </c>
      <c r="E93" t="s">
        <v>494</v>
      </c>
      <c r="G93" t="s">
        <v>577</v>
      </c>
    </row>
    <row r="94" spans="1:7" x14ac:dyDescent="0.25">
      <c r="A94" t="s">
        <v>296</v>
      </c>
      <c r="B94" t="s">
        <v>550</v>
      </c>
      <c r="C94" t="s">
        <v>494</v>
      </c>
      <c r="D94" t="s">
        <v>415</v>
      </c>
      <c r="E94" t="s">
        <v>494</v>
      </c>
      <c r="G94" t="s">
        <v>577</v>
      </c>
    </row>
    <row r="95" spans="1:7" x14ac:dyDescent="0.25">
      <c r="A95" t="s">
        <v>297</v>
      </c>
      <c r="B95" t="s">
        <v>551</v>
      </c>
      <c r="C95" t="s">
        <v>488</v>
      </c>
      <c r="D95" t="s">
        <v>416</v>
      </c>
      <c r="E95" t="s">
        <v>488</v>
      </c>
      <c r="G95" t="s">
        <v>577</v>
      </c>
    </row>
    <row r="96" spans="1:7" x14ac:dyDescent="0.25">
      <c r="A96" t="s">
        <v>298</v>
      </c>
      <c r="B96" t="s">
        <v>552</v>
      </c>
      <c r="C96" t="s">
        <v>495</v>
      </c>
      <c r="D96" t="s">
        <v>417</v>
      </c>
      <c r="E96" t="s">
        <v>495</v>
      </c>
      <c r="G96" t="s">
        <v>577</v>
      </c>
    </row>
    <row r="97" spans="1:7" x14ac:dyDescent="0.25">
      <c r="A97" t="s">
        <v>299</v>
      </c>
      <c r="B97" t="s">
        <v>516</v>
      </c>
      <c r="C97" t="s">
        <v>496</v>
      </c>
      <c r="D97" t="s">
        <v>418</v>
      </c>
      <c r="E97" t="s">
        <v>496</v>
      </c>
      <c r="G97" t="s">
        <v>577</v>
      </c>
    </row>
    <row r="98" spans="1:7" x14ac:dyDescent="0.25">
      <c r="A98" t="s">
        <v>300</v>
      </c>
      <c r="B98" t="s">
        <v>553</v>
      </c>
      <c r="C98" t="s">
        <v>497</v>
      </c>
      <c r="D98" t="s">
        <v>419</v>
      </c>
      <c r="E98" t="s">
        <v>497</v>
      </c>
      <c r="G98" t="s">
        <v>577</v>
      </c>
    </row>
    <row r="99" spans="1:7" x14ac:dyDescent="0.25">
      <c r="A99" t="s">
        <v>301</v>
      </c>
      <c r="B99" t="s">
        <v>516</v>
      </c>
      <c r="C99" t="s">
        <v>478</v>
      </c>
      <c r="D99" t="s">
        <v>420</v>
      </c>
      <c r="E99" t="s">
        <v>478</v>
      </c>
      <c r="G99" t="s">
        <v>576</v>
      </c>
    </row>
    <row r="100" spans="1:7" x14ac:dyDescent="0.25">
      <c r="A100" t="s">
        <v>283</v>
      </c>
      <c r="B100" t="s">
        <v>540</v>
      </c>
      <c r="C100" t="s">
        <v>477</v>
      </c>
      <c r="D100" t="s">
        <v>421</v>
      </c>
      <c r="E100" t="s">
        <v>477</v>
      </c>
      <c r="G100" t="s">
        <v>578</v>
      </c>
    </row>
    <row r="101" spans="1:7" x14ac:dyDescent="0.25">
      <c r="A101" t="s">
        <v>264</v>
      </c>
      <c r="B101" t="s">
        <v>541</v>
      </c>
      <c r="C101" t="s">
        <v>477</v>
      </c>
      <c r="D101" t="s">
        <v>422</v>
      </c>
      <c r="E101" t="s">
        <v>477</v>
      </c>
      <c r="G101" t="s">
        <v>578</v>
      </c>
    </row>
    <row r="102" spans="1:7" x14ac:dyDescent="0.25">
      <c r="A102" t="s">
        <v>264</v>
      </c>
      <c r="B102" t="s">
        <v>516</v>
      </c>
      <c r="C102" t="s">
        <v>478</v>
      </c>
      <c r="D102" t="s">
        <v>423</v>
      </c>
      <c r="E102" t="s">
        <v>478</v>
      </c>
      <c r="G102" t="s">
        <v>578</v>
      </c>
    </row>
    <row r="103" spans="1:7" x14ac:dyDescent="0.25">
      <c r="A103" t="s">
        <v>301</v>
      </c>
      <c r="B103" t="s">
        <v>537</v>
      </c>
      <c r="C103" t="s">
        <v>478</v>
      </c>
      <c r="D103" t="s">
        <v>424</v>
      </c>
      <c r="E103" t="s">
        <v>478</v>
      </c>
      <c r="G103" t="s">
        <v>576</v>
      </c>
    </row>
    <row r="104" spans="1:7" x14ac:dyDescent="0.25">
      <c r="A104" t="s">
        <v>283</v>
      </c>
      <c r="B104" t="s">
        <v>529</v>
      </c>
      <c r="C104" t="s">
        <v>498</v>
      </c>
      <c r="D104" t="s">
        <v>425</v>
      </c>
      <c r="E104" t="s">
        <v>498</v>
      </c>
      <c r="G104" t="s">
        <v>578</v>
      </c>
    </row>
    <row r="105" spans="1:7" x14ac:dyDescent="0.25">
      <c r="A105" t="s">
        <v>302</v>
      </c>
      <c r="B105" t="s">
        <v>529</v>
      </c>
      <c r="C105" t="s">
        <v>478</v>
      </c>
      <c r="D105" t="s">
        <v>426</v>
      </c>
      <c r="E105" t="s">
        <v>478</v>
      </c>
      <c r="G105" t="s">
        <v>579</v>
      </c>
    </row>
    <row r="106" spans="1:7" x14ac:dyDescent="0.25">
      <c r="A106" t="s">
        <v>285</v>
      </c>
      <c r="B106" t="s">
        <v>542</v>
      </c>
      <c r="C106" t="s">
        <v>499</v>
      </c>
      <c r="D106" t="s">
        <v>427</v>
      </c>
      <c r="E106" t="s">
        <v>499</v>
      </c>
      <c r="G106" t="s">
        <v>577</v>
      </c>
    </row>
    <row r="107" spans="1:7" x14ac:dyDescent="0.25">
      <c r="A107" t="s">
        <v>303</v>
      </c>
      <c r="B107" t="s">
        <v>546</v>
      </c>
      <c r="C107" t="s">
        <v>500</v>
      </c>
      <c r="D107" t="s">
        <v>428</v>
      </c>
      <c r="E107" t="s">
        <v>500</v>
      </c>
      <c r="G107" t="s">
        <v>577</v>
      </c>
    </row>
    <row r="108" spans="1:7" x14ac:dyDescent="0.25">
      <c r="A108" t="s">
        <v>304</v>
      </c>
      <c r="B108" t="s">
        <v>554</v>
      </c>
      <c r="C108" t="s">
        <v>478</v>
      </c>
      <c r="D108" t="s">
        <v>429</v>
      </c>
      <c r="E108" t="s">
        <v>478</v>
      </c>
      <c r="G108" t="s">
        <v>569</v>
      </c>
    </row>
    <row r="109" spans="1:7" x14ac:dyDescent="0.25">
      <c r="A109" t="s">
        <v>277</v>
      </c>
      <c r="B109" t="s">
        <v>539</v>
      </c>
      <c r="C109" t="s">
        <v>478</v>
      </c>
      <c r="D109" t="s">
        <v>430</v>
      </c>
      <c r="E109" t="s">
        <v>478</v>
      </c>
      <c r="G109" t="s">
        <v>571</v>
      </c>
    </row>
    <row r="110" spans="1:7" x14ac:dyDescent="0.25">
      <c r="A110" t="s">
        <v>277</v>
      </c>
      <c r="B110" t="s">
        <v>534</v>
      </c>
      <c r="C110" t="s">
        <v>478</v>
      </c>
      <c r="D110" t="s">
        <v>431</v>
      </c>
      <c r="E110" t="s">
        <v>478</v>
      </c>
      <c r="G110" t="s">
        <v>571</v>
      </c>
    </row>
    <row r="111" spans="1:7" x14ac:dyDescent="0.25">
      <c r="A111" t="s">
        <v>277</v>
      </c>
      <c r="B111" t="s">
        <v>555</v>
      </c>
      <c r="C111" t="s">
        <v>501</v>
      </c>
      <c r="D111" t="s">
        <v>432</v>
      </c>
      <c r="E111" t="s">
        <v>501</v>
      </c>
      <c r="G111" t="s">
        <v>571</v>
      </c>
    </row>
    <row r="112" spans="1:7" x14ac:dyDescent="0.25">
      <c r="A112" t="s">
        <v>263</v>
      </c>
      <c r="B112" t="s">
        <v>556</v>
      </c>
      <c r="C112" t="s">
        <v>502</v>
      </c>
      <c r="D112" t="s">
        <v>433</v>
      </c>
      <c r="E112" t="s">
        <v>502</v>
      </c>
      <c r="G112" t="s">
        <v>580</v>
      </c>
    </row>
    <row r="113" spans="1:7" x14ac:dyDescent="0.25">
      <c r="A113" t="s">
        <v>268</v>
      </c>
      <c r="B113" t="s">
        <v>520</v>
      </c>
      <c r="C113" t="s">
        <v>478</v>
      </c>
      <c r="D113" t="s">
        <v>434</v>
      </c>
      <c r="E113" t="s">
        <v>478</v>
      </c>
      <c r="G113" t="s">
        <v>571</v>
      </c>
    </row>
    <row r="114" spans="1:7" x14ac:dyDescent="0.25">
      <c r="A114" t="s">
        <v>305</v>
      </c>
      <c r="B114" t="s">
        <v>557</v>
      </c>
      <c r="C114" t="s">
        <v>478</v>
      </c>
      <c r="D114" t="s">
        <v>435</v>
      </c>
      <c r="E114" t="s">
        <v>478</v>
      </c>
      <c r="G114" t="s">
        <v>569</v>
      </c>
    </row>
    <row r="115" spans="1:7" x14ac:dyDescent="0.25">
      <c r="A115" t="s">
        <v>306</v>
      </c>
      <c r="B115" t="s">
        <v>558</v>
      </c>
      <c r="C115" t="s">
        <v>478</v>
      </c>
      <c r="D115" t="s">
        <v>436</v>
      </c>
      <c r="E115" t="s">
        <v>478</v>
      </c>
      <c r="G115" t="s">
        <v>569</v>
      </c>
    </row>
    <row r="116" spans="1:7" x14ac:dyDescent="0.25">
      <c r="A116" t="s">
        <v>307</v>
      </c>
      <c r="B116" t="s">
        <v>559</v>
      </c>
      <c r="C116" t="s">
        <v>478</v>
      </c>
      <c r="D116" t="s">
        <v>437</v>
      </c>
      <c r="E116" t="s">
        <v>478</v>
      </c>
      <c r="G116" t="s">
        <v>574</v>
      </c>
    </row>
    <row r="117" spans="1:7" x14ac:dyDescent="0.25">
      <c r="A117" t="s">
        <v>308</v>
      </c>
      <c r="B117" t="s">
        <v>560</v>
      </c>
      <c r="C117" t="s">
        <v>478</v>
      </c>
      <c r="D117" t="s">
        <v>438</v>
      </c>
      <c r="E117" t="s">
        <v>478</v>
      </c>
      <c r="G117" t="s">
        <v>569</v>
      </c>
    </row>
    <row r="118" spans="1:7" x14ac:dyDescent="0.25">
      <c r="A118" t="s">
        <v>309</v>
      </c>
      <c r="B118" t="s">
        <v>558</v>
      </c>
      <c r="C118" t="s">
        <v>478</v>
      </c>
      <c r="D118" t="s">
        <v>439</v>
      </c>
      <c r="E118" t="s">
        <v>478</v>
      </c>
      <c r="G118" t="s">
        <v>574</v>
      </c>
    </row>
    <row r="119" spans="1:7" x14ac:dyDescent="0.25">
      <c r="A119" t="s">
        <v>310</v>
      </c>
      <c r="B119" t="s">
        <v>561</v>
      </c>
      <c r="C119" t="s">
        <v>478</v>
      </c>
      <c r="D119" t="s">
        <v>440</v>
      </c>
      <c r="E119" t="s">
        <v>478</v>
      </c>
      <c r="G119" t="s">
        <v>569</v>
      </c>
    </row>
    <row r="120" spans="1:7" x14ac:dyDescent="0.25">
      <c r="A120" t="s">
        <v>311</v>
      </c>
      <c r="B120" t="s">
        <v>527</v>
      </c>
      <c r="C120" t="s">
        <v>481</v>
      </c>
      <c r="D120" t="s">
        <v>441</v>
      </c>
      <c r="E120" t="s">
        <v>481</v>
      </c>
      <c r="G120" t="s">
        <v>580</v>
      </c>
    </row>
    <row r="121" spans="1:7" x14ac:dyDescent="0.25">
      <c r="A121" t="s">
        <v>311</v>
      </c>
      <c r="B121" t="s">
        <v>562</v>
      </c>
      <c r="C121" t="s">
        <v>482</v>
      </c>
      <c r="D121" t="s">
        <v>442</v>
      </c>
      <c r="E121" t="s">
        <v>482</v>
      </c>
      <c r="G121" t="s">
        <v>580</v>
      </c>
    </row>
    <row r="122" spans="1:7" x14ac:dyDescent="0.25">
      <c r="A122" t="s">
        <v>311</v>
      </c>
      <c r="B122" t="s">
        <v>563</v>
      </c>
      <c r="C122" t="s">
        <v>481</v>
      </c>
      <c r="D122" t="s">
        <v>443</v>
      </c>
      <c r="E122" t="s">
        <v>481</v>
      </c>
      <c r="G122" t="s">
        <v>580</v>
      </c>
    </row>
    <row r="123" spans="1:7" x14ac:dyDescent="0.25">
      <c r="A123" t="s">
        <v>312</v>
      </c>
      <c r="B123" t="s">
        <v>526</v>
      </c>
      <c r="C123" t="s">
        <v>481</v>
      </c>
      <c r="D123" t="s">
        <v>444</v>
      </c>
      <c r="E123" t="s">
        <v>481</v>
      </c>
      <c r="G123" t="s">
        <v>580</v>
      </c>
    </row>
    <row r="124" spans="1:7" x14ac:dyDescent="0.25">
      <c r="A124" t="s">
        <v>286</v>
      </c>
      <c r="B124" t="s">
        <v>542</v>
      </c>
      <c r="C124" t="s">
        <v>486</v>
      </c>
      <c r="D124" t="s">
        <v>445</v>
      </c>
      <c r="E124" t="s">
        <v>486</v>
      </c>
      <c r="G124" t="s">
        <v>580</v>
      </c>
    </row>
    <row r="125" spans="1:7" x14ac:dyDescent="0.25">
      <c r="A125" t="s">
        <v>286</v>
      </c>
      <c r="B125" t="s">
        <v>541</v>
      </c>
      <c r="C125" t="s">
        <v>486</v>
      </c>
      <c r="D125" t="s">
        <v>446</v>
      </c>
      <c r="E125" t="s">
        <v>486</v>
      </c>
      <c r="G125" t="s">
        <v>580</v>
      </c>
    </row>
    <row r="126" spans="1:7" x14ac:dyDescent="0.25">
      <c r="A126" t="s">
        <v>313</v>
      </c>
      <c r="B126" t="s">
        <v>516</v>
      </c>
      <c r="C126" t="s">
        <v>478</v>
      </c>
      <c r="D126" t="s">
        <v>447</v>
      </c>
      <c r="E126" t="s">
        <v>478</v>
      </c>
      <c r="G126" t="s">
        <v>569</v>
      </c>
    </row>
    <row r="127" spans="1:7" x14ac:dyDescent="0.25">
      <c r="A127" t="s">
        <v>314</v>
      </c>
      <c r="B127" t="s">
        <v>516</v>
      </c>
      <c r="C127" t="s">
        <v>478</v>
      </c>
      <c r="D127" t="s">
        <v>448</v>
      </c>
      <c r="E127" t="s">
        <v>478</v>
      </c>
      <c r="G127" t="s">
        <v>569</v>
      </c>
    </row>
    <row r="128" spans="1:7" x14ac:dyDescent="0.25">
      <c r="A128" t="s">
        <v>315</v>
      </c>
      <c r="B128" t="s">
        <v>530</v>
      </c>
      <c r="C128" t="s">
        <v>478</v>
      </c>
      <c r="D128" t="s">
        <v>449</v>
      </c>
      <c r="E128" t="s">
        <v>478</v>
      </c>
      <c r="G128" t="s">
        <v>569</v>
      </c>
    </row>
    <row r="129" spans="1:7" x14ac:dyDescent="0.25">
      <c r="A129" t="s">
        <v>315</v>
      </c>
      <c r="B129" t="s">
        <v>530</v>
      </c>
      <c r="C129" t="s">
        <v>478</v>
      </c>
      <c r="D129" t="s">
        <v>450</v>
      </c>
      <c r="E129" t="s">
        <v>478</v>
      </c>
      <c r="G129" t="s">
        <v>569</v>
      </c>
    </row>
    <row r="130" spans="1:7" x14ac:dyDescent="0.25">
      <c r="A130" t="s">
        <v>315</v>
      </c>
      <c r="B130" t="s">
        <v>530</v>
      </c>
      <c r="C130" t="s">
        <v>478</v>
      </c>
      <c r="D130" t="s">
        <v>451</v>
      </c>
      <c r="E130" t="s">
        <v>478</v>
      </c>
      <c r="G130" t="s">
        <v>569</v>
      </c>
    </row>
    <row r="131" spans="1:7" x14ac:dyDescent="0.25">
      <c r="A131" t="s">
        <v>313</v>
      </c>
      <c r="B131" t="s">
        <v>524</v>
      </c>
      <c r="C131" t="s">
        <v>478</v>
      </c>
      <c r="D131" t="s">
        <v>452</v>
      </c>
      <c r="E131" t="s">
        <v>478</v>
      </c>
      <c r="G131" t="s">
        <v>569</v>
      </c>
    </row>
    <row r="132" spans="1:7" x14ac:dyDescent="0.25">
      <c r="A132" t="s">
        <v>314</v>
      </c>
      <c r="B132" t="s">
        <v>538</v>
      </c>
      <c r="C132" t="s">
        <v>478</v>
      </c>
      <c r="D132" t="s">
        <v>453</v>
      </c>
      <c r="E132" t="s">
        <v>478</v>
      </c>
      <c r="G132" t="s">
        <v>569</v>
      </c>
    </row>
    <row r="133" spans="1:7" x14ac:dyDescent="0.25">
      <c r="A133" t="s">
        <v>314</v>
      </c>
      <c r="B133" t="s">
        <v>530</v>
      </c>
      <c r="C133" t="s">
        <v>478</v>
      </c>
      <c r="D133" t="s">
        <v>454</v>
      </c>
      <c r="E133" t="s">
        <v>478</v>
      </c>
      <c r="G133" t="s">
        <v>569</v>
      </c>
    </row>
    <row r="134" spans="1:7" x14ac:dyDescent="0.25">
      <c r="A134" t="s">
        <v>314</v>
      </c>
      <c r="B134" t="s">
        <v>538</v>
      </c>
      <c r="C134" t="s">
        <v>478</v>
      </c>
      <c r="D134" t="s">
        <v>455</v>
      </c>
      <c r="E134" t="s">
        <v>478</v>
      </c>
      <c r="G134" t="s">
        <v>569</v>
      </c>
    </row>
    <row r="135" spans="1:7" x14ac:dyDescent="0.25">
      <c r="A135" t="s">
        <v>314</v>
      </c>
      <c r="B135" t="s">
        <v>530</v>
      </c>
      <c r="C135" t="s">
        <v>478</v>
      </c>
      <c r="D135" t="s">
        <v>456</v>
      </c>
      <c r="E135" t="s">
        <v>478</v>
      </c>
      <c r="G135" t="s">
        <v>569</v>
      </c>
    </row>
    <row r="136" spans="1:7" x14ac:dyDescent="0.25">
      <c r="A136" t="s">
        <v>277</v>
      </c>
      <c r="B136" t="s">
        <v>564</v>
      </c>
      <c r="C136" t="s">
        <v>501</v>
      </c>
      <c r="D136" t="s">
        <v>457</v>
      </c>
      <c r="E136" t="s">
        <v>501</v>
      </c>
      <c r="G136" t="s">
        <v>571</v>
      </c>
    </row>
    <row r="137" spans="1:7" x14ac:dyDescent="0.25">
      <c r="A137" t="s">
        <v>263</v>
      </c>
      <c r="B137" t="s">
        <v>565</v>
      </c>
      <c r="C137" t="s">
        <v>476</v>
      </c>
      <c r="D137" t="s">
        <v>458</v>
      </c>
      <c r="E137" t="s">
        <v>476</v>
      </c>
      <c r="G137" t="s">
        <v>580</v>
      </c>
    </row>
    <row r="138" spans="1:7" x14ac:dyDescent="0.25">
      <c r="A138" t="s">
        <v>316</v>
      </c>
      <c r="B138" t="s">
        <v>557</v>
      </c>
      <c r="C138" t="s">
        <v>478</v>
      </c>
      <c r="D138" t="s">
        <v>459</v>
      </c>
      <c r="E138" t="s">
        <v>478</v>
      </c>
      <c r="G138" t="s">
        <v>569</v>
      </c>
    </row>
    <row r="139" spans="1:7" x14ac:dyDescent="0.25">
      <c r="A139" t="s">
        <v>317</v>
      </c>
      <c r="B139" t="s">
        <v>560</v>
      </c>
      <c r="C139" t="s">
        <v>478</v>
      </c>
      <c r="D139" t="s">
        <v>460</v>
      </c>
      <c r="E139" t="s">
        <v>478</v>
      </c>
      <c r="G139" t="s">
        <v>569</v>
      </c>
    </row>
    <row r="140" spans="1:7" x14ac:dyDescent="0.25">
      <c r="A140" t="s">
        <v>318</v>
      </c>
      <c r="B140" t="s">
        <v>561</v>
      </c>
      <c r="C140" t="s">
        <v>478</v>
      </c>
      <c r="D140" t="s">
        <v>461</v>
      </c>
      <c r="E140" t="s">
        <v>478</v>
      </c>
      <c r="G140" t="s">
        <v>574</v>
      </c>
    </row>
    <row r="141" spans="1:7" x14ac:dyDescent="0.25">
      <c r="A141" t="s">
        <v>319</v>
      </c>
      <c r="B141" t="s">
        <v>526</v>
      </c>
      <c r="C141" t="s">
        <v>482</v>
      </c>
      <c r="D141" t="s">
        <v>462</v>
      </c>
      <c r="E141" t="s">
        <v>482</v>
      </c>
      <c r="G141" t="s">
        <v>580</v>
      </c>
    </row>
    <row r="142" spans="1:7" x14ac:dyDescent="0.25">
      <c r="A142" t="s">
        <v>320</v>
      </c>
      <c r="B142" t="s">
        <v>562</v>
      </c>
      <c r="C142" t="s">
        <v>488</v>
      </c>
      <c r="D142" t="s">
        <v>463</v>
      </c>
      <c r="E142" t="s">
        <v>488</v>
      </c>
      <c r="G142" t="s">
        <v>580</v>
      </c>
    </row>
    <row r="143" spans="1:7" x14ac:dyDescent="0.25">
      <c r="A143" t="s">
        <v>319</v>
      </c>
      <c r="B143" t="s">
        <v>563</v>
      </c>
      <c r="C143" t="s">
        <v>482</v>
      </c>
      <c r="D143" t="s">
        <v>464</v>
      </c>
      <c r="E143" t="s">
        <v>482</v>
      </c>
      <c r="G143" t="s">
        <v>580</v>
      </c>
    </row>
    <row r="144" spans="1:7" x14ac:dyDescent="0.25">
      <c r="A144" t="s">
        <v>319</v>
      </c>
      <c r="B144" t="s">
        <v>526</v>
      </c>
      <c r="C144" t="s">
        <v>481</v>
      </c>
      <c r="D144" t="s">
        <v>465</v>
      </c>
      <c r="E144" t="s">
        <v>481</v>
      </c>
      <c r="G144" t="s">
        <v>580</v>
      </c>
    </row>
    <row r="145" spans="1:7" x14ac:dyDescent="0.25">
      <c r="A145" t="s">
        <v>321</v>
      </c>
      <c r="B145" t="s">
        <v>547</v>
      </c>
      <c r="C145" t="s">
        <v>488</v>
      </c>
      <c r="D145" t="s">
        <v>466</v>
      </c>
      <c r="E145" t="s">
        <v>488</v>
      </c>
      <c r="G145" t="s">
        <v>574</v>
      </c>
    </row>
    <row r="146" spans="1:7" x14ac:dyDescent="0.25">
      <c r="A146" t="s">
        <v>322</v>
      </c>
      <c r="B146" t="s">
        <v>566</v>
      </c>
      <c r="C146" t="s">
        <v>482</v>
      </c>
      <c r="D146" t="s">
        <v>467</v>
      </c>
      <c r="E146" t="s">
        <v>482</v>
      </c>
      <c r="G146" t="s">
        <v>574</v>
      </c>
    </row>
    <row r="147" spans="1:7" x14ac:dyDescent="0.25">
      <c r="A147" t="s">
        <v>283</v>
      </c>
      <c r="B147" t="s">
        <v>524</v>
      </c>
      <c r="C147" t="s">
        <v>478</v>
      </c>
      <c r="D147" t="s">
        <v>468</v>
      </c>
      <c r="E147" t="s">
        <v>478</v>
      </c>
      <c r="G147" t="s">
        <v>581</v>
      </c>
    </row>
    <row r="148" spans="1:7" x14ac:dyDescent="0.25">
      <c r="A148" t="s">
        <v>275</v>
      </c>
      <c r="B148" t="s">
        <v>530</v>
      </c>
      <c r="C148" t="s">
        <v>478</v>
      </c>
      <c r="D148" t="s">
        <v>469</v>
      </c>
      <c r="E148" t="s">
        <v>478</v>
      </c>
      <c r="G148" t="s">
        <v>581</v>
      </c>
    </row>
    <row r="149" spans="1:7" x14ac:dyDescent="0.25">
      <c r="A149" t="s">
        <v>275</v>
      </c>
      <c r="B149" t="s">
        <v>530</v>
      </c>
      <c r="C149" t="s">
        <v>478</v>
      </c>
      <c r="D149" t="s">
        <v>470</v>
      </c>
      <c r="E149" t="s">
        <v>478</v>
      </c>
      <c r="G149" t="s">
        <v>581</v>
      </c>
    </row>
    <row r="150" spans="1:7" x14ac:dyDescent="0.25">
      <c r="A150" t="s">
        <v>275</v>
      </c>
      <c r="B150" t="s">
        <v>530</v>
      </c>
      <c r="C150" t="s">
        <v>478</v>
      </c>
      <c r="D150" t="s">
        <v>471</v>
      </c>
      <c r="E150" t="s">
        <v>478</v>
      </c>
      <c r="G150" t="s">
        <v>581</v>
      </c>
    </row>
    <row r="151" spans="1:7" x14ac:dyDescent="0.25">
      <c r="A151" t="s">
        <v>275</v>
      </c>
      <c r="B151" t="s">
        <v>530</v>
      </c>
      <c r="C151" t="s">
        <v>478</v>
      </c>
      <c r="D151" t="s">
        <v>472</v>
      </c>
      <c r="E151" t="s">
        <v>478</v>
      </c>
      <c r="G151" t="s">
        <v>581</v>
      </c>
    </row>
    <row r="152" spans="1:7" x14ac:dyDescent="0.25">
      <c r="A152" t="s">
        <v>286</v>
      </c>
      <c r="B152" t="s">
        <v>542</v>
      </c>
      <c r="C152" t="s">
        <v>486</v>
      </c>
      <c r="D152" t="s">
        <v>473</v>
      </c>
      <c r="E152" t="s">
        <v>486</v>
      </c>
      <c r="G152" t="s">
        <v>580</v>
      </c>
    </row>
    <row r="153" spans="1:7" x14ac:dyDescent="0.25">
      <c r="A153" t="s">
        <v>286</v>
      </c>
      <c r="B153" t="s">
        <v>542</v>
      </c>
      <c r="C153" t="s">
        <v>486</v>
      </c>
      <c r="D153" t="s">
        <v>474</v>
      </c>
      <c r="E153" t="s">
        <v>486</v>
      </c>
      <c r="G153" t="s">
        <v>580</v>
      </c>
    </row>
    <row r="154" spans="1:7" x14ac:dyDescent="0.25">
      <c r="A154" t="s">
        <v>289</v>
      </c>
      <c r="B154" t="s">
        <v>559</v>
      </c>
      <c r="C154" t="s">
        <v>478</v>
      </c>
      <c r="D154" t="s">
        <v>475</v>
      </c>
      <c r="E154" t="s">
        <v>478</v>
      </c>
      <c r="G154" t="s">
        <v>574</v>
      </c>
    </row>
    <row r="155" spans="1:7" x14ac:dyDescent="0.25">
      <c r="A155" t="s">
        <v>302</v>
      </c>
      <c r="B155" t="s">
        <v>567</v>
      </c>
      <c r="C155" t="s">
        <v>478</v>
      </c>
      <c r="D155" t="s">
        <v>302</v>
      </c>
      <c r="E155" t="s">
        <v>478</v>
      </c>
      <c r="G155" t="s">
        <v>579</v>
      </c>
    </row>
    <row r="156" spans="1:7" x14ac:dyDescent="0.25">
      <c r="A156" t="s">
        <v>323</v>
      </c>
      <c r="B156" t="s">
        <v>568</v>
      </c>
      <c r="C156" t="s">
        <v>478</v>
      </c>
      <c r="D156" t="s">
        <v>302</v>
      </c>
      <c r="E156" t="s">
        <v>478</v>
      </c>
      <c r="G156" t="s">
        <v>569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1">
    <pageSetUpPr autoPageBreaks="0"/>
  </sheetPr>
  <dimension ref="A1:U58"/>
  <sheetViews>
    <sheetView showGridLines="0" workbookViewId="0">
      <selection activeCell="C20" sqref="C20"/>
    </sheetView>
  </sheetViews>
  <sheetFormatPr defaultRowHeight="12.5" x14ac:dyDescent="0.25"/>
  <cols>
    <col min="2" max="2" width="24.81640625" bestFit="1" customWidth="1"/>
    <col min="3" max="3" width="9.453125" customWidth="1"/>
    <col min="4" max="4" width="9.81640625" customWidth="1"/>
    <col min="5" max="5" width="15.1796875" customWidth="1"/>
    <col min="6" max="6" width="3.1796875" hidden="1" customWidth="1"/>
    <col min="7" max="7" width="8.1796875" customWidth="1"/>
    <col min="8" max="8" width="14.54296875" customWidth="1"/>
    <col min="9" max="9" width="12.81640625" customWidth="1"/>
    <col min="10" max="10" width="14.453125" customWidth="1"/>
    <col min="11" max="11" width="13.7265625" customWidth="1"/>
    <col min="12" max="12" width="18.81640625" bestFit="1" customWidth="1"/>
    <col min="13" max="13" width="2.1796875" customWidth="1"/>
    <col min="14" max="14" width="16.7265625" customWidth="1"/>
    <col min="15" max="15" width="15.81640625" customWidth="1"/>
    <col min="16" max="16" width="17.26953125" customWidth="1"/>
    <col min="17" max="17" width="14.7265625" bestFit="1" customWidth="1"/>
    <col min="18" max="18" width="18.1796875" customWidth="1"/>
  </cols>
  <sheetData>
    <row r="1" spans="2:12" ht="13" thickBot="1" x14ac:dyDescent="0.3"/>
    <row r="2" spans="2:12" ht="13" thickTop="1" x14ac:dyDescent="0.25">
      <c r="B2" s="170"/>
      <c r="C2" s="171"/>
      <c r="D2" s="171"/>
      <c r="E2" s="171"/>
      <c r="F2" s="171"/>
      <c r="G2" s="172"/>
      <c r="H2" s="172"/>
      <c r="I2" s="172"/>
      <c r="J2" s="172"/>
      <c r="K2" s="177"/>
    </row>
    <row r="3" spans="2:12" ht="17.5" x14ac:dyDescent="0.35">
      <c r="B3" s="165"/>
      <c r="C3" s="135"/>
      <c r="D3" s="135"/>
      <c r="E3" s="135"/>
      <c r="F3" s="135"/>
      <c r="G3" s="187" t="s">
        <v>241</v>
      </c>
      <c r="H3" s="187"/>
      <c r="I3" s="187"/>
      <c r="J3" s="187"/>
      <c r="K3" s="188"/>
    </row>
    <row r="4" spans="2:12" x14ac:dyDescent="0.25">
      <c r="B4" s="164"/>
      <c r="C4" s="135"/>
      <c r="D4" s="135"/>
      <c r="E4" s="135"/>
      <c r="F4" s="135"/>
      <c r="G4" s="192"/>
      <c r="H4" s="192"/>
      <c r="I4" s="192"/>
      <c r="J4" s="192"/>
      <c r="K4" s="193"/>
    </row>
    <row r="5" spans="2:12" x14ac:dyDescent="0.25">
      <c r="B5" s="164"/>
      <c r="C5" s="135"/>
      <c r="D5" s="135"/>
      <c r="E5" s="135"/>
      <c r="F5" s="135"/>
      <c r="G5" s="192" t="s">
        <v>246</v>
      </c>
      <c r="H5" s="192"/>
      <c r="I5" s="192"/>
      <c r="J5" s="192"/>
      <c r="K5" s="193"/>
    </row>
    <row r="6" spans="2:12" x14ac:dyDescent="0.25">
      <c r="B6" s="164"/>
      <c r="C6" s="135"/>
      <c r="D6" s="135"/>
      <c r="E6" s="135"/>
      <c r="F6" s="135"/>
      <c r="G6" s="136"/>
      <c r="H6" s="136"/>
      <c r="I6" s="136"/>
      <c r="J6" s="136"/>
      <c r="K6" s="176" t="s">
        <v>245</v>
      </c>
    </row>
    <row r="7" spans="2:12" x14ac:dyDescent="0.25">
      <c r="B7" s="164"/>
      <c r="C7" s="135"/>
      <c r="D7" s="135"/>
      <c r="E7" s="135"/>
      <c r="F7" s="135"/>
      <c r="G7" s="136"/>
      <c r="H7" s="136"/>
      <c r="I7" s="136"/>
      <c r="J7" s="136"/>
      <c r="K7" s="176"/>
    </row>
    <row r="8" spans="2:12" ht="9.75" customHeight="1" thickBot="1" x14ac:dyDescent="0.3">
      <c r="B8" s="178"/>
      <c r="C8" s="179"/>
      <c r="D8" s="179"/>
      <c r="E8" s="179"/>
      <c r="F8" s="179"/>
      <c r="G8" s="159"/>
      <c r="H8" s="159"/>
      <c r="I8" s="159"/>
      <c r="J8" s="159"/>
      <c r="K8" s="161"/>
    </row>
    <row r="9" spans="2:12" ht="6" customHeight="1" thickTop="1" x14ac:dyDescent="0.25">
      <c r="B9" s="166"/>
      <c r="C9" s="137"/>
      <c r="D9" s="137"/>
      <c r="E9" s="137"/>
      <c r="F9" s="137"/>
      <c r="G9" s="137"/>
      <c r="H9" s="194" t="s">
        <v>143</v>
      </c>
      <c r="I9" s="195"/>
      <c r="J9" s="195"/>
      <c r="K9" s="196"/>
      <c r="L9" s="2"/>
    </row>
    <row r="10" spans="2:12" ht="15" customHeight="1" x14ac:dyDescent="0.3">
      <c r="B10" s="167" t="s">
        <v>37</v>
      </c>
      <c r="C10" s="137"/>
      <c r="D10" s="137" t="s">
        <v>23</v>
      </c>
      <c r="E10" s="137"/>
      <c r="F10" s="137"/>
      <c r="G10" s="137"/>
      <c r="H10" s="197"/>
      <c r="I10" s="198"/>
      <c r="J10" s="198"/>
      <c r="K10" s="199"/>
      <c r="L10" s="2"/>
    </row>
    <row r="11" spans="2:12" ht="15.75" customHeight="1" x14ac:dyDescent="0.3">
      <c r="B11" s="166"/>
      <c r="C11" s="137"/>
      <c r="D11" s="137"/>
      <c r="E11" s="138">
        <f>Tabeller!H5</f>
        <v>20</v>
      </c>
      <c r="F11" s="137"/>
      <c r="G11" s="137"/>
      <c r="H11" s="180" t="s">
        <v>97</v>
      </c>
      <c r="I11" s="151" t="s">
        <v>144</v>
      </c>
      <c r="J11" s="150" t="s">
        <v>97</v>
      </c>
      <c r="K11" s="173" t="s">
        <v>144</v>
      </c>
      <c r="L11" s="2"/>
    </row>
    <row r="12" spans="2:12" x14ac:dyDescent="0.25">
      <c r="B12" s="166"/>
      <c r="C12" s="137"/>
      <c r="D12" s="137"/>
      <c r="E12" s="137"/>
      <c r="F12" s="137"/>
      <c r="G12" s="137"/>
      <c r="H12" s="181" t="str">
        <f>VLOOKUP(Tabeller!$A$33,dimensioner,2)</f>
        <v>Ø63</v>
      </c>
      <c r="I12" s="153">
        <f>VLOOKUP(Tabeller!$A$33,dimensioner,3)</f>
        <v>63</v>
      </c>
      <c r="J12" s="152" t="str">
        <f>VLOOKUP(Tabeller!$A$33,dimensioner,22)</f>
        <v>Ø500</v>
      </c>
      <c r="K12" s="174">
        <f>VLOOKUP(Tabeller!$A$33,dimensioner,23)</f>
        <v>500</v>
      </c>
      <c r="L12" s="2"/>
    </row>
    <row r="13" spans="2:12" ht="12.75" customHeight="1" x14ac:dyDescent="0.25">
      <c r="B13" s="166"/>
      <c r="C13" s="137"/>
      <c r="D13" s="137"/>
      <c r="E13" s="137"/>
      <c r="F13" s="137"/>
      <c r="G13" s="137"/>
      <c r="H13" s="181" t="str">
        <f>VLOOKUP(Tabeller!$A$33,dimensioner,4)</f>
        <v>Ø80</v>
      </c>
      <c r="I13" s="153">
        <f>VLOOKUP(Tabeller!$A$33,dimensioner,5)</f>
        <v>80</v>
      </c>
      <c r="J13" s="152" t="str">
        <f>VLOOKUP(Tabeller!$A$33,dimensioner,24)</f>
        <v>Ø560</v>
      </c>
      <c r="K13" s="174">
        <f>VLOOKUP(Tabeller!$A$33,dimensioner,25)</f>
        <v>560</v>
      </c>
      <c r="L13" s="2"/>
    </row>
    <row r="14" spans="2:12" ht="12" customHeight="1" x14ac:dyDescent="0.25">
      <c r="B14" s="166"/>
      <c r="C14" s="137"/>
      <c r="D14" s="137"/>
      <c r="E14" s="137"/>
      <c r="F14" s="137"/>
      <c r="G14" s="137"/>
      <c r="H14" s="181" t="str">
        <f>VLOOKUP(Tabeller!$A$33,dimensioner,6)</f>
        <v>Ø100</v>
      </c>
      <c r="I14" s="153">
        <f>VLOOKUP(Tabeller!$A$33,dimensioner,7)</f>
        <v>100</v>
      </c>
      <c r="J14" s="152" t="str">
        <f>VLOOKUP(Tabeller!$A$33,dimensioner,26)</f>
        <v>Ø630</v>
      </c>
      <c r="K14" s="174">
        <f>VLOOKUP(Tabeller!$A$33,dimensioner,27)</f>
        <v>630</v>
      </c>
      <c r="L14" s="2"/>
    </row>
    <row r="15" spans="2:12" ht="14.25" customHeight="1" x14ac:dyDescent="0.3">
      <c r="B15" s="168" t="s">
        <v>40</v>
      </c>
      <c r="C15" s="137"/>
      <c r="D15" s="139" t="s">
        <v>95</v>
      </c>
      <c r="E15" s="137"/>
      <c r="F15" s="137"/>
      <c r="G15" s="137"/>
      <c r="H15" s="181" t="str">
        <f>VLOOKUP(Tabeller!$A$33,dimensioner,8)</f>
        <v>Ø125</v>
      </c>
      <c r="I15" s="153">
        <f>VLOOKUP(Tabeller!$A$33,dimensioner,9)</f>
        <v>125</v>
      </c>
      <c r="J15" s="152" t="str">
        <f>VLOOKUP(Tabeller!$A$33,dimensioner,28)</f>
        <v>Ø710</v>
      </c>
      <c r="K15" s="174">
        <f>VLOOKUP(Tabeller!$A$33,dimensioner,29)</f>
        <v>710</v>
      </c>
      <c r="L15" s="2"/>
    </row>
    <row r="16" spans="2:12" ht="14.25" customHeight="1" x14ac:dyDescent="0.25">
      <c r="B16" s="166"/>
      <c r="C16" s="137"/>
      <c r="D16" s="137"/>
      <c r="E16" s="137"/>
      <c r="F16" s="137"/>
      <c r="G16" s="137"/>
      <c r="H16" s="181" t="str">
        <f>VLOOKUP(Tabeller!$A$33,dimensioner,10)</f>
        <v>Ø160</v>
      </c>
      <c r="I16" s="153">
        <f>VLOOKUP(Tabeller!$A$33,dimensioner,11)</f>
        <v>160</v>
      </c>
      <c r="J16" s="152" t="str">
        <f>VLOOKUP(Tabeller!$A$33,dimensioner,30)</f>
        <v>Ø800</v>
      </c>
      <c r="K16" s="174">
        <f>VLOOKUP(Tabeller!$A$33,dimensioner,31)</f>
        <v>800</v>
      </c>
      <c r="L16" s="2"/>
    </row>
    <row r="17" spans="1:21" ht="14.25" customHeight="1" x14ac:dyDescent="0.3">
      <c r="B17" s="168" t="s">
        <v>39</v>
      </c>
      <c r="C17" s="137"/>
      <c r="D17" s="137"/>
      <c r="E17" s="137"/>
      <c r="F17" s="137"/>
      <c r="G17" s="137"/>
      <c r="H17" s="181" t="str">
        <f>VLOOKUP(Tabeller!$A$33,dimensioner,12)</f>
        <v>Ø200</v>
      </c>
      <c r="I17" s="153">
        <f>VLOOKUP(Tabeller!$A$33,dimensioner,13)</f>
        <v>200</v>
      </c>
      <c r="J17" s="152" t="str">
        <f>VLOOKUP(Tabeller!$A$33,dimensioner,32)</f>
        <v>Ø900</v>
      </c>
      <c r="K17" s="174">
        <f>VLOOKUP(Tabeller!$A$33,dimensioner,33)</f>
        <v>900</v>
      </c>
      <c r="L17" s="2"/>
    </row>
    <row r="18" spans="1:21" ht="14.25" customHeight="1" x14ac:dyDescent="0.25">
      <c r="B18" s="166"/>
      <c r="C18" s="137"/>
      <c r="D18" s="137"/>
      <c r="E18" s="137"/>
      <c r="F18" s="137"/>
      <c r="G18" s="137"/>
      <c r="H18" s="181" t="str">
        <f>VLOOKUP(Tabeller!$A$33,dimensioner,14)</f>
        <v>Ø250</v>
      </c>
      <c r="I18" s="153">
        <f>VLOOKUP(Tabeller!$A$33,dimensioner,15)</f>
        <v>250</v>
      </c>
      <c r="J18" s="152" t="str">
        <f>VLOOKUP(Tabeller!$A$33,dimensioner,34)</f>
        <v>Ø1000</v>
      </c>
      <c r="K18" s="174">
        <f>VLOOKUP(Tabeller!$A$33,dimensioner,35)</f>
        <v>1000</v>
      </c>
      <c r="L18" s="2"/>
    </row>
    <row r="19" spans="1:21" ht="14.25" customHeight="1" x14ac:dyDescent="0.3">
      <c r="B19" s="168" t="s">
        <v>41</v>
      </c>
      <c r="C19" s="144">
        <f>Template!D2</f>
        <v>0</v>
      </c>
      <c r="D19" s="137"/>
      <c r="E19" s="137"/>
      <c r="F19" s="137"/>
      <c r="G19" s="137"/>
      <c r="H19" s="181" t="str">
        <f>VLOOKUP(Tabeller!$A$33,dimensioner,16)</f>
        <v>Ø315</v>
      </c>
      <c r="I19" s="153">
        <f>VLOOKUP(Tabeller!$A$33,dimensioner,17)</f>
        <v>315</v>
      </c>
      <c r="J19" s="152" t="str">
        <f>VLOOKUP(Tabeller!$A$33,dimensioner,36)</f>
        <v>Ø1250</v>
      </c>
      <c r="K19" s="174">
        <f>VLOOKUP(Tabeller!$A$33,dimensioner,37)</f>
        <v>1250</v>
      </c>
      <c r="L19" s="2"/>
    </row>
    <row r="20" spans="1:21" ht="14.25" customHeight="1" x14ac:dyDescent="0.25">
      <c r="B20" s="166"/>
      <c r="C20" s="144">
        <f>Template!D3</f>
        <v>0</v>
      </c>
      <c r="D20" s="137"/>
      <c r="E20" s="137"/>
      <c r="F20" s="137"/>
      <c r="G20" s="137"/>
      <c r="H20" s="181" t="str">
        <f>VLOOKUP(Tabeller!$A$33,dimensioner,18)</f>
        <v>Ø400</v>
      </c>
      <c r="I20" s="153">
        <f>VLOOKUP(Tabeller!$A$33,dimensioner,19)</f>
        <v>400</v>
      </c>
      <c r="J20" s="152" t="str">
        <f>VLOOKUP(Tabeller!$A$33,dimensioner,38)</f>
        <v>Ø1400</v>
      </c>
      <c r="K20" s="174">
        <f>VLOOKUP(Tabeller!$A$33,dimensioner,39)</f>
        <v>1400</v>
      </c>
      <c r="L20" s="2"/>
    </row>
    <row r="21" spans="1:21" ht="14.25" customHeight="1" thickBot="1" x14ac:dyDescent="0.3">
      <c r="B21" s="166"/>
      <c r="C21" s="144">
        <f>Template!D4</f>
        <v>0</v>
      </c>
      <c r="D21" s="137"/>
      <c r="E21" s="137"/>
      <c r="F21" s="137"/>
      <c r="G21" s="137"/>
      <c r="H21" s="182" t="str">
        <f>VLOOKUP(Tabeller!$A$33,dimensioner,20)</f>
        <v>Ø450</v>
      </c>
      <c r="I21" s="183">
        <f>VLOOKUP(Tabeller!$A$33,dimensioner,21)</f>
        <v>450</v>
      </c>
      <c r="J21" s="184" t="str">
        <f>VLOOKUP(Tabeller!$A$33,dimensioner,40)</f>
        <v>Ø1500</v>
      </c>
      <c r="K21" s="185">
        <f>VLOOKUP(Tabeller!$A$33,dimensioner,41)</f>
        <v>1500</v>
      </c>
      <c r="L21" s="2"/>
    </row>
    <row r="22" spans="1:21" ht="14.25" customHeight="1" thickTop="1" x14ac:dyDescent="0.25">
      <c r="B22" s="166"/>
      <c r="C22" s="144">
        <f>Template!D5</f>
        <v>0</v>
      </c>
      <c r="D22" s="137"/>
      <c r="E22" s="137"/>
      <c r="F22" s="137"/>
      <c r="G22" s="137"/>
      <c r="H22" s="146" t="s">
        <v>23</v>
      </c>
      <c r="I22" s="137"/>
      <c r="J22" s="137"/>
      <c r="K22" s="175"/>
    </row>
    <row r="23" spans="1:21" ht="14.25" customHeight="1" thickBot="1" x14ac:dyDescent="0.3">
      <c r="B23" s="169"/>
      <c r="C23" s="162"/>
      <c r="D23" s="162"/>
      <c r="E23" s="162"/>
      <c r="F23" s="137"/>
      <c r="G23" s="137"/>
      <c r="H23" s="137"/>
      <c r="I23" s="137"/>
      <c r="J23" s="137"/>
      <c r="K23" s="175"/>
    </row>
    <row r="24" spans="1:21" ht="14.25" customHeight="1" thickTop="1" x14ac:dyDescent="0.35">
      <c r="B24" s="200" t="s">
        <v>244</v>
      </c>
      <c r="C24" s="201"/>
      <c r="D24" s="201"/>
      <c r="E24" s="201"/>
      <c r="F24" s="142"/>
      <c r="G24" s="202" t="s">
        <v>84</v>
      </c>
      <c r="H24" s="203"/>
      <c r="I24" s="203"/>
      <c r="J24" s="203"/>
      <c r="K24" s="204"/>
    </row>
    <row r="25" spans="1:21" ht="12.75" customHeight="1" x14ac:dyDescent="0.3">
      <c r="A25" s="186"/>
      <c r="B25" s="189" t="s">
        <v>62</v>
      </c>
      <c r="C25" s="189"/>
      <c r="D25" s="189"/>
      <c r="E25" s="189"/>
      <c r="F25" s="147"/>
      <c r="G25" s="190" t="s">
        <v>142</v>
      </c>
      <c r="H25" s="189"/>
      <c r="I25" s="189"/>
      <c r="J25" s="189"/>
      <c r="K25" s="191"/>
    </row>
    <row r="26" spans="1:21" ht="13.5" customHeight="1" x14ac:dyDescent="0.25">
      <c r="B26" s="154"/>
      <c r="C26" s="136"/>
      <c r="D26" s="136"/>
      <c r="E26" s="136"/>
      <c r="F26" s="136"/>
      <c r="G26" s="154"/>
      <c r="H26" s="136"/>
      <c r="I26" s="136"/>
      <c r="J26" s="136"/>
      <c r="K26" s="155"/>
    </row>
    <row r="27" spans="1:21" ht="14.25" customHeight="1" x14ac:dyDescent="0.3">
      <c r="B27" s="156" t="s">
        <v>90</v>
      </c>
      <c r="C27" s="71">
        <v>400</v>
      </c>
      <c r="D27" s="136" t="s">
        <v>25</v>
      </c>
      <c r="E27" s="136"/>
      <c r="F27" s="136"/>
      <c r="G27" s="156" t="s">
        <v>243</v>
      </c>
      <c r="H27" s="136"/>
      <c r="I27" s="134">
        <v>0.7</v>
      </c>
      <c r="J27" s="136" t="s">
        <v>66</v>
      </c>
      <c r="K27" s="155"/>
    </row>
    <row r="28" spans="1:21" ht="7.5" customHeight="1" x14ac:dyDescent="0.25">
      <c r="B28" s="154"/>
      <c r="C28" s="136"/>
      <c r="D28" s="136"/>
      <c r="E28" s="136"/>
      <c r="F28" s="136"/>
      <c r="G28" s="154"/>
      <c r="H28" s="136"/>
      <c r="I28" s="148"/>
      <c r="J28" s="136"/>
      <c r="K28" s="155"/>
      <c r="T28" s="55"/>
      <c r="U28" t="s">
        <v>23</v>
      </c>
    </row>
    <row r="29" spans="1:21" ht="12.75" customHeight="1" x14ac:dyDescent="0.3">
      <c r="B29" s="156" t="s">
        <v>87</v>
      </c>
      <c r="C29" s="140">
        <f>Tabeller!$A$54/Tabeller!$A$60</f>
        <v>0</v>
      </c>
      <c r="D29" s="136" t="s">
        <v>88</v>
      </c>
      <c r="E29" s="136"/>
      <c r="F29" s="136"/>
      <c r="G29" s="157" t="s">
        <v>89</v>
      </c>
      <c r="H29" s="136"/>
      <c r="I29" s="141" t="e">
        <f>'Tor Wadmark'!F37</f>
        <v>#DIV/0!</v>
      </c>
      <c r="J29" s="136" t="s">
        <v>25</v>
      </c>
      <c r="K29" s="155"/>
    </row>
    <row r="30" spans="1:21" ht="12.75" customHeight="1" x14ac:dyDescent="0.3">
      <c r="B30" s="156"/>
      <c r="C30" s="140"/>
      <c r="D30" s="136"/>
      <c r="E30" s="136"/>
      <c r="F30" s="136"/>
      <c r="G30" s="157" t="s">
        <v>89</v>
      </c>
      <c r="H30" s="136"/>
      <c r="I30" s="141" t="e">
        <f>'Tor Wadmark'!F59</f>
        <v>#DIV/0!</v>
      </c>
      <c r="J30" s="136" t="s">
        <v>25</v>
      </c>
      <c r="K30" s="155"/>
    </row>
    <row r="31" spans="1:21" ht="12.75" customHeight="1" x14ac:dyDescent="0.3">
      <c r="B31" s="156"/>
      <c r="C31" s="140"/>
      <c r="D31" s="136"/>
      <c r="E31" s="136"/>
      <c r="F31" s="136"/>
      <c r="G31" s="157" t="s">
        <v>89</v>
      </c>
      <c r="H31" s="136"/>
      <c r="I31" s="141" t="e">
        <f>'Tor Wadmark'!F81</f>
        <v>#DIV/0!</v>
      </c>
      <c r="J31" s="136" t="s">
        <v>25</v>
      </c>
      <c r="K31" s="155"/>
    </row>
    <row r="32" spans="1:21" ht="12.75" customHeight="1" x14ac:dyDescent="0.3">
      <c r="B32" s="156"/>
      <c r="C32" s="140"/>
      <c r="D32" s="136"/>
      <c r="E32" s="136"/>
      <c r="F32" s="136"/>
      <c r="G32" s="157" t="s">
        <v>89</v>
      </c>
      <c r="H32" s="136"/>
      <c r="I32" s="141" t="e">
        <f>'Tor Wadmark'!F103</f>
        <v>#DIV/0!</v>
      </c>
      <c r="J32" s="136" t="s">
        <v>25</v>
      </c>
      <c r="K32" s="155"/>
    </row>
    <row r="33" spans="2:18" ht="8.25" customHeight="1" x14ac:dyDescent="0.25">
      <c r="B33" s="154"/>
      <c r="C33" s="136"/>
      <c r="D33" s="136"/>
      <c r="E33" s="136"/>
      <c r="F33" s="136"/>
      <c r="G33" s="154"/>
      <c r="H33" s="136"/>
      <c r="I33" s="148"/>
      <c r="J33" s="136"/>
      <c r="K33" s="155"/>
    </row>
    <row r="34" spans="2:18" ht="12.75" customHeight="1" x14ac:dyDescent="0.3">
      <c r="B34" s="156" t="s">
        <v>67</v>
      </c>
      <c r="C34" s="140">
        <f>0.5*Tabeller!$A$39*Tabeller!$A$63^2</f>
        <v>0</v>
      </c>
      <c r="D34" s="136" t="s">
        <v>65</v>
      </c>
      <c r="E34" s="136"/>
      <c r="F34" s="136"/>
      <c r="G34" s="156" t="s">
        <v>87</v>
      </c>
      <c r="H34" s="136"/>
      <c r="I34" s="141" t="e">
        <f>Tabeller!$A$54/((PI()/4)*(Beregning!$I$29/1000)^2)</f>
        <v>#DIV/0!</v>
      </c>
      <c r="J34" s="136" t="s">
        <v>88</v>
      </c>
      <c r="K34" s="155"/>
    </row>
    <row r="35" spans="2:18" ht="7.5" customHeight="1" x14ac:dyDescent="0.25">
      <c r="B35" s="154"/>
      <c r="C35" s="136"/>
      <c r="D35" s="136"/>
      <c r="E35" s="136"/>
      <c r="F35" s="136"/>
      <c r="G35" s="154"/>
      <c r="H35" s="136"/>
      <c r="I35" s="136"/>
      <c r="J35" s="136"/>
      <c r="K35" s="155"/>
    </row>
    <row r="36" spans="2:18" ht="13.5" thickBot="1" x14ac:dyDescent="0.35">
      <c r="B36" s="158" t="s">
        <v>242</v>
      </c>
      <c r="C36" s="163" t="e">
        <f>('Colebrook-White'!$E$25/(Beregning!$C$27/1000))*Beregning!$C$34</f>
        <v>#DIV/0!</v>
      </c>
      <c r="D36" s="159" t="s">
        <v>66</v>
      </c>
      <c r="E36" s="159"/>
      <c r="F36" s="136"/>
      <c r="G36" s="158" t="s">
        <v>67</v>
      </c>
      <c r="H36" s="159"/>
      <c r="I36" s="160" t="e">
        <f>0.5*Tabeller!$A$39*(Tabeller!$A$54/(($I$29/1000)^2*(PI()/4)))^2</f>
        <v>#DIV/0!</v>
      </c>
      <c r="J36" s="159" t="s">
        <v>65</v>
      </c>
      <c r="K36" s="161"/>
    </row>
    <row r="37" spans="2:18" ht="13" thickTop="1" x14ac:dyDescent="0.25"/>
    <row r="39" spans="2:18" x14ac:dyDescent="0.25">
      <c r="O39" s="56"/>
      <c r="P39" s="56"/>
      <c r="R39" s="56"/>
    </row>
    <row r="40" spans="2:18" x14ac:dyDescent="0.25">
      <c r="O40" s="56"/>
      <c r="P40" s="56"/>
      <c r="R40" s="56"/>
    </row>
    <row r="41" spans="2:18" x14ac:dyDescent="0.25">
      <c r="O41" s="56"/>
      <c r="P41" s="56"/>
      <c r="R41" s="56"/>
    </row>
    <row r="42" spans="2:18" x14ac:dyDescent="0.25">
      <c r="O42" s="56"/>
      <c r="P42" s="56"/>
      <c r="R42" s="56"/>
    </row>
    <row r="43" spans="2:18" x14ac:dyDescent="0.25">
      <c r="O43" s="56"/>
      <c r="P43" s="56"/>
      <c r="R43" s="56"/>
    </row>
    <row r="44" spans="2:18" x14ac:dyDescent="0.25">
      <c r="O44" s="56"/>
      <c r="P44" s="56"/>
      <c r="R44" s="56"/>
    </row>
    <row r="45" spans="2:18" x14ac:dyDescent="0.25">
      <c r="O45" s="56"/>
      <c r="P45" s="56"/>
      <c r="R45" s="56"/>
    </row>
    <row r="46" spans="2:18" x14ac:dyDescent="0.25">
      <c r="O46" s="56"/>
      <c r="P46" s="56"/>
      <c r="R46" s="56"/>
    </row>
    <row r="47" spans="2:18" x14ac:dyDescent="0.25">
      <c r="O47" s="56"/>
      <c r="P47" s="56"/>
      <c r="R47" s="56"/>
    </row>
    <row r="48" spans="2:18" x14ac:dyDescent="0.25">
      <c r="O48" s="56"/>
      <c r="P48" s="56"/>
      <c r="R48" s="56"/>
    </row>
    <row r="49" spans="15:18" x14ac:dyDescent="0.25">
      <c r="O49" s="56"/>
      <c r="P49" s="56"/>
      <c r="R49" s="56"/>
    </row>
    <row r="50" spans="15:18" x14ac:dyDescent="0.25">
      <c r="O50" s="56"/>
      <c r="P50" s="56"/>
      <c r="R50" s="56"/>
    </row>
    <row r="51" spans="15:18" x14ac:dyDescent="0.25">
      <c r="O51" s="56"/>
      <c r="P51" s="56"/>
      <c r="R51" s="56"/>
    </row>
    <row r="52" spans="15:18" x14ac:dyDescent="0.25">
      <c r="O52" s="56"/>
      <c r="P52" s="56"/>
      <c r="R52" s="56"/>
    </row>
    <row r="53" spans="15:18" x14ac:dyDescent="0.25">
      <c r="O53" s="56"/>
      <c r="P53" s="56"/>
      <c r="R53" s="56"/>
    </row>
    <row r="54" spans="15:18" x14ac:dyDescent="0.25">
      <c r="O54" s="56"/>
      <c r="P54" s="56"/>
      <c r="R54" s="56"/>
    </row>
    <row r="55" spans="15:18" x14ac:dyDescent="0.25">
      <c r="O55" s="56"/>
      <c r="P55" s="56"/>
      <c r="R55" s="56"/>
    </row>
    <row r="56" spans="15:18" x14ac:dyDescent="0.25">
      <c r="O56" s="56"/>
      <c r="P56" s="56"/>
      <c r="R56" s="56"/>
    </row>
    <row r="57" spans="15:18" x14ac:dyDescent="0.25">
      <c r="O57" s="56"/>
      <c r="P57" s="56"/>
      <c r="R57" s="56"/>
    </row>
    <row r="58" spans="15:18" x14ac:dyDescent="0.25">
      <c r="O58" s="56"/>
      <c r="P58" s="56"/>
      <c r="R58" s="56"/>
    </row>
  </sheetData>
  <sheetProtection selectLockedCells="1"/>
  <mergeCells count="8">
    <mergeCell ref="G3:K3"/>
    <mergeCell ref="B25:E25"/>
    <mergeCell ref="G25:K25"/>
    <mergeCell ref="G4:K4"/>
    <mergeCell ref="H9:K10"/>
    <mergeCell ref="B24:E24"/>
    <mergeCell ref="G24:K24"/>
    <mergeCell ref="G5:K5"/>
  </mergeCells>
  <phoneticPr fontId="3" type="noConversion"/>
  <pageMargins left="0.75" right="0.38" top="1" bottom="1" header="0" footer="0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6" r:id="rId4" name="Option Button 18">
              <controlPr defaultSize="0" autoFill="0" autoLine="0" autoPict="0">
                <anchor moveWithCells="1">
                  <from>
                    <xdr:col>1</xdr:col>
                    <xdr:colOff>1143000</xdr:colOff>
                    <xdr:row>9</xdr:row>
                    <xdr:rowOff>0</xdr:rowOff>
                  </from>
                  <to>
                    <xdr:col>2</xdr:col>
                    <xdr:colOff>50800</xdr:colOff>
                    <xdr:row>10</xdr:row>
                    <xdr:rowOff>31750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7" r:id="rId5" name="Option Button 19">
              <controlPr defaultSize="0" autoFill="0" autoLine="0" autoPict="0">
                <anchor moveWithCells="1">
                  <from>
                    <xdr:col>1</xdr:col>
                    <xdr:colOff>1143000</xdr:colOff>
                    <xdr:row>10</xdr:row>
                    <xdr:rowOff>0</xdr:rowOff>
                  </from>
                  <to>
                    <xdr:col>4</xdr:col>
                    <xdr:colOff>412750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6" name="Drop Down 23">
              <controlPr defaultSize="0" autoLine="0" autoPict="0">
                <anchor moveWithCells="1">
                  <from>
                    <xdr:col>1</xdr:col>
                    <xdr:colOff>1200150</xdr:colOff>
                    <xdr:row>14</xdr:row>
                    <xdr:rowOff>0</xdr:rowOff>
                  </from>
                  <to>
                    <xdr:col>2</xdr:col>
                    <xdr:colOff>88900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7" name="Drop Down 24">
              <controlPr defaultSize="0" autoLine="0" autoPict="0">
                <anchor moveWithCells="1">
                  <from>
                    <xdr:col>1</xdr:col>
                    <xdr:colOff>1212850</xdr:colOff>
                    <xdr:row>15</xdr:row>
                    <xdr:rowOff>165100</xdr:rowOff>
                  </from>
                  <to>
                    <xdr:col>6</xdr:col>
                    <xdr:colOff>304800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92" r:id="rId8" name="Drop Down 44">
              <controlPr defaultSize="0" autoLine="0" autoPict="0">
                <anchor moveWithCells="1">
                  <from>
                    <xdr:col>3</xdr:col>
                    <xdr:colOff>50800</xdr:colOff>
                    <xdr:row>17</xdr:row>
                    <xdr:rowOff>165100</xdr:rowOff>
                  </from>
                  <to>
                    <xdr:col>3</xdr:col>
                    <xdr:colOff>647700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9" name="Option Button 67">
              <controlPr defaultSize="0" autoFill="0" autoLine="0" autoPict="0">
                <anchor moveWithCells="1">
                  <from>
                    <xdr:col>1</xdr:col>
                    <xdr:colOff>1143000</xdr:colOff>
                    <xdr:row>11</xdr:row>
                    <xdr:rowOff>114300</xdr:rowOff>
                  </from>
                  <to>
                    <xdr:col>4</xdr:col>
                    <xdr:colOff>31750</xdr:colOff>
                    <xdr:row>13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0" name="Spinner 68">
              <controlPr defaultSize="0" autoPict="0">
                <anchor moveWithCells="1" sizeWithCells="1">
                  <from>
                    <xdr:col>4</xdr:col>
                    <xdr:colOff>241300</xdr:colOff>
                    <xdr:row>9</xdr:row>
                    <xdr:rowOff>184150</xdr:rowOff>
                  </from>
                  <to>
                    <xdr:col>4</xdr:col>
                    <xdr:colOff>355600</xdr:colOff>
                    <xdr:row>11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2"/>
  <dimension ref="A1:AT78"/>
  <sheetViews>
    <sheetView workbookViewId="0">
      <selection activeCell="A33" sqref="A33"/>
    </sheetView>
  </sheetViews>
  <sheetFormatPr defaultRowHeight="12.5" x14ac:dyDescent="0.25"/>
  <cols>
    <col min="1" max="1" width="53.54296875" customWidth="1"/>
    <col min="2" max="2" width="13.453125" bestFit="1" customWidth="1"/>
    <col min="3" max="3" width="15.7265625" bestFit="1" customWidth="1"/>
    <col min="5" max="5" width="50" bestFit="1" customWidth="1"/>
    <col min="6" max="6" width="13.453125" bestFit="1" customWidth="1"/>
    <col min="7" max="7" width="15.7265625" bestFit="1" customWidth="1"/>
    <col min="8" max="8" width="11.1796875" bestFit="1" customWidth="1"/>
    <col min="9" max="9" width="8.1796875" bestFit="1" customWidth="1"/>
    <col min="10" max="10" width="12" bestFit="1" customWidth="1"/>
    <col min="11" max="12" width="12.54296875" bestFit="1" customWidth="1"/>
    <col min="13" max="13" width="8.1796875" bestFit="1" customWidth="1"/>
    <col min="14" max="14" width="6.26953125" customWidth="1"/>
    <col min="15" max="15" width="8.1796875" customWidth="1"/>
    <col min="16" max="16" width="6.26953125" customWidth="1"/>
    <col min="17" max="17" width="8.1796875" bestFit="1" customWidth="1"/>
    <col min="18" max="18" width="6.26953125" customWidth="1"/>
    <col min="19" max="19" width="8.1796875" bestFit="1" customWidth="1"/>
    <col min="20" max="20" width="6.26953125" customWidth="1"/>
    <col min="21" max="21" width="8.1796875" bestFit="1" customWidth="1"/>
    <col min="22" max="22" width="6.26953125" customWidth="1"/>
    <col min="24" max="24" width="6.26953125" customWidth="1"/>
    <col min="26" max="26" width="6.26953125" customWidth="1"/>
    <col min="28" max="28" width="6.26953125" customWidth="1"/>
    <col min="30" max="30" width="6.26953125" customWidth="1"/>
    <col min="32" max="32" width="6.26953125" customWidth="1"/>
    <col min="34" max="34" width="6.26953125" customWidth="1"/>
    <col min="36" max="36" width="6.26953125" customWidth="1"/>
    <col min="38" max="38" width="6.26953125" customWidth="1"/>
    <col min="40" max="40" width="6.26953125" customWidth="1"/>
    <col min="42" max="42" width="6.26953125" customWidth="1"/>
    <col min="44" max="44" width="6.26953125" customWidth="1"/>
    <col min="46" max="46" width="6.26953125" customWidth="1"/>
  </cols>
  <sheetData>
    <row r="1" spans="1:16" ht="15.5" x14ac:dyDescent="0.35">
      <c r="A1" s="210" t="s">
        <v>28</v>
      </c>
      <c r="B1" s="211"/>
      <c r="C1" s="212"/>
      <c r="E1" s="208" t="s">
        <v>85</v>
      </c>
      <c r="F1" s="209"/>
      <c r="G1" s="209"/>
      <c r="H1" s="209"/>
      <c r="I1" s="209"/>
      <c r="J1" s="209"/>
      <c r="K1" s="209"/>
      <c r="L1" s="209"/>
    </row>
    <row r="2" spans="1:16" ht="13.5" customHeight="1" thickBot="1" x14ac:dyDescent="0.35">
      <c r="A2" s="213" t="s">
        <v>38</v>
      </c>
      <c r="B2" s="214"/>
      <c r="C2" s="215"/>
      <c r="E2" s="208"/>
      <c r="F2" s="209"/>
      <c r="G2" s="209"/>
      <c r="H2" s="209"/>
      <c r="I2" s="209"/>
      <c r="J2" s="209"/>
      <c r="K2" s="209"/>
      <c r="L2" s="209"/>
    </row>
    <row r="3" spans="1:16" ht="13" thickBot="1" x14ac:dyDescent="0.3">
      <c r="A3" s="9"/>
      <c r="B3" s="10"/>
      <c r="C3" s="11"/>
      <c r="E3" s="36"/>
      <c r="F3" s="37"/>
      <c r="G3" s="223" t="s">
        <v>92</v>
      </c>
      <c r="H3" s="224"/>
      <c r="I3" s="225"/>
      <c r="J3" s="205" t="s">
        <v>91</v>
      </c>
      <c r="K3" s="206"/>
      <c r="L3" s="207"/>
      <c r="M3" s="74"/>
      <c r="N3" s="75"/>
      <c r="O3" s="5"/>
      <c r="P3" s="2"/>
    </row>
    <row r="4" spans="1:16" ht="13" x14ac:dyDescent="0.3">
      <c r="A4" s="12" t="s">
        <v>21</v>
      </c>
      <c r="B4" s="13" t="s">
        <v>22</v>
      </c>
      <c r="C4" s="14" t="s">
        <v>20</v>
      </c>
      <c r="E4" s="80" t="s">
        <v>29</v>
      </c>
      <c r="F4" s="88" t="s">
        <v>22</v>
      </c>
      <c r="G4" s="91" t="s">
        <v>86</v>
      </c>
      <c r="H4" s="81" t="s">
        <v>93</v>
      </c>
      <c r="I4" s="92" t="s">
        <v>94</v>
      </c>
      <c r="J4" s="91" t="s">
        <v>86</v>
      </c>
      <c r="K4" s="81" t="s">
        <v>93</v>
      </c>
      <c r="L4" s="92" t="s">
        <v>94</v>
      </c>
      <c r="M4" s="5"/>
      <c r="N4" s="5"/>
      <c r="O4" s="72"/>
      <c r="P4" s="2"/>
    </row>
    <row r="5" spans="1:16" ht="13" thickBot="1" x14ac:dyDescent="0.3">
      <c r="A5" s="15"/>
      <c r="B5" s="16" t="s">
        <v>24</v>
      </c>
      <c r="C5" s="17" t="s">
        <v>25</v>
      </c>
      <c r="E5" s="39" t="s">
        <v>32</v>
      </c>
      <c r="F5" s="90" t="s">
        <v>24</v>
      </c>
      <c r="G5" s="38"/>
      <c r="H5" s="39">
        <v>20</v>
      </c>
      <c r="I5" s="40"/>
      <c r="J5" s="38"/>
      <c r="K5" s="39">
        <f>H5</f>
        <v>20</v>
      </c>
      <c r="L5" s="40"/>
      <c r="M5" s="67"/>
      <c r="N5" s="67"/>
      <c r="O5" s="5"/>
      <c r="P5" s="2"/>
    </row>
    <row r="6" spans="1:16" x14ac:dyDescent="0.25">
      <c r="A6" s="12" t="s">
        <v>222</v>
      </c>
      <c r="B6" s="13">
        <v>1</v>
      </c>
      <c r="C6" s="14">
        <v>0.15</v>
      </c>
      <c r="E6" s="85">
        <v>-20</v>
      </c>
      <c r="F6" s="69">
        <v>1</v>
      </c>
      <c r="G6" s="69"/>
      <c r="H6" s="69"/>
      <c r="I6" s="89">
        <v>1.3765000000000001</v>
      </c>
      <c r="J6" s="69"/>
      <c r="K6" s="69"/>
      <c r="L6" s="93">
        <v>1.173E-5</v>
      </c>
      <c r="M6" s="5"/>
      <c r="N6" s="5"/>
      <c r="O6" s="5"/>
      <c r="P6" s="2"/>
    </row>
    <row r="7" spans="1:16" x14ac:dyDescent="0.25">
      <c r="A7" s="18" t="s">
        <v>26</v>
      </c>
      <c r="B7" s="19">
        <v>2</v>
      </c>
      <c r="C7" s="20">
        <v>0.15</v>
      </c>
      <c r="E7" s="81">
        <v>0</v>
      </c>
      <c r="F7" s="82">
        <v>2</v>
      </c>
      <c r="G7" s="82">
        <v>999.8</v>
      </c>
      <c r="H7" s="84">
        <f>(996.5+152.3*10^-2*$H$5-96.6*10^-4*$H$5^2)+(-1.7-146.1*10^-2*$H$5+76.7*10^-4*$H$5^2)*10^-2*E7+(-38.4+62.1*10^-2*$H$5-30.8*10^-4*$H$5^2)*10^-4*E7^2</f>
        <v>1023.096</v>
      </c>
      <c r="I7" s="86">
        <v>1.2754000000000001</v>
      </c>
      <c r="J7" s="83">
        <v>1.751E-6</v>
      </c>
      <c r="K7" s="87">
        <f>(1.293*EXP(4.388*10^-2*$K$5))*10^-6*EXP((-1.709-1.921*10^-2*$K$5-0.6*10^-4*$K$5^2)*10^-2*E7)</f>
        <v>3.1098207870553244E-6</v>
      </c>
      <c r="L7" s="87">
        <v>1.341E-5</v>
      </c>
      <c r="M7" s="5"/>
      <c r="N7" s="68"/>
      <c r="O7" s="5"/>
      <c r="P7" s="2"/>
    </row>
    <row r="8" spans="1:16" x14ac:dyDescent="0.25">
      <c r="A8" s="18" t="s">
        <v>146</v>
      </c>
      <c r="B8" s="19">
        <v>3</v>
      </c>
      <c r="C8" s="20">
        <v>1.3</v>
      </c>
      <c r="E8" s="81">
        <v>10</v>
      </c>
      <c r="F8" s="82">
        <v>3</v>
      </c>
      <c r="G8" s="84">
        <v>999.7</v>
      </c>
      <c r="H8" s="84">
        <f t="shared" ref="H8:H26" si="0">(996.5+152.3*10^-2*$H$5-96.6*10^-4*$H$5^2)+(-1.7-146.1*10^-2*$H$5+76.7*10^-4*$H$5^2)*10^-2*E8+(-38.4+62.1*10^-2*$H$5-30.8*10^-4*$H$5^2)*10^-4*E8^2</f>
        <v>1020.03868</v>
      </c>
      <c r="I8" s="86">
        <v>1.2317499999999999</v>
      </c>
      <c r="J8" s="83">
        <v>1.3E-6</v>
      </c>
      <c r="K8" s="87">
        <f t="shared" ref="K8:K26" si="1">(1.293*EXP(4.388*10^-2*$K$5))*10^-6*EXP((-1.709-1.921*10^-2*$K$5-0.6*10^-4*$K$5^2)*10^-2*E8)</f>
        <v>2.5164397369773472E-6</v>
      </c>
      <c r="L8" s="87">
        <v>1.4270000000000001E-5</v>
      </c>
      <c r="M8" s="57"/>
      <c r="N8" s="68"/>
      <c r="O8" s="67"/>
      <c r="P8" s="2"/>
    </row>
    <row r="9" spans="1:16" x14ac:dyDescent="0.25">
      <c r="A9" s="18" t="s">
        <v>63</v>
      </c>
      <c r="B9" s="19">
        <v>4</v>
      </c>
      <c r="C9" s="20">
        <v>0.15</v>
      </c>
      <c r="E9" s="81">
        <v>15</v>
      </c>
      <c r="F9" s="82">
        <v>4</v>
      </c>
      <c r="G9" s="84">
        <v>999.2</v>
      </c>
      <c r="H9" s="84">
        <f t="shared" si="0"/>
        <v>1018.30593</v>
      </c>
      <c r="I9" s="86">
        <v>1.2099249999999999</v>
      </c>
      <c r="J9" s="83">
        <v>1.1370000000000001E-6</v>
      </c>
      <c r="K9" s="87">
        <f t="shared" si="1"/>
        <v>2.263664815726443E-6</v>
      </c>
      <c r="L9" s="87">
        <v>1.47E-5</v>
      </c>
      <c r="M9" s="5"/>
      <c r="N9" s="68"/>
      <c r="O9" s="5"/>
      <c r="P9" s="2"/>
    </row>
    <row r="10" spans="1:16" x14ac:dyDescent="0.25">
      <c r="A10" s="18" t="s">
        <v>27</v>
      </c>
      <c r="B10" s="19">
        <v>5</v>
      </c>
      <c r="C10" s="20">
        <v>2.5000000000000001E-2</v>
      </c>
      <c r="E10" s="81">
        <v>20</v>
      </c>
      <c r="F10" s="82">
        <v>5</v>
      </c>
      <c r="G10" s="84">
        <v>998.2</v>
      </c>
      <c r="H10" s="84">
        <f t="shared" si="0"/>
        <v>1016.43712</v>
      </c>
      <c r="I10" s="86">
        <v>1.1880999999999999</v>
      </c>
      <c r="J10" s="83">
        <v>1.003E-6</v>
      </c>
      <c r="K10" s="87">
        <f t="shared" si="1"/>
        <v>2.0362809896305333E-6</v>
      </c>
      <c r="L10" s="87">
        <v>1.5130000000000001E-5</v>
      </c>
      <c r="M10" s="57"/>
      <c r="N10" s="68"/>
      <c r="O10" s="5"/>
      <c r="P10" s="2"/>
    </row>
    <row r="11" spans="1:16" x14ac:dyDescent="0.25">
      <c r="A11" s="18" t="s">
        <v>64</v>
      </c>
      <c r="B11" s="19">
        <v>6</v>
      </c>
      <c r="C11" s="20">
        <v>1.5E-3</v>
      </c>
      <c r="E11" s="81">
        <v>25</v>
      </c>
      <c r="F11" s="82">
        <v>6</v>
      </c>
      <c r="G11" s="84">
        <v>997.1</v>
      </c>
      <c r="H11" s="84">
        <f t="shared" si="0"/>
        <v>1014.4322500000001</v>
      </c>
      <c r="I11" s="86">
        <v>1.1690750000000001</v>
      </c>
      <c r="J11" s="83">
        <v>8.9299999999999996E-7</v>
      </c>
      <c r="K11" s="87">
        <f t="shared" si="1"/>
        <v>1.8317377378152387E-6</v>
      </c>
      <c r="L11" s="87">
        <v>1.5577500000000001E-5</v>
      </c>
      <c r="M11" s="5"/>
      <c r="N11" s="68"/>
      <c r="O11" s="5"/>
      <c r="P11" s="2"/>
    </row>
    <row r="12" spans="1:16" x14ac:dyDescent="0.25">
      <c r="A12" s="18" t="s">
        <v>223</v>
      </c>
      <c r="B12" s="19">
        <v>7</v>
      </c>
      <c r="C12" s="20">
        <v>0.15</v>
      </c>
      <c r="E12" s="81">
        <v>30</v>
      </c>
      <c r="F12" s="82">
        <v>7</v>
      </c>
      <c r="G12" s="84">
        <v>995.7</v>
      </c>
      <c r="H12" s="84">
        <f t="shared" si="0"/>
        <v>1012.29132</v>
      </c>
      <c r="I12" s="86">
        <v>1.15005</v>
      </c>
      <c r="J12" s="83">
        <v>8.0100000000000004E-7</v>
      </c>
      <c r="K12" s="87">
        <f t="shared" si="1"/>
        <v>1.6477407377580409E-6</v>
      </c>
      <c r="L12" s="87">
        <v>1.6025E-5</v>
      </c>
      <c r="M12" s="57"/>
      <c r="N12" s="68"/>
      <c r="O12" s="5"/>
      <c r="P12" s="2"/>
    </row>
    <row r="13" spans="1:16" x14ac:dyDescent="0.25">
      <c r="A13" s="18" t="s">
        <v>224</v>
      </c>
      <c r="B13" s="19">
        <v>8</v>
      </c>
      <c r="C13" s="20">
        <v>1.5E-3</v>
      </c>
      <c r="E13" s="81">
        <v>35</v>
      </c>
      <c r="F13" s="82">
        <v>8</v>
      </c>
      <c r="G13" s="84">
        <v>994</v>
      </c>
      <c r="H13" s="84">
        <f t="shared" si="0"/>
        <v>1010.01433</v>
      </c>
      <c r="I13" s="86">
        <v>1.1310249999999999</v>
      </c>
      <c r="J13" s="83">
        <v>7.23E-7</v>
      </c>
      <c r="K13" s="87">
        <f t="shared" si="1"/>
        <v>1.4822261303114948E-6</v>
      </c>
      <c r="L13" s="87">
        <v>1.6472499999999999E-5</v>
      </c>
      <c r="M13" s="5"/>
      <c r="N13" s="68"/>
      <c r="O13" s="5"/>
      <c r="P13" s="2"/>
    </row>
    <row r="14" spans="1:16" x14ac:dyDescent="0.25">
      <c r="A14" s="18" t="s">
        <v>118</v>
      </c>
      <c r="B14" s="19">
        <v>9</v>
      </c>
      <c r="C14" s="94">
        <v>1</v>
      </c>
      <c r="E14" s="81">
        <v>40</v>
      </c>
      <c r="F14" s="82">
        <v>9</v>
      </c>
      <c r="G14" s="84">
        <v>992.2</v>
      </c>
      <c r="H14" s="84">
        <f t="shared" si="0"/>
        <v>1007.60128</v>
      </c>
      <c r="I14" s="86">
        <v>1.1120000000000001</v>
      </c>
      <c r="J14" s="83">
        <v>6.5700000000000002E-7</v>
      </c>
      <c r="K14" s="87">
        <f t="shared" si="1"/>
        <v>1.3333373697900293E-6</v>
      </c>
      <c r="L14" s="87">
        <v>1.6920000000000001E-5</v>
      </c>
      <c r="M14" s="57"/>
      <c r="N14" s="68"/>
      <c r="O14" s="5"/>
      <c r="P14" s="2"/>
    </row>
    <row r="15" spans="1:16" x14ac:dyDescent="0.25">
      <c r="A15" s="18" t="s">
        <v>196</v>
      </c>
      <c r="B15" s="19">
        <v>10</v>
      </c>
      <c r="C15" s="20">
        <v>0.05</v>
      </c>
      <c r="E15" s="81">
        <v>45</v>
      </c>
      <c r="F15" s="82">
        <v>10</v>
      </c>
      <c r="G15" s="84">
        <v>990.2</v>
      </c>
      <c r="H15" s="84">
        <f t="shared" si="0"/>
        <v>1005.0521699999999</v>
      </c>
      <c r="I15" s="86">
        <v>1.0952999999999999</v>
      </c>
      <c r="J15" s="83">
        <v>5.9999999999999997E-7</v>
      </c>
      <c r="K15" s="87">
        <f t="shared" si="1"/>
        <v>1.1994043994521838E-6</v>
      </c>
      <c r="L15" s="87">
        <v>1.7410000000000001E-5</v>
      </c>
      <c r="M15" s="5"/>
      <c r="N15" s="68"/>
      <c r="O15" s="5"/>
      <c r="P15" s="2"/>
    </row>
    <row r="16" spans="1:16" x14ac:dyDescent="0.25">
      <c r="A16" s="18" t="s">
        <v>195</v>
      </c>
      <c r="B16" s="19">
        <v>11</v>
      </c>
      <c r="C16" s="20">
        <v>0.03</v>
      </c>
      <c r="E16" s="81">
        <v>50</v>
      </c>
      <c r="F16" s="82">
        <v>11</v>
      </c>
      <c r="G16" s="84">
        <v>988</v>
      </c>
      <c r="H16" s="84">
        <f t="shared" si="0"/>
        <v>1002.367</v>
      </c>
      <c r="I16" s="86">
        <v>1.0786</v>
      </c>
      <c r="J16" s="83">
        <v>5.51E-7</v>
      </c>
      <c r="K16" s="87">
        <f t="shared" si="1"/>
        <v>1.0789249187936558E-6</v>
      </c>
      <c r="L16" s="87">
        <v>1.7900000000000001E-5</v>
      </c>
      <c r="M16" s="57"/>
      <c r="N16" s="68"/>
      <c r="O16" s="5"/>
      <c r="P16" s="2"/>
    </row>
    <row r="17" spans="1:16" x14ac:dyDescent="0.25">
      <c r="A17" s="18" t="s">
        <v>119</v>
      </c>
      <c r="B17" s="19">
        <v>12</v>
      </c>
      <c r="C17" s="20">
        <v>0.01</v>
      </c>
      <c r="E17" s="81">
        <v>55</v>
      </c>
      <c r="F17" s="82">
        <v>12</v>
      </c>
      <c r="G17" s="84">
        <v>985.7</v>
      </c>
      <c r="H17" s="84">
        <f t="shared" si="0"/>
        <v>999.54577000000006</v>
      </c>
      <c r="I17" s="86">
        <v>1.0619000000000001</v>
      </c>
      <c r="J17" s="83">
        <v>5.0800000000000005E-7</v>
      </c>
      <c r="K17" s="87">
        <f t="shared" si="1"/>
        <v>9.7054753252996089E-7</v>
      </c>
      <c r="L17" s="87">
        <v>1.8389999999999998E-5</v>
      </c>
      <c r="M17" s="5"/>
      <c r="N17" s="68"/>
      <c r="O17" s="5"/>
      <c r="P17" s="2"/>
    </row>
    <row r="18" spans="1:16" x14ac:dyDescent="0.25">
      <c r="A18" s="18" t="s">
        <v>120</v>
      </c>
      <c r="B18" s="19">
        <v>13</v>
      </c>
      <c r="C18" s="20">
        <v>0.01</v>
      </c>
      <c r="E18" s="81">
        <v>60</v>
      </c>
      <c r="F18" s="82">
        <v>13</v>
      </c>
      <c r="G18" s="84">
        <v>983.2</v>
      </c>
      <c r="H18" s="84">
        <f t="shared" si="0"/>
        <v>996.58848</v>
      </c>
      <c r="I18" s="86">
        <v>1.0451999999999999</v>
      </c>
      <c r="J18" s="83">
        <v>4.7100000000000002E-7</v>
      </c>
      <c r="K18" s="87">
        <f t="shared" si="1"/>
        <v>8.7305659225407699E-7</v>
      </c>
      <c r="L18" s="87">
        <v>1.8879999999999999E-5</v>
      </c>
      <c r="M18" s="57"/>
      <c r="N18" s="68"/>
      <c r="O18" s="5"/>
      <c r="P18" s="2"/>
    </row>
    <row r="19" spans="1:16" x14ac:dyDescent="0.25">
      <c r="A19" s="18" t="s">
        <v>121</v>
      </c>
      <c r="B19" s="19">
        <v>14</v>
      </c>
      <c r="C19" s="20">
        <v>0.01</v>
      </c>
      <c r="E19" s="81">
        <v>65</v>
      </c>
      <c r="F19" s="82">
        <v>14</v>
      </c>
      <c r="G19" s="84">
        <v>980.5</v>
      </c>
      <c r="H19" s="84">
        <f t="shared" si="0"/>
        <v>993.49513000000002</v>
      </c>
      <c r="I19" s="86">
        <v>1.030375</v>
      </c>
      <c r="J19" s="83">
        <v>4.3799999999999998E-7</v>
      </c>
      <c r="K19" s="87">
        <f t="shared" si="1"/>
        <v>7.8535856074083762E-7</v>
      </c>
      <c r="L19" s="87">
        <v>1.9415E-5</v>
      </c>
      <c r="M19" s="5"/>
      <c r="N19" s="68"/>
      <c r="O19" s="5"/>
      <c r="P19" s="2"/>
    </row>
    <row r="20" spans="1:16" x14ac:dyDescent="0.25">
      <c r="A20" s="18" t="s">
        <v>239</v>
      </c>
      <c r="B20" s="19">
        <v>15</v>
      </c>
      <c r="C20" s="20">
        <v>0.01</v>
      </c>
      <c r="E20" s="81">
        <v>70</v>
      </c>
      <c r="F20" s="82">
        <v>15</v>
      </c>
      <c r="G20" s="84">
        <v>977.7</v>
      </c>
      <c r="H20" s="84">
        <f t="shared" si="0"/>
        <v>990.26571999999999</v>
      </c>
      <c r="I20" s="86">
        <v>1.01555</v>
      </c>
      <c r="J20" s="83">
        <v>4.0999999999999999E-7</v>
      </c>
      <c r="K20" s="87">
        <f t="shared" si="1"/>
        <v>7.0646974594909457E-7</v>
      </c>
      <c r="L20" s="87">
        <v>1.995E-5</v>
      </c>
      <c r="M20" s="57"/>
      <c r="N20" s="68"/>
      <c r="O20" s="5"/>
      <c r="P20" s="2"/>
    </row>
    <row r="21" spans="1:16" x14ac:dyDescent="0.25">
      <c r="A21" s="18" t="s">
        <v>240</v>
      </c>
      <c r="B21" s="19">
        <v>16</v>
      </c>
      <c r="C21" s="20">
        <v>0.01</v>
      </c>
      <c r="E21" s="81">
        <v>75</v>
      </c>
      <c r="F21" s="82">
        <v>16</v>
      </c>
      <c r="G21" s="84">
        <v>974.8</v>
      </c>
      <c r="H21" s="84">
        <f t="shared" si="0"/>
        <v>986.90025000000003</v>
      </c>
      <c r="I21" s="86">
        <v>1.0007250000000001</v>
      </c>
      <c r="J21" s="83">
        <v>3.84E-7</v>
      </c>
      <c r="K21" s="87">
        <f t="shared" si="1"/>
        <v>6.3550526713628987E-7</v>
      </c>
      <c r="L21" s="87">
        <v>2.0485000000000001E-5</v>
      </c>
      <c r="M21" s="5"/>
      <c r="N21" s="68"/>
      <c r="O21" s="5"/>
      <c r="P21" s="2"/>
    </row>
    <row r="22" spans="1:16" x14ac:dyDescent="0.25">
      <c r="A22" s="18" t="s">
        <v>122</v>
      </c>
      <c r="B22" s="19">
        <v>17</v>
      </c>
      <c r="C22" s="20">
        <v>0.01</v>
      </c>
      <c r="E22" s="81">
        <v>80</v>
      </c>
      <c r="F22" s="82">
        <v>17</v>
      </c>
      <c r="G22" s="84">
        <v>971.6</v>
      </c>
      <c r="H22" s="84">
        <f t="shared" si="0"/>
        <v>983.39872000000003</v>
      </c>
      <c r="I22" s="86">
        <v>0.9859</v>
      </c>
      <c r="J22" s="83">
        <v>3.6100000000000002E-7</v>
      </c>
      <c r="K22" s="87">
        <f t="shared" si="1"/>
        <v>5.7166912932046253E-7</v>
      </c>
      <c r="L22" s="87">
        <v>2.1019999999999999E-5</v>
      </c>
      <c r="M22" s="57"/>
      <c r="N22" s="68"/>
      <c r="O22" s="5"/>
      <c r="P22" s="2"/>
    </row>
    <row r="23" spans="1:16" x14ac:dyDescent="0.25">
      <c r="A23" s="18" t="s">
        <v>34</v>
      </c>
      <c r="B23" s="19">
        <v>18</v>
      </c>
      <c r="C23" s="20">
        <v>0.05</v>
      </c>
      <c r="E23" s="81">
        <v>85</v>
      </c>
      <c r="F23" s="82">
        <v>18</v>
      </c>
      <c r="G23" s="84">
        <v>968.4</v>
      </c>
      <c r="H23" s="84">
        <f t="shared" si="0"/>
        <v>979.76112999999998</v>
      </c>
      <c r="I23" s="86">
        <v>0.97265000000000001</v>
      </c>
      <c r="J23" s="83">
        <v>3.41E-7</v>
      </c>
      <c r="K23" s="87">
        <f t="shared" si="1"/>
        <v>5.1424529475682422E-7</v>
      </c>
      <c r="L23" s="87">
        <v>2.1552500000000001E-5</v>
      </c>
      <c r="M23" s="5"/>
      <c r="N23" s="68"/>
      <c r="O23" s="5"/>
      <c r="P23" s="2"/>
    </row>
    <row r="24" spans="1:16" x14ac:dyDescent="0.25">
      <c r="A24" s="18" t="s">
        <v>35</v>
      </c>
      <c r="B24" s="19">
        <v>19</v>
      </c>
      <c r="C24" s="20">
        <v>0.2</v>
      </c>
      <c r="E24" s="81">
        <v>90</v>
      </c>
      <c r="F24" s="82">
        <v>19</v>
      </c>
      <c r="G24" s="84">
        <v>965.2</v>
      </c>
      <c r="H24" s="84">
        <f t="shared" si="0"/>
        <v>975.98748000000001</v>
      </c>
      <c r="I24" s="86">
        <v>0.95940000000000003</v>
      </c>
      <c r="J24" s="83">
        <v>3.2300000000000002E-7</v>
      </c>
      <c r="K24" s="87">
        <f t="shared" si="1"/>
        <v>4.6258965127936843E-7</v>
      </c>
      <c r="L24" s="87">
        <v>2.2084999999999999E-5</v>
      </c>
      <c r="M24" s="57"/>
      <c r="N24" s="68"/>
      <c r="O24" s="5"/>
      <c r="P24" s="2"/>
    </row>
    <row r="25" spans="1:16" x14ac:dyDescent="0.25">
      <c r="A25" s="18" t="s">
        <v>36</v>
      </c>
      <c r="B25" s="19">
        <v>20</v>
      </c>
      <c r="C25" s="20">
        <v>1</v>
      </c>
      <c r="E25" s="81">
        <v>95</v>
      </c>
      <c r="F25" s="82">
        <v>20</v>
      </c>
      <c r="G25" s="84">
        <v>961.6</v>
      </c>
      <c r="H25" s="84">
        <f t="shared" si="0"/>
        <v>972.0777700000001</v>
      </c>
      <c r="I25" s="86">
        <v>0.94615000000000005</v>
      </c>
      <c r="J25" s="83">
        <v>3.0600000000000001E-7</v>
      </c>
      <c r="K25" s="87">
        <f t="shared" si="1"/>
        <v>4.161227874179359E-7</v>
      </c>
      <c r="L25" s="87">
        <v>2.2617500000000002E-5</v>
      </c>
      <c r="M25" s="5"/>
      <c r="N25" s="68"/>
      <c r="O25" s="5"/>
      <c r="P25" s="2"/>
    </row>
    <row r="26" spans="1:16" x14ac:dyDescent="0.25">
      <c r="C26" t="s">
        <v>23</v>
      </c>
      <c r="E26" s="81">
        <v>100</v>
      </c>
      <c r="F26" s="82">
        <v>21</v>
      </c>
      <c r="G26" s="82">
        <v>958.1</v>
      </c>
      <c r="H26" s="84">
        <f t="shared" si="0"/>
        <v>968.03200000000004</v>
      </c>
      <c r="I26" s="86">
        <v>0.93289999999999995</v>
      </c>
      <c r="J26" s="82">
        <v>2.91E-7</v>
      </c>
      <c r="K26" s="87">
        <f t="shared" si="1"/>
        <v>3.743234932506056E-7</v>
      </c>
      <c r="L26" s="87">
        <v>2.315E-5</v>
      </c>
      <c r="M26" s="5"/>
      <c r="N26" s="5"/>
      <c r="O26" s="73"/>
      <c r="P26" s="2"/>
    </row>
    <row r="27" spans="1:16" x14ac:dyDescent="0.25">
      <c r="E27" s="81">
        <v>120</v>
      </c>
      <c r="F27" s="82">
        <v>22</v>
      </c>
      <c r="G27" s="82" t="s">
        <v>23</v>
      </c>
      <c r="H27" s="82"/>
      <c r="I27" s="86">
        <v>0.88539999999999996</v>
      </c>
      <c r="J27" s="82"/>
      <c r="K27" s="87"/>
      <c r="L27" s="87">
        <v>2.533E-5</v>
      </c>
      <c r="M27" s="5"/>
      <c r="N27" s="5"/>
      <c r="O27" s="5"/>
      <c r="P27" s="2"/>
    </row>
    <row r="28" spans="1:16" ht="13" thickBot="1" x14ac:dyDescent="0.3">
      <c r="E28" s="81">
        <v>140</v>
      </c>
      <c r="F28" s="82">
        <v>23</v>
      </c>
      <c r="G28" s="82"/>
      <c r="H28" s="82"/>
      <c r="I28" s="86">
        <v>0.84250000000000003</v>
      </c>
      <c r="J28" s="82"/>
      <c r="K28" s="87"/>
      <c r="L28" s="87">
        <v>2.7529999999999999E-5</v>
      </c>
      <c r="M28" s="5"/>
      <c r="N28" s="5"/>
      <c r="O28" s="5"/>
      <c r="P28" s="2"/>
    </row>
    <row r="29" spans="1:16" x14ac:dyDescent="0.25">
      <c r="A29" s="6" t="s">
        <v>56</v>
      </c>
      <c r="E29" s="81">
        <v>160</v>
      </c>
      <c r="F29" s="82">
        <v>24</v>
      </c>
      <c r="G29" s="82"/>
      <c r="H29" s="82"/>
      <c r="I29" s="86">
        <v>0.80359999999999998</v>
      </c>
      <c r="J29" s="82"/>
      <c r="K29" s="87"/>
      <c r="L29" s="87">
        <v>2.9879999999999999E-5</v>
      </c>
      <c r="M29" s="5"/>
      <c r="N29" s="5"/>
      <c r="O29" s="5"/>
    </row>
    <row r="30" spans="1:16" ht="13" thickBot="1" x14ac:dyDescent="0.3">
      <c r="A30" s="7">
        <v>3</v>
      </c>
      <c r="E30" s="81">
        <v>180</v>
      </c>
      <c r="F30" s="82">
        <v>25</v>
      </c>
      <c r="G30" s="82"/>
      <c r="H30" s="82"/>
      <c r="I30" s="86">
        <v>0.7681</v>
      </c>
      <c r="J30" s="82"/>
      <c r="K30" s="87"/>
      <c r="L30" s="87">
        <v>3.243E-5</v>
      </c>
      <c r="M30" s="5"/>
      <c r="N30" s="5"/>
      <c r="O30" s="5"/>
    </row>
    <row r="31" spans="1:16" ht="13" thickBot="1" x14ac:dyDescent="0.3">
      <c r="E31" s="81">
        <v>200</v>
      </c>
      <c r="F31" s="82">
        <v>26</v>
      </c>
      <c r="G31" s="82"/>
      <c r="H31" s="82"/>
      <c r="I31" s="86">
        <v>0.73560000000000003</v>
      </c>
      <c r="J31" s="82"/>
      <c r="K31" s="87"/>
      <c r="L31" s="87">
        <v>3.4940000000000001E-5</v>
      </c>
      <c r="M31" s="5"/>
      <c r="N31" s="5"/>
      <c r="O31" s="5"/>
    </row>
    <row r="32" spans="1:16" x14ac:dyDescent="0.25">
      <c r="A32" s="6" t="s">
        <v>55</v>
      </c>
      <c r="E32" s="81">
        <v>220</v>
      </c>
      <c r="F32" s="82">
        <v>27</v>
      </c>
      <c r="G32" s="82"/>
      <c r="H32" s="82"/>
      <c r="I32" s="86">
        <v>0.70750000000000002</v>
      </c>
      <c r="J32" s="82"/>
      <c r="K32" s="87"/>
      <c r="L32" s="87">
        <v>3.6188E-5</v>
      </c>
      <c r="M32" s="5"/>
      <c r="N32" s="5"/>
      <c r="O32" s="5"/>
    </row>
    <row r="33" spans="1:15" ht="13" thickBot="1" x14ac:dyDescent="0.3">
      <c r="A33" s="7">
        <v>1</v>
      </c>
      <c r="E33" s="81">
        <v>240</v>
      </c>
      <c r="F33" s="82">
        <v>28</v>
      </c>
      <c r="G33" s="82"/>
      <c r="H33" s="82"/>
      <c r="I33" s="86">
        <v>0.6794</v>
      </c>
      <c r="J33" s="82"/>
      <c r="K33" s="87"/>
      <c r="L33" s="87">
        <v>3.8683999999999998E-5</v>
      </c>
      <c r="M33" s="5"/>
      <c r="N33" s="5"/>
      <c r="O33" s="5"/>
    </row>
    <row r="34" spans="1:15" ht="13" thickBot="1" x14ac:dyDescent="0.3">
      <c r="E34" s="81">
        <v>260</v>
      </c>
      <c r="F34" s="82">
        <v>29</v>
      </c>
      <c r="G34" s="82"/>
      <c r="H34" s="82"/>
      <c r="I34" s="86">
        <v>0.6421</v>
      </c>
      <c r="J34" s="82"/>
      <c r="K34" s="87"/>
      <c r="L34" s="87">
        <v>4.2561999999999997E-5</v>
      </c>
      <c r="M34" s="5"/>
      <c r="N34" s="5"/>
      <c r="O34" s="5"/>
    </row>
    <row r="35" spans="1:15" x14ac:dyDescent="0.25">
      <c r="A35" s="6" t="s">
        <v>54</v>
      </c>
      <c r="E35" s="81">
        <v>280</v>
      </c>
      <c r="F35" s="82">
        <v>30</v>
      </c>
      <c r="G35" s="82"/>
      <c r="H35" s="82"/>
      <c r="I35" s="86">
        <v>0.61880000000000002</v>
      </c>
      <c r="J35" s="82"/>
      <c r="K35" s="87"/>
      <c r="L35" s="87">
        <v>4.5325999999999999E-5</v>
      </c>
      <c r="M35" s="5"/>
      <c r="N35" s="5"/>
      <c r="O35" s="5"/>
    </row>
    <row r="36" spans="1:15" ht="13" thickBot="1" x14ac:dyDescent="0.3">
      <c r="A36" s="7">
        <v>5</v>
      </c>
      <c r="E36" s="81">
        <v>300</v>
      </c>
      <c r="F36" s="82">
        <v>31</v>
      </c>
      <c r="G36" s="82"/>
      <c r="H36" s="82"/>
      <c r="I36" s="86">
        <v>0.60719999999999996</v>
      </c>
      <c r="J36" s="82"/>
      <c r="K36" s="87"/>
      <c r="L36" s="87">
        <v>4.8090000000000002E-5</v>
      </c>
      <c r="M36" s="5"/>
      <c r="N36" s="5"/>
      <c r="O36" s="5"/>
    </row>
    <row r="37" spans="1:15" ht="13" thickBot="1" x14ac:dyDescent="0.3">
      <c r="I37" s="2"/>
      <c r="J37" s="5"/>
      <c r="K37" s="5"/>
      <c r="L37" s="5"/>
      <c r="M37" s="5"/>
    </row>
    <row r="38" spans="1:15" ht="13" thickBot="1" x14ac:dyDescent="0.3">
      <c r="A38" s="6" t="s">
        <v>49</v>
      </c>
      <c r="J38" s="5"/>
      <c r="K38" s="5"/>
      <c r="L38" s="5"/>
      <c r="M38" s="5"/>
    </row>
    <row r="39" spans="1:15" ht="16" thickBot="1" x14ac:dyDescent="0.4">
      <c r="A39" s="7">
        <f>VLOOKUP(A36,Stoffælles,1+A30)</f>
        <v>1.1880999999999999</v>
      </c>
      <c r="E39" s="220" t="s">
        <v>33</v>
      </c>
      <c r="F39" s="221"/>
      <c r="G39" s="222"/>
      <c r="J39" s="5"/>
      <c r="K39" s="5"/>
      <c r="L39" s="5"/>
      <c r="M39" s="5"/>
    </row>
    <row r="40" spans="1:15" ht="16" thickBot="1" x14ac:dyDescent="0.4">
      <c r="D40" s="5"/>
      <c r="E40" s="21"/>
      <c r="F40" s="22"/>
      <c r="G40" s="23"/>
      <c r="H40" s="78"/>
      <c r="I40" s="5"/>
      <c r="J40" s="5"/>
      <c r="K40" s="5"/>
      <c r="L40" s="5"/>
      <c r="M40" s="5"/>
    </row>
    <row r="41" spans="1:15" ht="13" x14ac:dyDescent="0.3">
      <c r="A41" s="6" t="s">
        <v>50</v>
      </c>
      <c r="D41" s="5"/>
      <c r="E41" s="24" t="s">
        <v>42</v>
      </c>
      <c r="F41" s="25" t="s">
        <v>22</v>
      </c>
      <c r="G41" s="26" t="s">
        <v>43</v>
      </c>
      <c r="H41" s="79"/>
      <c r="I41" s="5"/>
      <c r="J41" s="5"/>
      <c r="K41" s="5"/>
      <c r="L41" s="5"/>
      <c r="M41" s="5"/>
    </row>
    <row r="42" spans="1:15" ht="13" thickBot="1" x14ac:dyDescent="0.3">
      <c r="A42" s="7">
        <f>VLOOKUP(A36,Stoffælles,4+A30)</f>
        <v>1.5130000000000001E-5</v>
      </c>
      <c r="D42" s="5"/>
      <c r="E42" s="27"/>
      <c r="F42" s="28" t="s">
        <v>24</v>
      </c>
      <c r="G42" s="29" t="s">
        <v>24</v>
      </c>
      <c r="H42" s="5"/>
      <c r="I42" s="5"/>
      <c r="J42" s="5"/>
      <c r="K42" s="5"/>
      <c r="L42" s="5"/>
      <c r="M42" s="5"/>
    </row>
    <row r="43" spans="1:15" ht="13" thickBot="1" x14ac:dyDescent="0.3">
      <c r="D43" s="5"/>
      <c r="E43" s="27" t="s">
        <v>44</v>
      </c>
      <c r="F43" s="30">
        <v>1</v>
      </c>
      <c r="G43" s="31">
        <f>2.77777777777777E-07/(A39/1000)</f>
        <v>2.337999981295994E-4</v>
      </c>
      <c r="H43" s="67"/>
      <c r="I43" s="5"/>
      <c r="J43" s="5"/>
      <c r="K43" s="5"/>
      <c r="L43" s="5"/>
      <c r="M43" s="5"/>
    </row>
    <row r="44" spans="1:15" x14ac:dyDescent="0.25">
      <c r="A44" s="6" t="s">
        <v>52</v>
      </c>
      <c r="D44" s="5"/>
      <c r="E44" s="27" t="s">
        <v>45</v>
      </c>
      <c r="F44" s="30">
        <v>2</v>
      </c>
      <c r="G44" s="31">
        <v>1E-3</v>
      </c>
      <c r="H44" s="77"/>
      <c r="I44" s="5"/>
      <c r="J44" s="5"/>
      <c r="K44" s="5"/>
      <c r="L44" s="5"/>
      <c r="M44" s="5"/>
    </row>
    <row r="45" spans="1:15" ht="13" thickBot="1" x14ac:dyDescent="0.3">
      <c r="A45" s="7">
        <f>VLOOKUP(A33,Tabel1,2)</f>
        <v>0.15</v>
      </c>
      <c r="D45" s="5"/>
      <c r="E45" s="27" t="s">
        <v>46</v>
      </c>
      <c r="F45" s="30">
        <v>3</v>
      </c>
      <c r="G45" s="32">
        <v>2.7777777777777702E-7</v>
      </c>
      <c r="H45" s="77"/>
      <c r="I45" s="5"/>
      <c r="J45" s="5"/>
      <c r="K45" s="5"/>
      <c r="L45" s="5"/>
      <c r="M45" s="5"/>
    </row>
    <row r="46" spans="1:15" ht="13" thickBot="1" x14ac:dyDescent="0.3">
      <c r="D46" s="5"/>
      <c r="E46" s="27" t="s">
        <v>47</v>
      </c>
      <c r="F46" s="30">
        <v>4</v>
      </c>
      <c r="G46" s="31">
        <v>2.7777777777777702E-4</v>
      </c>
      <c r="H46" s="77"/>
      <c r="I46" s="5"/>
      <c r="J46" s="5"/>
      <c r="K46" s="5"/>
      <c r="L46" s="5"/>
      <c r="M46" s="5"/>
    </row>
    <row r="47" spans="1:15" ht="13" thickBot="1" x14ac:dyDescent="0.3">
      <c r="A47" s="6" t="s">
        <v>53</v>
      </c>
      <c r="D47" s="5"/>
      <c r="E47" s="33" t="s">
        <v>48</v>
      </c>
      <c r="F47" s="34">
        <v>5</v>
      </c>
      <c r="G47" s="35">
        <v>1</v>
      </c>
      <c r="H47" s="77"/>
      <c r="I47" s="5"/>
    </row>
    <row r="48" spans="1:15" ht="13" thickBot="1" x14ac:dyDescent="0.3">
      <c r="A48" s="7">
        <v>4</v>
      </c>
      <c r="D48" s="5"/>
      <c r="E48" s="5"/>
      <c r="F48" s="5"/>
      <c r="G48" s="76"/>
      <c r="H48" s="77"/>
      <c r="I48" s="5"/>
    </row>
    <row r="49" spans="1:46" ht="13" thickBot="1" x14ac:dyDescent="0.3">
      <c r="D49" s="5"/>
      <c r="E49" s="5"/>
      <c r="F49" s="5"/>
      <c r="G49" s="76"/>
      <c r="H49" s="77"/>
      <c r="I49" s="5"/>
    </row>
    <row r="50" spans="1:46" ht="15.5" x14ac:dyDescent="0.35">
      <c r="A50" s="6" t="s">
        <v>58</v>
      </c>
      <c r="D50" s="5"/>
      <c r="E50" s="216" t="s">
        <v>51</v>
      </c>
      <c r="F50" s="217"/>
      <c r="G50" s="217"/>
      <c r="H50" s="116"/>
      <c r="I50" s="117"/>
      <c r="J50" s="117"/>
      <c r="K50" s="117"/>
      <c r="L50" s="117"/>
      <c r="M50" s="117"/>
      <c r="N50" s="117"/>
      <c r="O50" s="117"/>
      <c r="P50" s="117"/>
      <c r="Q50" s="117"/>
      <c r="R50" s="117"/>
      <c r="S50" s="117"/>
      <c r="T50" s="117"/>
      <c r="U50" s="117"/>
      <c r="V50" s="117"/>
      <c r="W50" s="117"/>
      <c r="X50" s="117"/>
      <c r="Y50" s="117"/>
      <c r="Z50" s="117"/>
      <c r="AA50" s="117"/>
      <c r="AB50" s="117"/>
      <c r="AC50" s="117"/>
      <c r="AD50" s="117"/>
      <c r="AE50" s="117"/>
      <c r="AF50" s="117"/>
      <c r="AG50" s="117"/>
      <c r="AH50" s="117"/>
      <c r="AI50" s="117"/>
      <c r="AJ50" s="117"/>
      <c r="AK50" s="117"/>
      <c r="AL50" s="117"/>
      <c r="AM50" s="117"/>
      <c r="AN50" s="117"/>
      <c r="AO50" s="117"/>
      <c r="AP50" s="117"/>
      <c r="AQ50" s="117"/>
      <c r="AR50" s="117"/>
      <c r="AS50" s="117"/>
      <c r="AT50" s="118"/>
    </row>
    <row r="51" spans="1:46" ht="13.5" thickBot="1" x14ac:dyDescent="0.35">
      <c r="A51" s="7">
        <f>VLOOKUP(A48,tabel4,2)</f>
        <v>2.7777777777777702E-4</v>
      </c>
      <c r="D51" s="5"/>
      <c r="E51" s="218" t="s">
        <v>96</v>
      </c>
      <c r="F51" s="219"/>
      <c r="G51" s="219"/>
      <c r="H51" s="97"/>
      <c r="I51" s="98"/>
      <c r="J51" s="98"/>
      <c r="K51" s="98"/>
      <c r="L51" s="98"/>
      <c r="M51" s="98"/>
      <c r="N51" s="98"/>
      <c r="O51" s="98"/>
      <c r="P51" s="98"/>
      <c r="Q51" s="98"/>
      <c r="R51" s="98"/>
      <c r="S51" s="98"/>
      <c r="T51" s="98"/>
      <c r="U51" s="98"/>
      <c r="V51" s="98"/>
      <c r="W51" s="98"/>
      <c r="X51" s="98"/>
      <c r="Y51" s="98"/>
      <c r="Z51" s="98"/>
      <c r="AA51" s="98"/>
      <c r="AB51" s="98"/>
      <c r="AC51" s="98"/>
      <c r="AD51" s="98"/>
      <c r="AE51" s="98"/>
      <c r="AF51" s="98"/>
      <c r="AG51" s="98"/>
      <c r="AH51" s="98"/>
      <c r="AI51" s="98"/>
      <c r="AJ51" s="98"/>
      <c r="AK51" s="98"/>
      <c r="AL51" s="98"/>
      <c r="AM51" s="98"/>
      <c r="AN51" s="98"/>
      <c r="AO51" s="98"/>
      <c r="AP51" s="98"/>
      <c r="AQ51" s="98"/>
      <c r="AR51" s="98"/>
      <c r="AS51" s="98"/>
      <c r="AT51" s="102"/>
    </row>
    <row r="52" spans="1:46" ht="13" thickBot="1" x14ac:dyDescent="0.3">
      <c r="D52" s="5"/>
      <c r="E52" s="100"/>
      <c r="F52" s="101"/>
      <c r="G52" s="101"/>
      <c r="H52" s="119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  <c r="AC52" s="101"/>
      <c r="AD52" s="101"/>
      <c r="AE52" s="101"/>
      <c r="AF52" s="101"/>
      <c r="AG52" s="101"/>
      <c r="AH52" s="101"/>
      <c r="AI52" s="101"/>
      <c r="AJ52" s="101"/>
      <c r="AK52" s="101"/>
      <c r="AL52" s="101"/>
      <c r="AM52" s="101"/>
      <c r="AN52" s="101"/>
      <c r="AO52" s="101"/>
      <c r="AP52" s="101"/>
      <c r="AQ52" s="101"/>
      <c r="AR52" s="101"/>
      <c r="AS52" s="101"/>
      <c r="AT52" s="120"/>
    </row>
    <row r="53" spans="1:46" x14ac:dyDescent="0.25">
      <c r="A53" s="6" t="s">
        <v>57</v>
      </c>
      <c r="D53" s="5"/>
      <c r="E53" s="109" t="s">
        <v>21</v>
      </c>
      <c r="F53" s="110" t="s">
        <v>22</v>
      </c>
      <c r="G53" s="113" t="s">
        <v>148</v>
      </c>
      <c r="H53" s="114" t="s">
        <v>98</v>
      </c>
      <c r="I53" s="113" t="s">
        <v>149</v>
      </c>
      <c r="J53" s="114" t="s">
        <v>99</v>
      </c>
      <c r="K53" s="113" t="s">
        <v>150</v>
      </c>
      <c r="L53" s="114" t="s">
        <v>100</v>
      </c>
      <c r="M53" s="113" t="s">
        <v>151</v>
      </c>
      <c r="N53" s="114" t="s">
        <v>101</v>
      </c>
      <c r="O53" s="113" t="s">
        <v>152</v>
      </c>
      <c r="P53" s="114" t="s">
        <v>102</v>
      </c>
      <c r="Q53" s="113" t="s">
        <v>153</v>
      </c>
      <c r="R53" s="114" t="s">
        <v>103</v>
      </c>
      <c r="S53" s="113" t="s">
        <v>154</v>
      </c>
      <c r="T53" s="114" t="s">
        <v>104</v>
      </c>
      <c r="U53" s="113" t="s">
        <v>155</v>
      </c>
      <c r="V53" s="114" t="s">
        <v>105</v>
      </c>
      <c r="W53" s="113" t="s">
        <v>156</v>
      </c>
      <c r="X53" s="114" t="s">
        <v>106</v>
      </c>
      <c r="Y53" s="113" t="s">
        <v>157</v>
      </c>
      <c r="Z53" s="114" t="s">
        <v>107</v>
      </c>
      <c r="AA53" s="113" t="s">
        <v>158</v>
      </c>
      <c r="AB53" s="114" t="s">
        <v>108</v>
      </c>
      <c r="AC53" s="113" t="s">
        <v>159</v>
      </c>
      <c r="AD53" s="114" t="s">
        <v>109</v>
      </c>
      <c r="AE53" s="113" t="s">
        <v>160</v>
      </c>
      <c r="AF53" s="114" t="s">
        <v>110</v>
      </c>
      <c r="AG53" s="113" t="s">
        <v>161</v>
      </c>
      <c r="AH53" s="114" t="s">
        <v>111</v>
      </c>
      <c r="AI53" s="113" t="s">
        <v>162</v>
      </c>
      <c r="AJ53" s="114" t="s">
        <v>112</v>
      </c>
      <c r="AK53" s="113" t="s">
        <v>163</v>
      </c>
      <c r="AL53" s="114" t="s">
        <v>113</v>
      </c>
      <c r="AM53" s="113" t="s">
        <v>164</v>
      </c>
      <c r="AN53" s="114" t="s">
        <v>114</v>
      </c>
      <c r="AO53" s="113" t="s">
        <v>165</v>
      </c>
      <c r="AP53" s="114" t="s">
        <v>115</v>
      </c>
      <c r="AQ53" s="113" t="s">
        <v>166</v>
      </c>
      <c r="AR53" s="114" t="s">
        <v>116</v>
      </c>
      <c r="AS53" s="113" t="s">
        <v>167</v>
      </c>
      <c r="AT53" s="115" t="s">
        <v>117</v>
      </c>
    </row>
    <row r="54" spans="1:46" ht="13" thickBot="1" x14ac:dyDescent="0.3">
      <c r="A54" s="8">
        <f>Beregning!C19*Tabeller!A51</f>
        <v>0</v>
      </c>
      <c r="D54" s="5"/>
      <c r="E54" s="96"/>
      <c r="F54" s="105" t="s">
        <v>24</v>
      </c>
      <c r="G54" s="105"/>
      <c r="H54" s="111"/>
      <c r="I54" s="112"/>
      <c r="J54" s="112"/>
      <c r="K54" s="112"/>
      <c r="L54" s="112"/>
      <c r="M54" s="112"/>
      <c r="N54" s="112"/>
      <c r="O54" s="112"/>
      <c r="P54" s="112"/>
      <c r="Q54" s="112"/>
      <c r="R54" s="112"/>
      <c r="S54" s="112"/>
      <c r="T54" s="112"/>
      <c r="U54" s="112"/>
      <c r="V54" s="112"/>
      <c r="W54" s="112"/>
      <c r="X54" s="112"/>
      <c r="Y54" s="112"/>
      <c r="Z54" s="112"/>
      <c r="AA54" s="112"/>
      <c r="AB54" s="112"/>
      <c r="AC54" s="112"/>
      <c r="AD54" s="112"/>
      <c r="AE54" s="112"/>
      <c r="AF54" s="112"/>
      <c r="AG54" s="112"/>
      <c r="AH54" s="112"/>
      <c r="AI54" s="112"/>
      <c r="AJ54" s="112"/>
      <c r="AK54" s="112"/>
      <c r="AL54" s="112"/>
      <c r="AM54" s="112"/>
      <c r="AN54" s="112"/>
      <c r="AO54" s="112"/>
      <c r="AP54" s="112"/>
      <c r="AQ54" s="112"/>
      <c r="AR54" s="112"/>
      <c r="AS54" s="112"/>
      <c r="AT54" s="108"/>
    </row>
    <row r="55" spans="1:46" ht="13" thickBot="1" x14ac:dyDescent="0.3">
      <c r="A55" s="8">
        <f>Beregning!C20*Tabeller!A51</f>
        <v>0</v>
      </c>
      <c r="D55" s="5"/>
      <c r="E55" s="103" t="s">
        <v>222</v>
      </c>
      <c r="F55" s="104">
        <v>1</v>
      </c>
      <c r="G55" s="130" t="s">
        <v>123</v>
      </c>
      <c r="H55" s="121">
        <v>63</v>
      </c>
      <c r="I55" s="130" t="s">
        <v>124</v>
      </c>
      <c r="J55" s="121">
        <v>80</v>
      </c>
      <c r="K55" s="130" t="s">
        <v>125</v>
      </c>
      <c r="L55" s="121">
        <v>100</v>
      </c>
      <c r="M55" s="130" t="s">
        <v>126</v>
      </c>
      <c r="N55" s="121">
        <v>125</v>
      </c>
      <c r="O55" s="130" t="s">
        <v>127</v>
      </c>
      <c r="P55" s="121">
        <v>160</v>
      </c>
      <c r="Q55" s="130" t="s">
        <v>128</v>
      </c>
      <c r="R55" s="121">
        <v>200</v>
      </c>
      <c r="S55" s="130" t="s">
        <v>129</v>
      </c>
      <c r="T55" s="121">
        <v>250</v>
      </c>
      <c r="U55" s="121" t="s">
        <v>130</v>
      </c>
      <c r="V55" s="121">
        <v>315</v>
      </c>
      <c r="W55" s="121" t="s">
        <v>131</v>
      </c>
      <c r="X55" s="121">
        <v>400</v>
      </c>
      <c r="Y55" s="121" t="s">
        <v>132</v>
      </c>
      <c r="Z55" s="121">
        <v>450</v>
      </c>
      <c r="AA55" s="121" t="s">
        <v>133</v>
      </c>
      <c r="AB55" s="121">
        <v>500</v>
      </c>
      <c r="AC55" s="121" t="s">
        <v>134</v>
      </c>
      <c r="AD55" s="121">
        <v>560</v>
      </c>
      <c r="AE55" s="121" t="s">
        <v>135</v>
      </c>
      <c r="AF55" s="121">
        <v>630</v>
      </c>
      <c r="AG55" s="121" t="s">
        <v>136</v>
      </c>
      <c r="AH55" s="121">
        <v>710</v>
      </c>
      <c r="AI55" s="121" t="s">
        <v>137</v>
      </c>
      <c r="AJ55" s="121">
        <v>800</v>
      </c>
      <c r="AK55" s="121" t="s">
        <v>138</v>
      </c>
      <c r="AL55" s="121">
        <v>900</v>
      </c>
      <c r="AM55" s="121" t="s">
        <v>139</v>
      </c>
      <c r="AN55" s="121">
        <v>1000</v>
      </c>
      <c r="AO55" s="121" t="s">
        <v>140</v>
      </c>
      <c r="AP55" s="121">
        <v>1250</v>
      </c>
      <c r="AQ55" s="121" t="s">
        <v>141</v>
      </c>
      <c r="AR55" s="121">
        <v>1400</v>
      </c>
      <c r="AS55" s="121" t="s">
        <v>145</v>
      </c>
      <c r="AT55" s="122">
        <v>1500</v>
      </c>
    </row>
    <row r="56" spans="1:46" ht="13" thickBot="1" x14ac:dyDescent="0.3">
      <c r="A56" s="8">
        <f>Beregning!C21*Tabeller!A51</f>
        <v>0</v>
      </c>
      <c r="D56" s="5"/>
      <c r="E56" s="95" t="s">
        <v>26</v>
      </c>
      <c r="F56" s="106">
        <v>2</v>
      </c>
      <c r="G56" s="131" t="s">
        <v>147</v>
      </c>
      <c r="H56" s="126" t="s">
        <v>147</v>
      </c>
      <c r="I56" s="131" t="s">
        <v>147</v>
      </c>
      <c r="J56" s="126" t="s">
        <v>147</v>
      </c>
      <c r="K56" s="131" t="s">
        <v>147</v>
      </c>
      <c r="L56" s="126" t="s">
        <v>147</v>
      </c>
      <c r="M56" s="131" t="s">
        <v>147</v>
      </c>
      <c r="N56" s="126" t="s">
        <v>147</v>
      </c>
      <c r="O56" s="131" t="s">
        <v>147</v>
      </c>
      <c r="P56" s="126" t="s">
        <v>147</v>
      </c>
      <c r="Q56" s="131" t="s">
        <v>147</v>
      </c>
      <c r="R56" s="126" t="s">
        <v>147</v>
      </c>
      <c r="S56" s="131" t="s">
        <v>147</v>
      </c>
      <c r="T56" s="126" t="s">
        <v>147</v>
      </c>
      <c r="U56" s="126" t="s">
        <v>147</v>
      </c>
      <c r="V56" s="126" t="s">
        <v>147</v>
      </c>
      <c r="W56" s="126" t="s">
        <v>147</v>
      </c>
      <c r="X56" s="126" t="s">
        <v>147</v>
      </c>
      <c r="Y56" s="126" t="s">
        <v>147</v>
      </c>
      <c r="Z56" s="126" t="s">
        <v>147</v>
      </c>
      <c r="AA56" s="126" t="s">
        <v>147</v>
      </c>
      <c r="AB56" s="126" t="s">
        <v>147</v>
      </c>
      <c r="AC56" s="126" t="s">
        <v>147</v>
      </c>
      <c r="AD56" s="126" t="s">
        <v>147</v>
      </c>
      <c r="AE56" s="126" t="s">
        <v>147</v>
      </c>
      <c r="AF56" s="126" t="s">
        <v>147</v>
      </c>
      <c r="AG56" s="126" t="s">
        <v>147</v>
      </c>
      <c r="AH56" s="126" t="s">
        <v>147</v>
      </c>
      <c r="AI56" s="126" t="s">
        <v>147</v>
      </c>
      <c r="AJ56" s="126" t="s">
        <v>147</v>
      </c>
      <c r="AK56" s="126" t="s">
        <v>147</v>
      </c>
      <c r="AL56" s="126" t="s">
        <v>147</v>
      </c>
      <c r="AM56" s="126" t="s">
        <v>147</v>
      </c>
      <c r="AN56" s="126" t="s">
        <v>147</v>
      </c>
      <c r="AO56" s="126" t="s">
        <v>147</v>
      </c>
      <c r="AP56" s="126" t="s">
        <v>147</v>
      </c>
      <c r="AQ56" s="126" t="s">
        <v>147</v>
      </c>
      <c r="AR56" s="126" t="s">
        <v>147</v>
      </c>
      <c r="AS56" s="126" t="s">
        <v>147</v>
      </c>
      <c r="AT56" s="127" t="s">
        <v>147</v>
      </c>
    </row>
    <row r="57" spans="1:46" ht="13" thickBot="1" x14ac:dyDescent="0.3">
      <c r="A57" s="8">
        <f>Beregning!C22*Tabeller!A51</f>
        <v>0</v>
      </c>
      <c r="D57" s="5"/>
      <c r="E57" s="95" t="s">
        <v>146</v>
      </c>
      <c r="F57" s="106">
        <v>3</v>
      </c>
      <c r="G57" s="132">
        <v>6</v>
      </c>
      <c r="H57" s="124">
        <v>6.2</v>
      </c>
      <c r="I57" s="132">
        <v>8</v>
      </c>
      <c r="J57" s="124">
        <v>8.9</v>
      </c>
      <c r="K57" s="132">
        <v>10</v>
      </c>
      <c r="L57" s="124">
        <v>12.4</v>
      </c>
      <c r="M57" s="132">
        <v>15</v>
      </c>
      <c r="N57" s="124">
        <v>16</v>
      </c>
      <c r="O57" s="132">
        <v>20</v>
      </c>
      <c r="P57" s="124">
        <v>21.7</v>
      </c>
      <c r="Q57" s="132">
        <v>25</v>
      </c>
      <c r="R57" s="124">
        <v>27.2</v>
      </c>
      <c r="S57" s="132">
        <v>32</v>
      </c>
      <c r="T57" s="124">
        <v>36</v>
      </c>
      <c r="U57" s="124">
        <v>40</v>
      </c>
      <c r="V57" s="124">
        <v>42</v>
      </c>
      <c r="W57" s="124">
        <v>50</v>
      </c>
      <c r="X57" s="124">
        <v>53</v>
      </c>
      <c r="Y57" s="124">
        <v>65</v>
      </c>
      <c r="Z57" s="124">
        <v>69</v>
      </c>
      <c r="AA57" s="124">
        <v>80</v>
      </c>
      <c r="AB57" s="124">
        <v>81</v>
      </c>
      <c r="AC57" s="124">
        <v>100</v>
      </c>
      <c r="AD57" s="124">
        <v>105</v>
      </c>
      <c r="AE57" s="124">
        <v>125</v>
      </c>
      <c r="AF57" s="124">
        <v>130</v>
      </c>
      <c r="AG57" s="124">
        <v>150</v>
      </c>
      <c r="AH57" s="124">
        <v>155</v>
      </c>
      <c r="AI57" s="128" t="s">
        <v>147</v>
      </c>
      <c r="AJ57" s="128" t="s">
        <v>147</v>
      </c>
      <c r="AK57" s="128" t="s">
        <v>147</v>
      </c>
      <c r="AL57" s="128" t="s">
        <v>147</v>
      </c>
      <c r="AM57" s="128" t="s">
        <v>147</v>
      </c>
      <c r="AN57" s="128" t="s">
        <v>147</v>
      </c>
      <c r="AO57" s="128" t="s">
        <v>147</v>
      </c>
      <c r="AP57" s="128" t="s">
        <v>147</v>
      </c>
      <c r="AQ57" s="128" t="s">
        <v>147</v>
      </c>
      <c r="AR57" s="128" t="s">
        <v>147</v>
      </c>
      <c r="AS57" s="128" t="s">
        <v>147</v>
      </c>
      <c r="AT57" s="129" t="s">
        <v>147</v>
      </c>
    </row>
    <row r="58" spans="1:46" ht="13" thickBot="1" x14ac:dyDescent="0.3">
      <c r="D58" s="5"/>
      <c r="E58" s="95" t="s">
        <v>63</v>
      </c>
      <c r="F58" s="106">
        <v>4</v>
      </c>
      <c r="G58" s="132" t="s">
        <v>168</v>
      </c>
      <c r="H58" s="124">
        <v>4.4000000000000004</v>
      </c>
      <c r="I58" s="132" t="s">
        <v>169</v>
      </c>
      <c r="J58" s="124">
        <v>6.4</v>
      </c>
      <c r="K58" s="132" t="s">
        <v>170</v>
      </c>
      <c r="L58" s="124">
        <v>8.4</v>
      </c>
      <c r="M58" s="132" t="s">
        <v>171</v>
      </c>
      <c r="N58" s="124">
        <v>10</v>
      </c>
      <c r="O58" s="132" t="s">
        <v>172</v>
      </c>
      <c r="P58" s="124">
        <v>13</v>
      </c>
      <c r="Q58" s="132" t="s">
        <v>173</v>
      </c>
      <c r="R58" s="124">
        <v>16</v>
      </c>
      <c r="S58" s="132" t="s">
        <v>174</v>
      </c>
      <c r="T58" s="124">
        <v>20</v>
      </c>
      <c r="U58" s="124" t="s">
        <v>175</v>
      </c>
      <c r="V58" s="124">
        <v>25.6</v>
      </c>
      <c r="W58" s="124" t="s">
        <v>176</v>
      </c>
      <c r="X58" s="124">
        <v>32</v>
      </c>
      <c r="Y58" s="124" t="s">
        <v>177</v>
      </c>
      <c r="Z58" s="124">
        <v>39</v>
      </c>
      <c r="AA58" s="124" t="s">
        <v>178</v>
      </c>
      <c r="AB58" s="124">
        <v>51</v>
      </c>
      <c r="AC58" s="128" t="s">
        <v>147</v>
      </c>
      <c r="AD58" s="128" t="s">
        <v>147</v>
      </c>
      <c r="AE58" s="128" t="s">
        <v>147</v>
      </c>
      <c r="AF58" s="128" t="s">
        <v>147</v>
      </c>
      <c r="AG58" s="128" t="s">
        <v>147</v>
      </c>
      <c r="AH58" s="128" t="s">
        <v>147</v>
      </c>
      <c r="AI58" s="128" t="s">
        <v>147</v>
      </c>
      <c r="AJ58" s="128" t="s">
        <v>147</v>
      </c>
      <c r="AK58" s="128" t="s">
        <v>147</v>
      </c>
      <c r="AL58" s="128" t="s">
        <v>147</v>
      </c>
      <c r="AM58" s="128" t="s">
        <v>147</v>
      </c>
      <c r="AN58" s="128" t="s">
        <v>147</v>
      </c>
      <c r="AO58" s="128" t="s">
        <v>147</v>
      </c>
      <c r="AP58" s="128" t="s">
        <v>147</v>
      </c>
      <c r="AQ58" s="128" t="s">
        <v>147</v>
      </c>
      <c r="AR58" s="128" t="s">
        <v>147</v>
      </c>
      <c r="AS58" s="128" t="s">
        <v>147</v>
      </c>
      <c r="AT58" s="129" t="s">
        <v>147</v>
      </c>
    </row>
    <row r="59" spans="1:46" x14ac:dyDescent="0.25">
      <c r="A59" s="6" t="s">
        <v>59</v>
      </c>
      <c r="D59" s="5"/>
      <c r="E59" s="95" t="s">
        <v>27</v>
      </c>
      <c r="F59" s="106">
        <v>5</v>
      </c>
      <c r="G59" s="132">
        <v>50</v>
      </c>
      <c r="H59" s="124">
        <v>50</v>
      </c>
      <c r="I59" s="132">
        <v>65</v>
      </c>
      <c r="J59" s="124">
        <v>65</v>
      </c>
      <c r="K59" s="132">
        <v>80</v>
      </c>
      <c r="L59" s="124">
        <v>80</v>
      </c>
      <c r="M59" s="132">
        <v>100</v>
      </c>
      <c r="N59" s="124">
        <v>100</v>
      </c>
      <c r="O59" s="132">
        <v>125</v>
      </c>
      <c r="P59" s="124">
        <v>125</v>
      </c>
      <c r="Q59" s="132">
        <v>150</v>
      </c>
      <c r="R59" s="124">
        <v>150</v>
      </c>
      <c r="S59" s="132">
        <v>200</v>
      </c>
      <c r="T59" s="124">
        <v>200</v>
      </c>
      <c r="U59" s="124">
        <v>250</v>
      </c>
      <c r="V59" s="124">
        <v>250</v>
      </c>
      <c r="W59" s="124">
        <v>300</v>
      </c>
      <c r="X59" s="124">
        <v>300</v>
      </c>
      <c r="Y59" s="124">
        <v>350</v>
      </c>
      <c r="Z59" s="124">
        <v>350</v>
      </c>
      <c r="AA59" s="124">
        <v>400</v>
      </c>
      <c r="AB59" s="124">
        <v>400</v>
      </c>
      <c r="AC59" s="124">
        <v>450</v>
      </c>
      <c r="AD59" s="124">
        <v>450</v>
      </c>
      <c r="AE59" s="124">
        <v>500</v>
      </c>
      <c r="AF59" s="124">
        <v>500</v>
      </c>
      <c r="AG59" s="124">
        <v>600</v>
      </c>
      <c r="AH59" s="124">
        <v>600</v>
      </c>
      <c r="AI59" s="124">
        <v>700</v>
      </c>
      <c r="AJ59" s="124">
        <v>700</v>
      </c>
      <c r="AK59" s="124">
        <v>800</v>
      </c>
      <c r="AL59" s="124">
        <v>800</v>
      </c>
      <c r="AM59" s="124">
        <v>900</v>
      </c>
      <c r="AN59" s="124">
        <v>1000</v>
      </c>
      <c r="AO59" s="124">
        <v>1000</v>
      </c>
      <c r="AP59" s="128" t="s">
        <v>147</v>
      </c>
      <c r="AQ59" s="128" t="s">
        <v>147</v>
      </c>
      <c r="AR59" s="128" t="s">
        <v>147</v>
      </c>
      <c r="AS59" s="128" t="s">
        <v>147</v>
      </c>
      <c r="AT59" s="129" t="s">
        <v>147</v>
      </c>
    </row>
    <row r="60" spans="1:46" ht="13" thickBot="1" x14ac:dyDescent="0.3">
      <c r="A60" s="7">
        <f>PI()*(Beregning!C27/2000)^2</f>
        <v>0.12566370614359174</v>
      </c>
      <c r="D60" s="5"/>
      <c r="E60" s="95" t="s">
        <v>64</v>
      </c>
      <c r="F60" s="106">
        <v>6</v>
      </c>
      <c r="G60" s="132" t="s">
        <v>168</v>
      </c>
      <c r="H60" s="124">
        <v>4.4000000000000004</v>
      </c>
      <c r="I60" s="132" t="s">
        <v>169</v>
      </c>
      <c r="J60" s="124">
        <v>6.4</v>
      </c>
      <c r="K60" s="132" t="s">
        <v>170</v>
      </c>
      <c r="L60" s="124">
        <v>8.4</v>
      </c>
      <c r="M60" s="132" t="s">
        <v>171</v>
      </c>
      <c r="N60" s="124">
        <v>10</v>
      </c>
      <c r="O60" s="132" t="s">
        <v>172</v>
      </c>
      <c r="P60" s="124">
        <v>13</v>
      </c>
      <c r="Q60" s="132" t="s">
        <v>173</v>
      </c>
      <c r="R60" s="124">
        <v>16</v>
      </c>
      <c r="S60" s="132" t="s">
        <v>174</v>
      </c>
      <c r="T60" s="124">
        <v>20</v>
      </c>
      <c r="U60" s="124" t="s">
        <v>175</v>
      </c>
      <c r="V60" s="124">
        <v>25.6</v>
      </c>
      <c r="W60" s="124" t="s">
        <v>176</v>
      </c>
      <c r="X60" s="124">
        <v>32</v>
      </c>
      <c r="Y60" s="124" t="s">
        <v>177</v>
      </c>
      <c r="Z60" s="124">
        <v>39</v>
      </c>
      <c r="AA60" s="124" t="s">
        <v>178</v>
      </c>
      <c r="AB60" s="124">
        <v>51</v>
      </c>
      <c r="AC60" s="128" t="s">
        <v>147</v>
      </c>
      <c r="AD60" s="128" t="s">
        <v>147</v>
      </c>
      <c r="AE60" s="128" t="s">
        <v>147</v>
      </c>
      <c r="AF60" s="128" t="s">
        <v>147</v>
      </c>
      <c r="AG60" s="128" t="s">
        <v>147</v>
      </c>
      <c r="AH60" s="128" t="s">
        <v>147</v>
      </c>
      <c r="AI60" s="128" t="s">
        <v>147</v>
      </c>
      <c r="AJ60" s="128" t="s">
        <v>147</v>
      </c>
      <c r="AK60" s="128" t="s">
        <v>147</v>
      </c>
      <c r="AL60" s="128" t="s">
        <v>147</v>
      </c>
      <c r="AM60" s="128" t="s">
        <v>147</v>
      </c>
      <c r="AN60" s="128" t="s">
        <v>147</v>
      </c>
      <c r="AO60" s="128" t="s">
        <v>147</v>
      </c>
      <c r="AP60" s="128" t="s">
        <v>147</v>
      </c>
      <c r="AQ60" s="128" t="s">
        <v>147</v>
      </c>
      <c r="AR60" s="128" t="s">
        <v>147</v>
      </c>
      <c r="AS60" s="128" t="s">
        <v>147</v>
      </c>
      <c r="AT60" s="129" t="s">
        <v>147</v>
      </c>
    </row>
    <row r="61" spans="1:46" ht="13" thickBot="1" x14ac:dyDescent="0.3">
      <c r="D61" s="5"/>
      <c r="E61" s="95" t="s">
        <v>217</v>
      </c>
      <c r="F61" s="106">
        <v>7</v>
      </c>
      <c r="G61" s="132" t="s">
        <v>172</v>
      </c>
      <c r="H61" s="126">
        <v>13</v>
      </c>
      <c r="I61" s="132" t="s">
        <v>173</v>
      </c>
      <c r="J61" s="126">
        <v>16</v>
      </c>
      <c r="K61" s="132" t="s">
        <v>218</v>
      </c>
      <c r="L61" s="126">
        <v>19.600000000000001</v>
      </c>
      <c r="M61" s="132" t="s">
        <v>175</v>
      </c>
      <c r="N61" s="126">
        <v>25.6</v>
      </c>
      <c r="O61" s="132" t="s">
        <v>176</v>
      </c>
      <c r="P61" s="126">
        <v>32</v>
      </c>
      <c r="Q61" s="132" t="s">
        <v>177</v>
      </c>
      <c r="R61" s="126">
        <v>39</v>
      </c>
      <c r="S61" s="132" t="s">
        <v>178</v>
      </c>
      <c r="T61" s="126">
        <v>51</v>
      </c>
      <c r="U61" s="124" t="s">
        <v>219</v>
      </c>
      <c r="V61" s="126">
        <v>72.099999999999994</v>
      </c>
      <c r="W61" s="124" t="s">
        <v>220</v>
      </c>
      <c r="X61" s="126">
        <v>84.9</v>
      </c>
      <c r="Y61" s="124" t="s">
        <v>221</v>
      </c>
      <c r="Z61" s="126">
        <v>104</v>
      </c>
      <c r="AA61" s="126" t="s">
        <v>147</v>
      </c>
      <c r="AB61" s="126" t="s">
        <v>147</v>
      </c>
      <c r="AC61" s="126" t="s">
        <v>147</v>
      </c>
      <c r="AD61" s="126" t="s">
        <v>147</v>
      </c>
      <c r="AE61" s="126" t="s">
        <v>147</v>
      </c>
      <c r="AF61" s="126" t="s">
        <v>147</v>
      </c>
      <c r="AG61" s="126" t="s">
        <v>147</v>
      </c>
      <c r="AH61" s="126" t="s">
        <v>147</v>
      </c>
      <c r="AI61" s="126" t="s">
        <v>147</v>
      </c>
      <c r="AJ61" s="126" t="s">
        <v>147</v>
      </c>
      <c r="AK61" s="126" t="s">
        <v>147</v>
      </c>
      <c r="AL61" s="126" t="s">
        <v>147</v>
      </c>
      <c r="AM61" s="126" t="s">
        <v>147</v>
      </c>
      <c r="AN61" s="126" t="s">
        <v>147</v>
      </c>
      <c r="AO61" s="126" t="s">
        <v>147</v>
      </c>
      <c r="AP61" s="126" t="s">
        <v>147</v>
      </c>
      <c r="AQ61" s="126" t="s">
        <v>147</v>
      </c>
      <c r="AR61" s="126" t="s">
        <v>147</v>
      </c>
      <c r="AS61" s="126" t="s">
        <v>147</v>
      </c>
      <c r="AT61" s="127" t="s">
        <v>147</v>
      </c>
    </row>
    <row r="62" spans="1:46" x14ac:dyDescent="0.25">
      <c r="A62" s="6" t="s">
        <v>60</v>
      </c>
      <c r="D62" s="5"/>
      <c r="E62" s="95" t="s">
        <v>217</v>
      </c>
      <c r="F62" s="106">
        <v>8</v>
      </c>
      <c r="G62" s="132" t="s">
        <v>172</v>
      </c>
      <c r="H62" s="126">
        <v>13</v>
      </c>
      <c r="I62" s="132" t="s">
        <v>173</v>
      </c>
      <c r="J62" s="126">
        <v>16</v>
      </c>
      <c r="K62" s="132" t="s">
        <v>218</v>
      </c>
      <c r="L62" s="126">
        <v>19.600000000000001</v>
      </c>
      <c r="M62" s="132" t="s">
        <v>175</v>
      </c>
      <c r="N62" s="126">
        <v>25.6</v>
      </c>
      <c r="O62" s="132" t="s">
        <v>176</v>
      </c>
      <c r="P62" s="126">
        <v>32</v>
      </c>
      <c r="Q62" s="132" t="s">
        <v>177</v>
      </c>
      <c r="R62" s="126">
        <v>39</v>
      </c>
      <c r="S62" s="132" t="s">
        <v>178</v>
      </c>
      <c r="T62" s="126">
        <v>51</v>
      </c>
      <c r="U62" s="124" t="s">
        <v>219</v>
      </c>
      <c r="V62" s="126">
        <v>72.099999999999994</v>
      </c>
      <c r="W62" s="124" t="s">
        <v>220</v>
      </c>
      <c r="X62" s="126">
        <v>84.9</v>
      </c>
      <c r="Y62" s="124" t="s">
        <v>221</v>
      </c>
      <c r="Z62" s="126">
        <v>104</v>
      </c>
      <c r="AA62" s="126" t="s">
        <v>147</v>
      </c>
      <c r="AB62" s="126" t="s">
        <v>147</v>
      </c>
      <c r="AC62" s="126" t="s">
        <v>147</v>
      </c>
      <c r="AD62" s="126" t="s">
        <v>147</v>
      </c>
      <c r="AE62" s="126" t="s">
        <v>147</v>
      </c>
      <c r="AF62" s="126" t="s">
        <v>147</v>
      </c>
      <c r="AG62" s="126" t="s">
        <v>147</v>
      </c>
      <c r="AH62" s="126" t="s">
        <v>147</v>
      </c>
      <c r="AI62" s="126" t="s">
        <v>147</v>
      </c>
      <c r="AJ62" s="126" t="s">
        <v>147</v>
      </c>
      <c r="AK62" s="126" t="s">
        <v>147</v>
      </c>
      <c r="AL62" s="126" t="s">
        <v>147</v>
      </c>
      <c r="AM62" s="126" t="s">
        <v>147</v>
      </c>
      <c r="AN62" s="126" t="s">
        <v>147</v>
      </c>
      <c r="AO62" s="126" t="s">
        <v>147</v>
      </c>
      <c r="AP62" s="126" t="s">
        <v>147</v>
      </c>
      <c r="AQ62" s="126" t="s">
        <v>147</v>
      </c>
      <c r="AR62" s="126" t="s">
        <v>147</v>
      </c>
      <c r="AS62" s="126" t="s">
        <v>147</v>
      </c>
      <c r="AT62" s="127" t="s">
        <v>147</v>
      </c>
    </row>
    <row r="63" spans="1:46" ht="13" thickBot="1" x14ac:dyDescent="0.3">
      <c r="A63" s="7">
        <f>A54/A60</f>
        <v>0</v>
      </c>
      <c r="D63" s="5"/>
      <c r="E63" s="95" t="s">
        <v>118</v>
      </c>
      <c r="F63" s="106">
        <v>9</v>
      </c>
      <c r="G63" s="132">
        <v>80</v>
      </c>
      <c r="H63" s="124">
        <v>86</v>
      </c>
      <c r="I63" s="132">
        <v>100</v>
      </c>
      <c r="J63" s="124">
        <v>105.8</v>
      </c>
      <c r="K63" s="132">
        <v>150</v>
      </c>
      <c r="L63" s="124">
        <v>157.4</v>
      </c>
      <c r="M63" s="132">
        <v>200</v>
      </c>
      <c r="N63" s="124">
        <v>209.2</v>
      </c>
      <c r="O63" s="132">
        <v>250</v>
      </c>
      <c r="P63" s="124">
        <v>260.39999999999998</v>
      </c>
      <c r="Q63" s="132">
        <v>300</v>
      </c>
      <c r="R63" s="124">
        <v>311.8</v>
      </c>
      <c r="S63" s="133" t="s">
        <v>147</v>
      </c>
      <c r="T63" s="128" t="s">
        <v>147</v>
      </c>
      <c r="U63" s="128" t="s">
        <v>147</v>
      </c>
      <c r="V63" s="128" t="s">
        <v>147</v>
      </c>
      <c r="W63" s="128" t="s">
        <v>147</v>
      </c>
      <c r="X63" s="128" t="s">
        <v>147</v>
      </c>
      <c r="Y63" s="128" t="s">
        <v>147</v>
      </c>
      <c r="Z63" s="128" t="s">
        <v>147</v>
      </c>
      <c r="AA63" s="128" t="s">
        <v>147</v>
      </c>
      <c r="AB63" s="128" t="s">
        <v>147</v>
      </c>
      <c r="AC63" s="128" t="s">
        <v>147</v>
      </c>
      <c r="AD63" s="128" t="s">
        <v>147</v>
      </c>
      <c r="AE63" s="128" t="s">
        <v>147</v>
      </c>
      <c r="AF63" s="128" t="s">
        <v>147</v>
      </c>
      <c r="AG63" s="128" t="s">
        <v>147</v>
      </c>
      <c r="AH63" s="128" t="s">
        <v>147</v>
      </c>
      <c r="AI63" s="128" t="s">
        <v>147</v>
      </c>
      <c r="AJ63" s="128" t="s">
        <v>147</v>
      </c>
      <c r="AK63" s="128" t="s">
        <v>147</v>
      </c>
      <c r="AL63" s="128" t="s">
        <v>147</v>
      </c>
      <c r="AM63" s="128" t="s">
        <v>147</v>
      </c>
      <c r="AN63" s="128" t="s">
        <v>147</v>
      </c>
      <c r="AO63" s="128" t="s">
        <v>147</v>
      </c>
      <c r="AP63" s="128" t="s">
        <v>147</v>
      </c>
      <c r="AQ63" s="128" t="s">
        <v>147</v>
      </c>
      <c r="AR63" s="128" t="s">
        <v>147</v>
      </c>
      <c r="AS63" s="128" t="s">
        <v>147</v>
      </c>
      <c r="AT63" s="129" t="s">
        <v>147</v>
      </c>
    </row>
    <row r="64" spans="1:46" ht="13" thickBot="1" x14ac:dyDescent="0.3">
      <c r="D64" s="5"/>
      <c r="E64" s="95" t="s">
        <v>196</v>
      </c>
      <c r="F64" s="106">
        <v>10</v>
      </c>
      <c r="G64" s="132">
        <v>6</v>
      </c>
      <c r="H64" s="124">
        <v>6.2</v>
      </c>
      <c r="I64" s="132">
        <v>8</v>
      </c>
      <c r="J64" s="124">
        <v>8.9</v>
      </c>
      <c r="K64" s="132">
        <v>10</v>
      </c>
      <c r="L64" s="124">
        <v>12.4</v>
      </c>
      <c r="M64" s="132">
        <v>15</v>
      </c>
      <c r="N64" s="124">
        <v>16.100000000000001</v>
      </c>
      <c r="O64" s="132">
        <v>20</v>
      </c>
      <c r="P64" s="124">
        <v>21.7</v>
      </c>
      <c r="Q64" s="132">
        <v>25</v>
      </c>
      <c r="R64" s="124">
        <v>27.2</v>
      </c>
      <c r="S64" s="132">
        <v>32</v>
      </c>
      <c r="T64" s="124">
        <v>36</v>
      </c>
      <c r="U64" s="124">
        <v>40</v>
      </c>
      <c r="V64" s="124">
        <v>42</v>
      </c>
      <c r="W64" s="124">
        <v>50</v>
      </c>
      <c r="X64" s="124">
        <v>53</v>
      </c>
      <c r="Y64" s="124">
        <v>65</v>
      </c>
      <c r="Z64" s="124">
        <v>69</v>
      </c>
      <c r="AA64" s="124">
        <v>80</v>
      </c>
      <c r="AB64" s="124">
        <v>81</v>
      </c>
      <c r="AC64" s="124">
        <v>100</v>
      </c>
      <c r="AD64" s="124">
        <v>105</v>
      </c>
      <c r="AE64" s="124">
        <v>125</v>
      </c>
      <c r="AF64" s="124">
        <v>130</v>
      </c>
      <c r="AG64" s="124">
        <v>150</v>
      </c>
      <c r="AH64" s="124">
        <v>155</v>
      </c>
      <c r="AI64" s="128" t="s">
        <v>147</v>
      </c>
      <c r="AJ64" s="128" t="s">
        <v>147</v>
      </c>
      <c r="AK64" s="128" t="s">
        <v>147</v>
      </c>
      <c r="AL64" s="128" t="s">
        <v>147</v>
      </c>
      <c r="AM64" s="128" t="s">
        <v>147</v>
      </c>
      <c r="AN64" s="128" t="s">
        <v>147</v>
      </c>
      <c r="AO64" s="128" t="s">
        <v>147</v>
      </c>
      <c r="AP64" s="128" t="s">
        <v>147</v>
      </c>
      <c r="AQ64" s="128" t="s">
        <v>147</v>
      </c>
      <c r="AR64" s="128" t="s">
        <v>147</v>
      </c>
      <c r="AS64" s="128" t="s">
        <v>147</v>
      </c>
      <c r="AT64" s="129" t="s">
        <v>147</v>
      </c>
    </row>
    <row r="65" spans="1:46" x14ac:dyDescent="0.25">
      <c r="A65" s="6" t="s">
        <v>61</v>
      </c>
      <c r="D65" s="5"/>
      <c r="E65" s="95" t="s">
        <v>195</v>
      </c>
      <c r="F65" s="106">
        <v>11</v>
      </c>
      <c r="G65" s="132" t="s">
        <v>197</v>
      </c>
      <c r="H65" s="124">
        <v>28.5</v>
      </c>
      <c r="I65" s="132" t="s">
        <v>198</v>
      </c>
      <c r="J65" s="124">
        <v>32.799999999999997</v>
      </c>
      <c r="K65" s="132" t="s">
        <v>199</v>
      </c>
      <c r="L65" s="124">
        <v>37.200000000000003</v>
      </c>
      <c r="M65" s="132" t="s">
        <v>200</v>
      </c>
      <c r="N65" s="124">
        <v>43.1</v>
      </c>
      <c r="O65" s="132" t="s">
        <v>201</v>
      </c>
      <c r="P65" s="124">
        <v>54.5</v>
      </c>
      <c r="Q65" s="132" t="s">
        <v>202</v>
      </c>
      <c r="R65" s="124">
        <v>64.2</v>
      </c>
      <c r="S65" s="132" t="s">
        <v>203</v>
      </c>
      <c r="T65" s="124">
        <v>70.3</v>
      </c>
      <c r="U65" s="124" t="s">
        <v>204</v>
      </c>
      <c r="V65" s="124">
        <v>82.5</v>
      </c>
      <c r="W65" s="124" t="s">
        <v>205</v>
      </c>
      <c r="X65" s="124">
        <v>100.8</v>
      </c>
      <c r="Y65" s="124" t="s">
        <v>206</v>
      </c>
      <c r="Z65" s="124">
        <v>107.1</v>
      </c>
      <c r="AA65" s="124" t="s">
        <v>207</v>
      </c>
      <c r="AB65" s="124">
        <v>125</v>
      </c>
      <c r="AC65" s="124" t="s">
        <v>208</v>
      </c>
      <c r="AD65" s="124">
        <v>131.69999999999999</v>
      </c>
      <c r="AE65" s="124" t="s">
        <v>209</v>
      </c>
      <c r="AF65" s="124">
        <v>150</v>
      </c>
      <c r="AG65" s="124" t="s">
        <v>210</v>
      </c>
      <c r="AH65" s="124">
        <v>159.30000000000001</v>
      </c>
      <c r="AI65" s="124" t="s">
        <v>211</v>
      </c>
      <c r="AJ65" s="124">
        <v>182.9</v>
      </c>
      <c r="AK65" s="124" t="s">
        <v>212</v>
      </c>
      <c r="AL65" s="124">
        <v>207.3</v>
      </c>
      <c r="AM65" s="124" t="s">
        <v>213</v>
      </c>
      <c r="AN65" s="124">
        <v>231.9</v>
      </c>
      <c r="AO65" s="124" t="s">
        <v>214</v>
      </c>
      <c r="AP65" s="124">
        <v>260.39999999999998</v>
      </c>
      <c r="AQ65" s="124" t="s">
        <v>215</v>
      </c>
      <c r="AR65" s="124">
        <v>309.7</v>
      </c>
      <c r="AS65" s="124" t="s">
        <v>216</v>
      </c>
      <c r="AT65" s="125">
        <v>339.6</v>
      </c>
    </row>
    <row r="66" spans="1:46" ht="13" thickBot="1" x14ac:dyDescent="0.3">
      <c r="A66" s="7">
        <f>(A63*(Beregning!C27/1000))/Tabeller!A42</f>
        <v>0</v>
      </c>
      <c r="D66" s="5"/>
      <c r="E66" s="95" t="s">
        <v>119</v>
      </c>
      <c r="F66" s="106">
        <v>12</v>
      </c>
      <c r="G66" s="132">
        <v>12</v>
      </c>
      <c r="H66" s="124">
        <v>10</v>
      </c>
      <c r="I66" s="132">
        <v>16</v>
      </c>
      <c r="J66" s="124">
        <v>14</v>
      </c>
      <c r="K66" s="132">
        <v>20</v>
      </c>
      <c r="L66" s="124">
        <v>18</v>
      </c>
      <c r="M66" s="132">
        <v>25</v>
      </c>
      <c r="N66" s="124">
        <v>22.6</v>
      </c>
      <c r="O66" s="132">
        <v>32</v>
      </c>
      <c r="P66" s="124">
        <v>28.8</v>
      </c>
      <c r="Q66" s="132">
        <v>40</v>
      </c>
      <c r="R66" s="124">
        <v>36</v>
      </c>
      <c r="S66" s="132">
        <v>50</v>
      </c>
      <c r="T66" s="124">
        <v>45.2</v>
      </c>
      <c r="U66" s="124">
        <v>63</v>
      </c>
      <c r="V66" s="124">
        <v>57</v>
      </c>
      <c r="W66" s="124">
        <v>75</v>
      </c>
      <c r="X66" s="124">
        <v>67.8</v>
      </c>
      <c r="Y66" s="124">
        <v>90</v>
      </c>
      <c r="Z66" s="124">
        <v>81.400000000000006</v>
      </c>
      <c r="AA66" s="124">
        <v>110</v>
      </c>
      <c r="AB66" s="124">
        <v>99.4</v>
      </c>
      <c r="AC66" s="124">
        <v>125</v>
      </c>
      <c r="AD66" s="124">
        <v>113</v>
      </c>
      <c r="AE66" s="124">
        <v>140</v>
      </c>
      <c r="AF66" s="124">
        <v>126.6</v>
      </c>
      <c r="AG66" s="124">
        <v>160</v>
      </c>
      <c r="AH66" s="124">
        <v>144.6</v>
      </c>
      <c r="AI66" s="124">
        <v>180</v>
      </c>
      <c r="AJ66" s="124">
        <v>162.80000000000001</v>
      </c>
      <c r="AK66" s="124">
        <v>200</v>
      </c>
      <c r="AL66" s="126">
        <v>180.8</v>
      </c>
      <c r="AM66" s="128" t="s">
        <v>147</v>
      </c>
      <c r="AN66" s="128" t="s">
        <v>147</v>
      </c>
      <c r="AO66" s="128" t="s">
        <v>147</v>
      </c>
      <c r="AP66" s="128" t="s">
        <v>147</v>
      </c>
      <c r="AQ66" s="128" t="s">
        <v>147</v>
      </c>
      <c r="AR66" s="128" t="s">
        <v>147</v>
      </c>
      <c r="AS66" s="128" t="s">
        <v>147</v>
      </c>
      <c r="AT66" s="129" t="s">
        <v>147</v>
      </c>
    </row>
    <row r="67" spans="1:46" x14ac:dyDescent="0.25">
      <c r="D67" s="5"/>
      <c r="E67" s="95" t="s">
        <v>120</v>
      </c>
      <c r="F67" s="106">
        <v>13</v>
      </c>
      <c r="G67" s="132">
        <v>12</v>
      </c>
      <c r="H67" s="124">
        <v>8.6</v>
      </c>
      <c r="I67" s="132">
        <v>16</v>
      </c>
      <c r="J67" s="124">
        <v>11.6</v>
      </c>
      <c r="K67" s="132">
        <v>20</v>
      </c>
      <c r="L67" s="124">
        <v>14.4</v>
      </c>
      <c r="M67" s="132">
        <v>25</v>
      </c>
      <c r="N67" s="124">
        <v>18.2</v>
      </c>
      <c r="O67" s="132">
        <v>32</v>
      </c>
      <c r="P67" s="124">
        <v>23.2</v>
      </c>
      <c r="Q67" s="132">
        <v>40</v>
      </c>
      <c r="R67" s="124">
        <v>29</v>
      </c>
      <c r="S67" s="132">
        <v>50</v>
      </c>
      <c r="T67" s="124">
        <v>36.4</v>
      </c>
      <c r="U67" s="124">
        <v>63</v>
      </c>
      <c r="V67" s="124">
        <v>45.8</v>
      </c>
      <c r="W67" s="124">
        <v>75</v>
      </c>
      <c r="X67" s="124">
        <v>54.6</v>
      </c>
      <c r="Y67" s="124">
        <v>90</v>
      </c>
      <c r="Z67" s="124">
        <v>65.599999999999994</v>
      </c>
      <c r="AA67" s="124">
        <v>110</v>
      </c>
      <c r="AB67" s="124">
        <v>80.2</v>
      </c>
      <c r="AC67" s="124">
        <v>125</v>
      </c>
      <c r="AD67" s="124">
        <v>91.2</v>
      </c>
      <c r="AE67" s="124">
        <v>140</v>
      </c>
      <c r="AF67" s="124">
        <v>102</v>
      </c>
      <c r="AG67" s="128" t="s">
        <v>147</v>
      </c>
      <c r="AH67" s="128" t="s">
        <v>147</v>
      </c>
      <c r="AI67" s="128" t="s">
        <v>147</v>
      </c>
      <c r="AJ67" s="128" t="s">
        <v>147</v>
      </c>
      <c r="AK67" s="128" t="s">
        <v>147</v>
      </c>
      <c r="AL67" s="128" t="s">
        <v>147</v>
      </c>
      <c r="AM67" s="128" t="s">
        <v>147</v>
      </c>
      <c r="AN67" s="128" t="s">
        <v>147</v>
      </c>
      <c r="AO67" s="128" t="s">
        <v>147</v>
      </c>
      <c r="AP67" s="128" t="s">
        <v>147</v>
      </c>
      <c r="AQ67" s="128" t="s">
        <v>147</v>
      </c>
      <c r="AR67" s="128" t="s">
        <v>147</v>
      </c>
      <c r="AS67" s="128" t="s">
        <v>147</v>
      </c>
      <c r="AT67" s="129" t="s">
        <v>147</v>
      </c>
    </row>
    <row r="68" spans="1:46" x14ac:dyDescent="0.25">
      <c r="D68" s="5"/>
      <c r="E68" s="95" t="s">
        <v>121</v>
      </c>
      <c r="F68" s="106">
        <v>14</v>
      </c>
      <c r="G68" s="132">
        <v>12</v>
      </c>
      <c r="H68" s="124">
        <v>8</v>
      </c>
      <c r="I68" s="132">
        <v>16</v>
      </c>
      <c r="J68" s="124">
        <v>12</v>
      </c>
      <c r="K68" s="132">
        <v>20</v>
      </c>
      <c r="L68" s="124">
        <v>16</v>
      </c>
      <c r="M68" s="132">
        <v>25</v>
      </c>
      <c r="N68" s="124">
        <v>20.399999999999999</v>
      </c>
      <c r="O68" s="132">
        <v>32</v>
      </c>
      <c r="P68" s="124">
        <v>26.2</v>
      </c>
      <c r="Q68" s="132">
        <v>40</v>
      </c>
      <c r="R68" s="124">
        <v>32.6</v>
      </c>
      <c r="S68" s="132">
        <v>50</v>
      </c>
      <c r="T68" s="124">
        <v>40.799999999999997</v>
      </c>
      <c r="U68" s="124">
        <v>63</v>
      </c>
      <c r="V68" s="124">
        <v>51.3</v>
      </c>
      <c r="W68" s="124">
        <v>75</v>
      </c>
      <c r="X68" s="124">
        <v>61.3</v>
      </c>
      <c r="Y68" s="124">
        <v>90</v>
      </c>
      <c r="Z68" s="124">
        <v>73.599999999999994</v>
      </c>
      <c r="AA68" s="124">
        <v>110</v>
      </c>
      <c r="AB68" s="124">
        <v>90</v>
      </c>
      <c r="AC68" s="124">
        <v>125</v>
      </c>
      <c r="AD68" s="124">
        <v>102.2</v>
      </c>
      <c r="AE68" s="124">
        <v>140</v>
      </c>
      <c r="AF68" s="124">
        <v>114.6</v>
      </c>
      <c r="AG68" s="124">
        <v>160</v>
      </c>
      <c r="AH68" s="124">
        <v>130.80000000000001</v>
      </c>
      <c r="AI68" s="124">
        <v>180</v>
      </c>
      <c r="AJ68" s="124">
        <v>147.19999999999999</v>
      </c>
      <c r="AK68" s="124">
        <v>200</v>
      </c>
      <c r="AL68" s="126">
        <v>163.6</v>
      </c>
      <c r="AM68" s="128" t="s">
        <v>147</v>
      </c>
      <c r="AN68" s="128" t="s">
        <v>147</v>
      </c>
      <c r="AO68" s="128" t="s">
        <v>147</v>
      </c>
      <c r="AP68" s="128" t="s">
        <v>147</v>
      </c>
      <c r="AQ68" s="128" t="s">
        <v>147</v>
      </c>
      <c r="AR68" s="128" t="s">
        <v>147</v>
      </c>
      <c r="AS68" s="128" t="s">
        <v>147</v>
      </c>
      <c r="AT68" s="129" t="s">
        <v>147</v>
      </c>
    </row>
    <row r="69" spans="1:46" x14ac:dyDescent="0.25">
      <c r="D69" s="5"/>
      <c r="E69" s="95" t="s">
        <v>239</v>
      </c>
      <c r="F69" s="106">
        <v>15</v>
      </c>
      <c r="G69" s="132" t="s">
        <v>179</v>
      </c>
      <c r="H69" s="124">
        <v>6.4</v>
      </c>
      <c r="I69" s="132" t="s">
        <v>180</v>
      </c>
      <c r="J69" s="106">
        <v>8</v>
      </c>
      <c r="K69" s="132" t="s">
        <v>181</v>
      </c>
      <c r="L69" s="106">
        <v>10</v>
      </c>
      <c r="M69" s="132" t="s">
        <v>182</v>
      </c>
      <c r="N69" s="106">
        <v>13</v>
      </c>
      <c r="O69" s="132" t="s">
        <v>183</v>
      </c>
      <c r="P69" s="123">
        <v>16</v>
      </c>
      <c r="Q69" s="132" t="s">
        <v>184</v>
      </c>
      <c r="R69" s="123">
        <v>20</v>
      </c>
      <c r="S69" s="132" t="s">
        <v>226</v>
      </c>
      <c r="T69" s="126">
        <v>23.2</v>
      </c>
      <c r="U69" s="124" t="s">
        <v>227</v>
      </c>
      <c r="V69" s="126">
        <v>29</v>
      </c>
      <c r="W69" s="124" t="s">
        <v>228</v>
      </c>
      <c r="X69" s="126">
        <v>36.200000000000003</v>
      </c>
      <c r="Y69" s="124" t="s">
        <v>229</v>
      </c>
      <c r="Z69" s="126">
        <v>45.6</v>
      </c>
      <c r="AA69" s="124" t="s">
        <v>230</v>
      </c>
      <c r="AB69" s="126">
        <v>54.4</v>
      </c>
      <c r="AC69" s="124" t="s">
        <v>231</v>
      </c>
      <c r="AD69" s="126">
        <v>65.400000000000006</v>
      </c>
      <c r="AE69" s="124" t="s">
        <v>232</v>
      </c>
      <c r="AF69" s="126">
        <v>79.8</v>
      </c>
      <c r="AG69" s="128" t="s">
        <v>147</v>
      </c>
      <c r="AH69" s="128" t="s">
        <v>147</v>
      </c>
      <c r="AI69" s="128" t="s">
        <v>147</v>
      </c>
      <c r="AJ69" s="128" t="s">
        <v>147</v>
      </c>
      <c r="AK69" s="128" t="s">
        <v>147</v>
      </c>
      <c r="AL69" s="128" t="s">
        <v>147</v>
      </c>
      <c r="AM69" s="128" t="s">
        <v>147</v>
      </c>
      <c r="AN69" s="128" t="s">
        <v>147</v>
      </c>
      <c r="AO69" s="128" t="s">
        <v>147</v>
      </c>
      <c r="AP69" s="128" t="s">
        <v>147</v>
      </c>
      <c r="AQ69" s="128" t="s">
        <v>147</v>
      </c>
      <c r="AR69" s="128" t="s">
        <v>147</v>
      </c>
      <c r="AS69" s="128" t="s">
        <v>147</v>
      </c>
      <c r="AT69" s="129" t="s">
        <v>147</v>
      </c>
    </row>
    <row r="70" spans="1:46" x14ac:dyDescent="0.25">
      <c r="D70" s="5"/>
      <c r="E70" s="95" t="s">
        <v>240</v>
      </c>
      <c r="F70" s="106">
        <v>16</v>
      </c>
      <c r="G70" s="132" t="s">
        <v>180</v>
      </c>
      <c r="H70" s="99">
        <v>8</v>
      </c>
      <c r="I70" s="132" t="s">
        <v>181</v>
      </c>
      <c r="J70" s="99">
        <v>10</v>
      </c>
      <c r="K70" s="132" t="s">
        <v>182</v>
      </c>
      <c r="L70" s="99">
        <v>13</v>
      </c>
      <c r="M70" s="132" t="s">
        <v>183</v>
      </c>
      <c r="N70" s="123">
        <v>16</v>
      </c>
      <c r="O70" s="132" t="s">
        <v>184</v>
      </c>
      <c r="P70" s="123">
        <v>20</v>
      </c>
      <c r="Q70" s="132" t="s">
        <v>191</v>
      </c>
      <c r="R70" s="123">
        <v>26</v>
      </c>
      <c r="S70" s="132" t="s">
        <v>225</v>
      </c>
      <c r="T70" s="124">
        <v>26</v>
      </c>
      <c r="U70" s="124" t="s">
        <v>233</v>
      </c>
      <c r="V70" s="126">
        <v>32.6</v>
      </c>
      <c r="W70" s="124" t="s">
        <v>234</v>
      </c>
      <c r="X70" s="126">
        <v>40.799999999999997</v>
      </c>
      <c r="Y70" s="124" t="s">
        <v>235</v>
      </c>
      <c r="Z70" s="126">
        <v>51.4</v>
      </c>
      <c r="AA70" s="124" t="s">
        <v>236</v>
      </c>
      <c r="AB70" s="126">
        <v>61.2</v>
      </c>
      <c r="AC70" s="124" t="s">
        <v>237</v>
      </c>
      <c r="AD70" s="126">
        <v>73.599999999999994</v>
      </c>
      <c r="AE70" s="124" t="s">
        <v>238</v>
      </c>
      <c r="AF70" s="126">
        <v>90</v>
      </c>
      <c r="AG70" s="128" t="s">
        <v>147</v>
      </c>
      <c r="AH70" s="128" t="s">
        <v>147</v>
      </c>
      <c r="AI70" s="128" t="s">
        <v>147</v>
      </c>
      <c r="AJ70" s="128" t="s">
        <v>147</v>
      </c>
      <c r="AK70" s="128" t="s">
        <v>147</v>
      </c>
      <c r="AL70" s="128" t="s">
        <v>147</v>
      </c>
      <c r="AM70" s="128" t="s">
        <v>147</v>
      </c>
      <c r="AN70" s="128" t="s">
        <v>147</v>
      </c>
      <c r="AO70" s="128" t="s">
        <v>147</v>
      </c>
      <c r="AP70" s="128" t="s">
        <v>147</v>
      </c>
      <c r="AQ70" s="128" t="s">
        <v>147</v>
      </c>
      <c r="AR70" s="128" t="s">
        <v>147</v>
      </c>
      <c r="AS70" s="128" t="s">
        <v>147</v>
      </c>
      <c r="AT70" s="129" t="s">
        <v>147</v>
      </c>
    </row>
    <row r="71" spans="1:46" x14ac:dyDescent="0.25">
      <c r="D71" s="5"/>
      <c r="E71" s="95" t="s">
        <v>190</v>
      </c>
      <c r="F71" s="106">
        <v>17</v>
      </c>
      <c r="G71" s="132" t="s">
        <v>185</v>
      </c>
      <c r="H71" s="124">
        <v>10</v>
      </c>
      <c r="I71" s="132" t="s">
        <v>186</v>
      </c>
      <c r="J71" s="123">
        <v>12</v>
      </c>
      <c r="K71" s="132" t="s">
        <v>187</v>
      </c>
      <c r="L71" s="123">
        <v>14</v>
      </c>
      <c r="M71" s="132" t="s">
        <v>188</v>
      </c>
      <c r="N71" s="123">
        <v>15.5</v>
      </c>
      <c r="O71" s="132" t="s">
        <v>189</v>
      </c>
      <c r="P71" s="123">
        <v>20</v>
      </c>
      <c r="Q71" s="132" t="s">
        <v>191</v>
      </c>
      <c r="R71" s="123">
        <v>26</v>
      </c>
      <c r="S71" s="132" t="s">
        <v>192</v>
      </c>
      <c r="T71" s="123">
        <v>32</v>
      </c>
      <c r="U71" s="123" t="s">
        <v>193</v>
      </c>
      <c r="V71" s="123">
        <v>41</v>
      </c>
      <c r="W71" s="123" t="s">
        <v>194</v>
      </c>
      <c r="X71" s="123">
        <v>51</v>
      </c>
      <c r="Y71" s="128" t="s">
        <v>147</v>
      </c>
      <c r="Z71" s="128" t="s">
        <v>147</v>
      </c>
      <c r="AA71" s="128" t="s">
        <v>147</v>
      </c>
      <c r="AB71" s="128" t="s">
        <v>147</v>
      </c>
      <c r="AC71" s="128" t="s">
        <v>147</v>
      </c>
      <c r="AD71" s="128" t="s">
        <v>147</v>
      </c>
      <c r="AE71" s="128" t="s">
        <v>147</v>
      </c>
      <c r="AF71" s="128" t="s">
        <v>147</v>
      </c>
      <c r="AG71" s="128" t="s">
        <v>147</v>
      </c>
      <c r="AH71" s="128" t="s">
        <v>147</v>
      </c>
      <c r="AI71" s="128" t="s">
        <v>147</v>
      </c>
      <c r="AJ71" s="128" t="s">
        <v>147</v>
      </c>
      <c r="AK71" s="128" t="s">
        <v>147</v>
      </c>
      <c r="AL71" s="128" t="s">
        <v>147</v>
      </c>
      <c r="AM71" s="128" t="s">
        <v>147</v>
      </c>
      <c r="AN71" s="128" t="s">
        <v>147</v>
      </c>
      <c r="AO71" s="128" t="s">
        <v>147</v>
      </c>
      <c r="AP71" s="128" t="s">
        <v>147</v>
      </c>
      <c r="AQ71" s="128" t="s">
        <v>147</v>
      </c>
      <c r="AR71" s="128" t="s">
        <v>147</v>
      </c>
      <c r="AS71" s="128" t="s">
        <v>147</v>
      </c>
      <c r="AT71" s="129" t="s">
        <v>147</v>
      </c>
    </row>
    <row r="72" spans="1:46" x14ac:dyDescent="0.25">
      <c r="D72" s="5"/>
      <c r="E72" s="95" t="s">
        <v>34</v>
      </c>
      <c r="F72" s="106">
        <v>18</v>
      </c>
      <c r="G72" s="131" t="s">
        <v>147</v>
      </c>
      <c r="H72" s="126" t="s">
        <v>147</v>
      </c>
      <c r="I72" s="131" t="s">
        <v>147</v>
      </c>
      <c r="J72" s="126" t="s">
        <v>147</v>
      </c>
      <c r="K72" s="131" t="s">
        <v>147</v>
      </c>
      <c r="L72" s="126" t="s">
        <v>147</v>
      </c>
      <c r="M72" s="131" t="s">
        <v>147</v>
      </c>
      <c r="N72" s="126" t="s">
        <v>147</v>
      </c>
      <c r="O72" s="131" t="s">
        <v>147</v>
      </c>
      <c r="P72" s="126" t="s">
        <v>147</v>
      </c>
      <c r="Q72" s="131" t="s">
        <v>147</v>
      </c>
      <c r="R72" s="126" t="s">
        <v>147</v>
      </c>
      <c r="S72" s="131" t="s">
        <v>147</v>
      </c>
      <c r="T72" s="126" t="s">
        <v>147</v>
      </c>
      <c r="U72" s="126" t="s">
        <v>147</v>
      </c>
      <c r="V72" s="126" t="s">
        <v>147</v>
      </c>
      <c r="W72" s="126" t="s">
        <v>147</v>
      </c>
      <c r="X72" s="126" t="s">
        <v>147</v>
      </c>
      <c r="Y72" s="126" t="s">
        <v>147</v>
      </c>
      <c r="Z72" s="126" t="s">
        <v>147</v>
      </c>
      <c r="AA72" s="126" t="s">
        <v>147</v>
      </c>
      <c r="AB72" s="126" t="s">
        <v>147</v>
      </c>
      <c r="AC72" s="126" t="s">
        <v>147</v>
      </c>
      <c r="AD72" s="126" t="s">
        <v>147</v>
      </c>
      <c r="AE72" s="126" t="s">
        <v>147</v>
      </c>
      <c r="AF72" s="126" t="s">
        <v>147</v>
      </c>
      <c r="AG72" s="126" t="s">
        <v>147</v>
      </c>
      <c r="AH72" s="126" t="s">
        <v>147</v>
      </c>
      <c r="AI72" s="126" t="s">
        <v>147</v>
      </c>
      <c r="AJ72" s="126" t="s">
        <v>147</v>
      </c>
      <c r="AK72" s="126" t="s">
        <v>147</v>
      </c>
      <c r="AL72" s="126" t="s">
        <v>147</v>
      </c>
      <c r="AM72" s="126" t="s">
        <v>147</v>
      </c>
      <c r="AN72" s="126" t="s">
        <v>147</v>
      </c>
      <c r="AO72" s="126" t="s">
        <v>147</v>
      </c>
      <c r="AP72" s="126" t="s">
        <v>147</v>
      </c>
      <c r="AQ72" s="126" t="s">
        <v>147</v>
      </c>
      <c r="AR72" s="126" t="s">
        <v>147</v>
      </c>
      <c r="AS72" s="126" t="s">
        <v>147</v>
      </c>
      <c r="AT72" s="127" t="s">
        <v>147</v>
      </c>
    </row>
    <row r="73" spans="1:46" x14ac:dyDescent="0.25">
      <c r="D73" s="5"/>
      <c r="E73" s="95" t="s">
        <v>35</v>
      </c>
      <c r="F73" s="106">
        <v>19</v>
      </c>
      <c r="G73" s="131" t="s">
        <v>147</v>
      </c>
      <c r="H73" s="126" t="s">
        <v>147</v>
      </c>
      <c r="I73" s="131" t="s">
        <v>147</v>
      </c>
      <c r="J73" s="126" t="s">
        <v>147</v>
      </c>
      <c r="K73" s="131" t="s">
        <v>147</v>
      </c>
      <c r="L73" s="126" t="s">
        <v>147</v>
      </c>
      <c r="M73" s="131" t="s">
        <v>147</v>
      </c>
      <c r="N73" s="126" t="s">
        <v>147</v>
      </c>
      <c r="O73" s="131" t="s">
        <v>147</v>
      </c>
      <c r="P73" s="126" t="s">
        <v>147</v>
      </c>
      <c r="Q73" s="131" t="s">
        <v>147</v>
      </c>
      <c r="R73" s="126" t="s">
        <v>147</v>
      </c>
      <c r="S73" s="131" t="s">
        <v>147</v>
      </c>
      <c r="T73" s="126" t="s">
        <v>147</v>
      </c>
      <c r="U73" s="126" t="s">
        <v>147</v>
      </c>
      <c r="V73" s="126" t="s">
        <v>147</v>
      </c>
      <c r="W73" s="126" t="s">
        <v>147</v>
      </c>
      <c r="X73" s="126" t="s">
        <v>147</v>
      </c>
      <c r="Y73" s="126" t="s">
        <v>147</v>
      </c>
      <c r="Z73" s="126" t="s">
        <v>147</v>
      </c>
      <c r="AA73" s="126" t="s">
        <v>147</v>
      </c>
      <c r="AB73" s="126" t="s">
        <v>147</v>
      </c>
      <c r="AC73" s="126" t="s">
        <v>147</v>
      </c>
      <c r="AD73" s="126" t="s">
        <v>147</v>
      </c>
      <c r="AE73" s="126" t="s">
        <v>147</v>
      </c>
      <c r="AF73" s="126" t="s">
        <v>147</v>
      </c>
      <c r="AG73" s="126" t="s">
        <v>147</v>
      </c>
      <c r="AH73" s="126" t="s">
        <v>147</v>
      </c>
      <c r="AI73" s="126" t="s">
        <v>147</v>
      </c>
      <c r="AJ73" s="126" t="s">
        <v>147</v>
      </c>
      <c r="AK73" s="126" t="s">
        <v>147</v>
      </c>
      <c r="AL73" s="126" t="s">
        <v>147</v>
      </c>
      <c r="AM73" s="126" t="s">
        <v>147</v>
      </c>
      <c r="AN73" s="126" t="s">
        <v>147</v>
      </c>
      <c r="AO73" s="126" t="s">
        <v>147</v>
      </c>
      <c r="AP73" s="126" t="s">
        <v>147</v>
      </c>
      <c r="AQ73" s="126" t="s">
        <v>147</v>
      </c>
      <c r="AR73" s="126" t="s">
        <v>147</v>
      </c>
      <c r="AS73" s="126" t="s">
        <v>147</v>
      </c>
      <c r="AT73" s="127" t="s">
        <v>147</v>
      </c>
    </row>
    <row r="74" spans="1:46" ht="13" thickBot="1" x14ac:dyDescent="0.3">
      <c r="D74" s="5"/>
      <c r="E74" s="107" t="s">
        <v>36</v>
      </c>
      <c r="F74" s="106">
        <v>20</v>
      </c>
      <c r="G74" s="131" t="s">
        <v>147</v>
      </c>
      <c r="H74" s="126" t="s">
        <v>147</v>
      </c>
      <c r="I74" s="131" t="s">
        <v>147</v>
      </c>
      <c r="J74" s="126" t="s">
        <v>147</v>
      </c>
      <c r="K74" s="131" t="s">
        <v>147</v>
      </c>
      <c r="L74" s="126" t="s">
        <v>147</v>
      </c>
      <c r="M74" s="131" t="s">
        <v>147</v>
      </c>
      <c r="N74" s="126" t="s">
        <v>147</v>
      </c>
      <c r="O74" s="131" t="s">
        <v>147</v>
      </c>
      <c r="P74" s="126" t="s">
        <v>147</v>
      </c>
      <c r="Q74" s="131" t="s">
        <v>147</v>
      </c>
      <c r="R74" s="126" t="s">
        <v>147</v>
      </c>
      <c r="S74" s="131" t="s">
        <v>147</v>
      </c>
      <c r="T74" s="126" t="s">
        <v>147</v>
      </c>
      <c r="U74" s="126" t="s">
        <v>147</v>
      </c>
      <c r="V74" s="126" t="s">
        <v>147</v>
      </c>
      <c r="W74" s="126" t="s">
        <v>147</v>
      </c>
      <c r="X74" s="126" t="s">
        <v>147</v>
      </c>
      <c r="Y74" s="126" t="s">
        <v>147</v>
      </c>
      <c r="Z74" s="126" t="s">
        <v>147</v>
      </c>
      <c r="AA74" s="126" t="s">
        <v>147</v>
      </c>
      <c r="AB74" s="126" t="s">
        <v>147</v>
      </c>
      <c r="AC74" s="126" t="s">
        <v>147</v>
      </c>
      <c r="AD74" s="126" t="s">
        <v>147</v>
      </c>
      <c r="AE74" s="126" t="s">
        <v>147</v>
      </c>
      <c r="AF74" s="126" t="s">
        <v>147</v>
      </c>
      <c r="AG74" s="126" t="s">
        <v>147</v>
      </c>
      <c r="AH74" s="126" t="s">
        <v>147</v>
      </c>
      <c r="AI74" s="126" t="s">
        <v>147</v>
      </c>
      <c r="AJ74" s="126" t="s">
        <v>147</v>
      </c>
      <c r="AK74" s="126" t="s">
        <v>147</v>
      </c>
      <c r="AL74" s="126" t="s">
        <v>147</v>
      </c>
      <c r="AM74" s="126" t="s">
        <v>147</v>
      </c>
      <c r="AN74" s="126" t="s">
        <v>147</v>
      </c>
      <c r="AO74" s="126" t="s">
        <v>147</v>
      </c>
      <c r="AP74" s="126" t="s">
        <v>147</v>
      </c>
      <c r="AQ74" s="126" t="s">
        <v>147</v>
      </c>
      <c r="AR74" s="126" t="s">
        <v>147</v>
      </c>
      <c r="AS74" s="126" t="s">
        <v>147</v>
      </c>
      <c r="AT74" s="127" t="s">
        <v>147</v>
      </c>
    </row>
    <row r="76" spans="1:46" x14ac:dyDescent="0.25">
      <c r="E76" s="2"/>
      <c r="F76" s="2"/>
      <c r="G76" s="2"/>
      <c r="H76" s="2"/>
    </row>
    <row r="78" spans="1:46" x14ac:dyDescent="0.25">
      <c r="U78">
        <f>90-2*8.2</f>
        <v>73.599999999999994</v>
      </c>
    </row>
  </sheetData>
  <sheetProtection selectLockedCells="1" selectUnlockedCells="1"/>
  <mergeCells count="8">
    <mergeCell ref="E51:G51"/>
    <mergeCell ref="E39:G39"/>
    <mergeCell ref="G3:I3"/>
    <mergeCell ref="J3:L3"/>
    <mergeCell ref="E1:L2"/>
    <mergeCell ref="A1:C1"/>
    <mergeCell ref="A2:C2"/>
    <mergeCell ref="E50:G50"/>
  </mergeCells>
  <phoneticPr fontId="3" type="noConversion"/>
  <pageMargins left="0.75" right="0.75" top="1" bottom="1" header="0" footer="0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3"/>
  <dimension ref="A2:I41"/>
  <sheetViews>
    <sheetView showGridLines="0" zoomScale="160" zoomScaleNormal="160" workbookViewId="0">
      <selection activeCell="C20" sqref="C20"/>
    </sheetView>
  </sheetViews>
  <sheetFormatPr defaultRowHeight="12.5" x14ac:dyDescent="0.25"/>
  <cols>
    <col min="3" max="3" width="12.453125" bestFit="1" customWidth="1"/>
  </cols>
  <sheetData>
    <row r="2" spans="2:7" ht="13" x14ac:dyDescent="0.3">
      <c r="B2" s="1" t="s">
        <v>16</v>
      </c>
    </row>
    <row r="3" spans="2:7" ht="13" x14ac:dyDescent="0.3">
      <c r="B3" s="1" t="s">
        <v>18</v>
      </c>
    </row>
    <row r="5" spans="2:7" x14ac:dyDescent="0.25">
      <c r="B5" t="s">
        <v>13</v>
      </c>
      <c r="G5" t="s">
        <v>11</v>
      </c>
    </row>
    <row r="10" spans="2:7" x14ac:dyDescent="0.25">
      <c r="G10" t="s">
        <v>12</v>
      </c>
    </row>
    <row r="17" spans="1:9" ht="13" x14ac:dyDescent="0.3">
      <c r="B17" s="1" t="s">
        <v>17</v>
      </c>
    </row>
    <row r="18" spans="1:9" x14ac:dyDescent="0.25">
      <c r="B18" t="s">
        <v>1</v>
      </c>
      <c r="C18" s="3">
        <f>Tabeller!A45</f>
        <v>0.15</v>
      </c>
    </row>
    <row r="19" spans="1:9" x14ac:dyDescent="0.25">
      <c r="B19" t="s">
        <v>0</v>
      </c>
      <c r="C19" s="3">
        <f>Beregning!C27</f>
        <v>400</v>
      </c>
    </row>
    <row r="20" spans="1:9" x14ac:dyDescent="0.25">
      <c r="A20" s="4"/>
      <c r="B20" t="s">
        <v>2</v>
      </c>
      <c r="C20" s="3">
        <f>Tabeller!A66</f>
        <v>0</v>
      </c>
    </row>
    <row r="22" spans="1:9" ht="13" x14ac:dyDescent="0.3">
      <c r="B22" s="42" t="s">
        <v>19</v>
      </c>
      <c r="C22" s="43"/>
      <c r="D22" s="44" t="s">
        <v>3</v>
      </c>
      <c r="E22" s="45" t="s">
        <v>10</v>
      </c>
    </row>
    <row r="23" spans="1:9" ht="13" x14ac:dyDescent="0.3">
      <c r="B23" s="46"/>
      <c r="C23" s="47" t="s">
        <v>11</v>
      </c>
      <c r="D23" s="5" t="e">
        <f>0.001375*(1+(2000*$C$18/$C$19+10^6/$C$20)^(1/3))</f>
        <v>#DIV/0!</v>
      </c>
      <c r="E23" s="48" t="e">
        <f>D23*4</f>
        <v>#DIV/0!</v>
      </c>
    </row>
    <row r="24" spans="1:9" ht="13" x14ac:dyDescent="0.3">
      <c r="B24" s="46"/>
      <c r="C24" s="47" t="s">
        <v>12</v>
      </c>
      <c r="D24" s="5" t="e">
        <f>1/(-4*LOG($C$18/3.71/$C$19+5.1286/($C$20)^0.89))^2</f>
        <v>#DIV/0!</v>
      </c>
      <c r="E24" s="48" t="e">
        <f>D24*4</f>
        <v>#DIV/0!</v>
      </c>
    </row>
    <row r="25" spans="1:9" ht="13" x14ac:dyDescent="0.3">
      <c r="B25" s="46"/>
      <c r="C25" s="47" t="s">
        <v>15</v>
      </c>
      <c r="D25" s="5" t="e">
        <f>B41</f>
        <v>#DIV/0!</v>
      </c>
      <c r="E25" s="41" t="e">
        <f>D25*4</f>
        <v>#DIV/0!</v>
      </c>
    </row>
    <row r="26" spans="1:9" ht="13" x14ac:dyDescent="0.3">
      <c r="B26" s="49"/>
      <c r="C26" s="52" t="s">
        <v>68</v>
      </c>
      <c r="D26" s="50"/>
      <c r="E26" s="51" t="e">
        <f>(-2*LOG((C18/(C19*3.71))+(5-0.1*LOG(C18/C19))*C20^-0.9))^-2</f>
        <v>#DIV/0!</v>
      </c>
    </row>
    <row r="27" spans="1:9" x14ac:dyDescent="0.25">
      <c r="B27" t="s">
        <v>14</v>
      </c>
    </row>
    <row r="28" spans="1:9" x14ac:dyDescent="0.25">
      <c r="B28" t="s">
        <v>6</v>
      </c>
      <c r="C28" t="s">
        <v>4</v>
      </c>
      <c r="D28" t="s">
        <v>5</v>
      </c>
      <c r="F28" t="s">
        <v>7</v>
      </c>
      <c r="G28" t="s">
        <v>8</v>
      </c>
      <c r="H28" t="s">
        <v>9</v>
      </c>
      <c r="I28" t="s">
        <v>10</v>
      </c>
    </row>
    <row r="29" spans="1:9" x14ac:dyDescent="0.25">
      <c r="A29">
        <v>1</v>
      </c>
      <c r="B29" t="e">
        <f>$D$23</f>
        <v>#DIV/0!</v>
      </c>
      <c r="C29">
        <f t="shared" ref="C29:C41" si="0">$C$18/3.71/$C$19</f>
        <v>1.0107816711590295E-4</v>
      </c>
      <c r="D29" t="e">
        <f t="shared" ref="D29:D41" si="1">1.26/$C$20/SQRT(B29)</f>
        <v>#DIV/0!</v>
      </c>
      <c r="F29" t="e">
        <f t="shared" ref="F29:F41" si="2">1/SQRT(B29)</f>
        <v>#DIV/0!</v>
      </c>
      <c r="G29" t="e">
        <f t="shared" ref="G29:G41" si="3">-4*LOG(C29+D29)</f>
        <v>#DIV/0!</v>
      </c>
      <c r="H29" t="e">
        <f t="shared" ref="H29:H41" si="4">F29-G29</f>
        <v>#DIV/0!</v>
      </c>
      <c r="I29" t="e">
        <f>B29*4</f>
        <v>#DIV/0!</v>
      </c>
    </row>
    <row r="30" spans="1:9" x14ac:dyDescent="0.25">
      <c r="A30">
        <v>2</v>
      </c>
      <c r="B30" t="e">
        <f t="shared" ref="B30:B35" si="5">1/(-4*LOG(C29+D29))^2</f>
        <v>#DIV/0!</v>
      </c>
      <c r="C30">
        <f t="shared" si="0"/>
        <v>1.0107816711590295E-4</v>
      </c>
      <c r="D30" t="e">
        <f t="shared" si="1"/>
        <v>#DIV/0!</v>
      </c>
      <c r="F30" t="e">
        <f t="shared" si="2"/>
        <v>#DIV/0!</v>
      </c>
      <c r="G30" t="e">
        <f t="shared" si="3"/>
        <v>#DIV/0!</v>
      </c>
      <c r="H30" t="e">
        <f t="shared" si="4"/>
        <v>#DIV/0!</v>
      </c>
      <c r="I30" t="e">
        <f t="shared" ref="I30:I41" si="6">B30*4</f>
        <v>#DIV/0!</v>
      </c>
    </row>
    <row r="31" spans="1:9" x14ac:dyDescent="0.25">
      <c r="A31">
        <v>3</v>
      </c>
      <c r="B31" t="e">
        <f t="shared" si="5"/>
        <v>#DIV/0!</v>
      </c>
      <c r="C31">
        <f t="shared" si="0"/>
        <v>1.0107816711590295E-4</v>
      </c>
      <c r="D31" t="e">
        <f t="shared" si="1"/>
        <v>#DIV/0!</v>
      </c>
      <c r="F31" t="e">
        <f t="shared" si="2"/>
        <v>#DIV/0!</v>
      </c>
      <c r="G31" t="e">
        <f t="shared" si="3"/>
        <v>#DIV/0!</v>
      </c>
      <c r="H31" t="e">
        <f t="shared" si="4"/>
        <v>#DIV/0!</v>
      </c>
      <c r="I31" t="e">
        <f t="shared" si="6"/>
        <v>#DIV/0!</v>
      </c>
    </row>
    <row r="32" spans="1:9" x14ac:dyDescent="0.25">
      <c r="A32">
        <v>4</v>
      </c>
      <c r="B32" t="e">
        <f t="shared" si="5"/>
        <v>#DIV/0!</v>
      </c>
      <c r="C32">
        <f t="shared" si="0"/>
        <v>1.0107816711590295E-4</v>
      </c>
      <c r="D32" t="e">
        <f t="shared" si="1"/>
        <v>#DIV/0!</v>
      </c>
      <c r="F32" t="e">
        <f t="shared" si="2"/>
        <v>#DIV/0!</v>
      </c>
      <c r="G32" t="e">
        <f t="shared" si="3"/>
        <v>#DIV/0!</v>
      </c>
      <c r="H32" t="e">
        <f t="shared" si="4"/>
        <v>#DIV/0!</v>
      </c>
      <c r="I32" t="e">
        <f t="shared" si="6"/>
        <v>#DIV/0!</v>
      </c>
    </row>
    <row r="33" spans="1:9" x14ac:dyDescent="0.25">
      <c r="A33">
        <v>5</v>
      </c>
      <c r="B33" t="e">
        <f t="shared" si="5"/>
        <v>#DIV/0!</v>
      </c>
      <c r="C33">
        <f t="shared" si="0"/>
        <v>1.0107816711590295E-4</v>
      </c>
      <c r="D33" t="e">
        <f t="shared" si="1"/>
        <v>#DIV/0!</v>
      </c>
      <c r="F33" t="e">
        <f t="shared" si="2"/>
        <v>#DIV/0!</v>
      </c>
      <c r="G33" t="e">
        <f t="shared" si="3"/>
        <v>#DIV/0!</v>
      </c>
      <c r="H33" t="e">
        <f t="shared" si="4"/>
        <v>#DIV/0!</v>
      </c>
      <c r="I33" t="e">
        <f t="shared" si="6"/>
        <v>#DIV/0!</v>
      </c>
    </row>
    <row r="34" spans="1:9" x14ac:dyDescent="0.25">
      <c r="A34">
        <v>6</v>
      </c>
      <c r="B34" t="e">
        <f t="shared" si="5"/>
        <v>#DIV/0!</v>
      </c>
      <c r="C34">
        <f t="shared" si="0"/>
        <v>1.0107816711590295E-4</v>
      </c>
      <c r="D34" t="e">
        <f t="shared" si="1"/>
        <v>#DIV/0!</v>
      </c>
      <c r="F34" t="e">
        <f t="shared" si="2"/>
        <v>#DIV/0!</v>
      </c>
      <c r="G34" t="e">
        <f t="shared" si="3"/>
        <v>#DIV/0!</v>
      </c>
      <c r="H34" t="e">
        <f t="shared" si="4"/>
        <v>#DIV/0!</v>
      </c>
      <c r="I34" t="e">
        <f t="shared" si="6"/>
        <v>#DIV/0!</v>
      </c>
    </row>
    <row r="35" spans="1:9" x14ac:dyDescent="0.25">
      <c r="A35">
        <v>7</v>
      </c>
      <c r="B35" t="e">
        <f t="shared" si="5"/>
        <v>#DIV/0!</v>
      </c>
      <c r="C35">
        <f t="shared" si="0"/>
        <v>1.0107816711590295E-4</v>
      </c>
      <c r="D35" t="e">
        <f t="shared" si="1"/>
        <v>#DIV/0!</v>
      </c>
      <c r="F35" t="e">
        <f t="shared" si="2"/>
        <v>#DIV/0!</v>
      </c>
      <c r="G35" t="e">
        <f t="shared" si="3"/>
        <v>#DIV/0!</v>
      </c>
      <c r="H35" t="e">
        <f t="shared" si="4"/>
        <v>#DIV/0!</v>
      </c>
      <c r="I35" t="e">
        <f t="shared" si="6"/>
        <v>#DIV/0!</v>
      </c>
    </row>
    <row r="36" spans="1:9" x14ac:dyDescent="0.25">
      <c r="A36">
        <v>8</v>
      </c>
      <c r="B36" t="e">
        <f t="shared" ref="B36:B41" si="7">1/(-4*LOG(C35+D35))^2</f>
        <v>#DIV/0!</v>
      </c>
      <c r="C36">
        <f t="shared" si="0"/>
        <v>1.0107816711590295E-4</v>
      </c>
      <c r="D36" t="e">
        <f t="shared" si="1"/>
        <v>#DIV/0!</v>
      </c>
      <c r="F36" t="e">
        <f t="shared" si="2"/>
        <v>#DIV/0!</v>
      </c>
      <c r="G36" t="e">
        <f t="shared" si="3"/>
        <v>#DIV/0!</v>
      </c>
      <c r="H36" t="e">
        <f t="shared" si="4"/>
        <v>#DIV/0!</v>
      </c>
      <c r="I36" t="e">
        <f t="shared" si="6"/>
        <v>#DIV/0!</v>
      </c>
    </row>
    <row r="37" spans="1:9" x14ac:dyDescent="0.25">
      <c r="A37">
        <v>9</v>
      </c>
      <c r="B37" t="e">
        <f t="shared" si="7"/>
        <v>#DIV/0!</v>
      </c>
      <c r="C37">
        <f t="shared" si="0"/>
        <v>1.0107816711590295E-4</v>
      </c>
      <c r="D37" t="e">
        <f t="shared" si="1"/>
        <v>#DIV/0!</v>
      </c>
      <c r="F37" t="e">
        <f t="shared" si="2"/>
        <v>#DIV/0!</v>
      </c>
      <c r="G37" t="e">
        <f t="shared" si="3"/>
        <v>#DIV/0!</v>
      </c>
      <c r="H37" t="e">
        <f t="shared" si="4"/>
        <v>#DIV/0!</v>
      </c>
      <c r="I37" t="e">
        <f t="shared" si="6"/>
        <v>#DIV/0!</v>
      </c>
    </row>
    <row r="38" spans="1:9" x14ac:dyDescent="0.25">
      <c r="A38">
        <v>10</v>
      </c>
      <c r="B38" t="e">
        <f t="shared" si="7"/>
        <v>#DIV/0!</v>
      </c>
      <c r="C38">
        <f t="shared" si="0"/>
        <v>1.0107816711590295E-4</v>
      </c>
      <c r="D38" t="e">
        <f t="shared" si="1"/>
        <v>#DIV/0!</v>
      </c>
      <c r="F38" t="e">
        <f t="shared" si="2"/>
        <v>#DIV/0!</v>
      </c>
      <c r="G38" t="e">
        <f t="shared" si="3"/>
        <v>#DIV/0!</v>
      </c>
      <c r="H38" t="e">
        <f t="shared" si="4"/>
        <v>#DIV/0!</v>
      </c>
      <c r="I38" t="e">
        <f t="shared" si="6"/>
        <v>#DIV/0!</v>
      </c>
    </row>
    <row r="39" spans="1:9" x14ac:dyDescent="0.25">
      <c r="A39">
        <v>11</v>
      </c>
      <c r="B39" t="e">
        <f t="shared" si="7"/>
        <v>#DIV/0!</v>
      </c>
      <c r="C39">
        <f t="shared" si="0"/>
        <v>1.0107816711590295E-4</v>
      </c>
      <c r="D39" t="e">
        <f t="shared" si="1"/>
        <v>#DIV/0!</v>
      </c>
      <c r="F39" t="e">
        <f t="shared" si="2"/>
        <v>#DIV/0!</v>
      </c>
      <c r="G39" t="e">
        <f t="shared" si="3"/>
        <v>#DIV/0!</v>
      </c>
      <c r="H39" t="e">
        <f t="shared" si="4"/>
        <v>#DIV/0!</v>
      </c>
      <c r="I39" t="e">
        <f t="shared" si="6"/>
        <v>#DIV/0!</v>
      </c>
    </row>
    <row r="40" spans="1:9" x14ac:dyDescent="0.25">
      <c r="A40">
        <v>12</v>
      </c>
      <c r="B40" t="e">
        <f t="shared" si="7"/>
        <v>#DIV/0!</v>
      </c>
      <c r="C40">
        <f t="shared" si="0"/>
        <v>1.0107816711590295E-4</v>
      </c>
      <c r="D40" t="e">
        <f t="shared" si="1"/>
        <v>#DIV/0!</v>
      </c>
      <c r="F40" t="e">
        <f t="shared" si="2"/>
        <v>#DIV/0!</v>
      </c>
      <c r="G40" t="e">
        <f t="shared" si="3"/>
        <v>#DIV/0!</v>
      </c>
      <c r="H40" t="e">
        <f t="shared" si="4"/>
        <v>#DIV/0!</v>
      </c>
      <c r="I40" t="e">
        <f t="shared" si="6"/>
        <v>#DIV/0!</v>
      </c>
    </row>
    <row r="41" spans="1:9" x14ac:dyDescent="0.25">
      <c r="A41">
        <v>13</v>
      </c>
      <c r="B41" t="e">
        <f t="shared" si="7"/>
        <v>#DIV/0!</v>
      </c>
      <c r="C41">
        <f t="shared" si="0"/>
        <v>1.0107816711590295E-4</v>
      </c>
      <c r="D41" t="e">
        <f t="shared" si="1"/>
        <v>#DIV/0!</v>
      </c>
      <c r="F41" t="e">
        <f t="shared" si="2"/>
        <v>#DIV/0!</v>
      </c>
      <c r="G41" t="e">
        <f t="shared" si="3"/>
        <v>#DIV/0!</v>
      </c>
      <c r="H41" t="e">
        <f t="shared" si="4"/>
        <v>#DIV/0!</v>
      </c>
      <c r="I41" t="e">
        <f t="shared" si="6"/>
        <v>#DIV/0!</v>
      </c>
    </row>
  </sheetData>
  <sheetProtection selectLockedCells="1" selectUnlockedCells="1"/>
  <phoneticPr fontId="0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1025" r:id="rId4">
          <objectPr defaultSize="0" autoPict="0" r:id="rId5">
            <anchor moveWithCells="1" sizeWithCells="1">
              <from>
                <xdr:col>1</xdr:col>
                <xdr:colOff>0</xdr:colOff>
                <xdr:row>5</xdr:row>
                <xdr:rowOff>0</xdr:rowOff>
              </from>
              <to>
                <xdr:col>4</xdr:col>
                <xdr:colOff>222250</xdr:colOff>
                <xdr:row>8</xdr:row>
                <xdr:rowOff>50800</xdr:rowOff>
              </to>
            </anchor>
          </objectPr>
        </oleObject>
      </mc:Choice>
      <mc:Fallback>
        <oleObject progId="Equation.3" shapeId="1025" r:id="rId4"/>
      </mc:Fallback>
    </mc:AlternateContent>
    <mc:AlternateContent xmlns:mc="http://schemas.openxmlformats.org/markup-compatibility/2006">
      <mc:Choice Requires="x14">
        <oleObject progId="Equation.3" shapeId="1026" r:id="rId6">
          <objectPr defaultSize="0" autoPict="0" r:id="rId7">
            <anchor moveWithCells="1" sizeWithCells="1">
              <from>
                <xdr:col>1</xdr:col>
                <xdr:colOff>0</xdr:colOff>
                <xdr:row>9</xdr:row>
                <xdr:rowOff>0</xdr:rowOff>
              </from>
              <to>
                <xdr:col>5</xdr:col>
                <xdr:colOff>31750</xdr:colOff>
                <xdr:row>12</xdr:row>
                <xdr:rowOff>95250</xdr:rowOff>
              </to>
            </anchor>
          </objectPr>
        </oleObject>
      </mc:Choice>
      <mc:Fallback>
        <oleObject progId="Equation.3" shapeId="1026" r:id="rId6"/>
      </mc:Fallback>
    </mc:AlternateContent>
    <mc:AlternateContent xmlns:mc="http://schemas.openxmlformats.org/markup-compatibility/2006">
      <mc:Choice Requires="x14">
        <oleObject progId="Equation.3" shapeId="1027" r:id="rId8">
          <objectPr defaultSize="0" autoPict="0" r:id="rId9">
            <anchor moveWithCells="1" sizeWithCells="1">
              <from>
                <xdr:col>1</xdr:col>
                <xdr:colOff>31750</xdr:colOff>
                <xdr:row>12</xdr:row>
                <xdr:rowOff>127000</xdr:rowOff>
              </from>
              <to>
                <xdr:col>3</xdr:col>
                <xdr:colOff>304800</xdr:colOff>
                <xdr:row>15</xdr:row>
                <xdr:rowOff>88900</xdr:rowOff>
              </to>
            </anchor>
          </objectPr>
        </oleObject>
      </mc:Choice>
      <mc:Fallback>
        <oleObject progId="Equation.3" shapeId="1027" r:id="rId8"/>
      </mc:Fallback>
    </mc:AlternateContent>
    <mc:AlternateContent xmlns:mc="http://schemas.openxmlformats.org/markup-compatibility/2006">
      <mc:Choice Requires="x14">
        <oleObject progId="Equation.3" shapeId="1028" r:id="rId10">
          <objectPr defaultSize="0" autoPict="0" r:id="rId11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9</xdr:col>
                <xdr:colOff>457200</xdr:colOff>
                <xdr:row>8</xdr:row>
                <xdr:rowOff>76200</xdr:rowOff>
              </to>
            </anchor>
          </objectPr>
        </oleObject>
      </mc:Choice>
      <mc:Fallback>
        <oleObject progId="Equation.3" shapeId="1028" r:id="rId10"/>
      </mc:Fallback>
    </mc:AlternateContent>
    <mc:AlternateContent xmlns:mc="http://schemas.openxmlformats.org/markup-compatibility/2006">
      <mc:Choice Requires="x14">
        <oleObject progId="Equation.3" shapeId="1029" r:id="rId12">
          <objectPr defaultSize="0" autoPict="0" r:id="rId13">
            <anchor moveWithCells="1" sizeWithCells="1">
              <from>
                <xdr:col>6</xdr:col>
                <xdr:colOff>0</xdr:colOff>
                <xdr:row>10</xdr:row>
                <xdr:rowOff>0</xdr:rowOff>
              </from>
              <to>
                <xdr:col>9</xdr:col>
                <xdr:colOff>190500</xdr:colOff>
                <xdr:row>12</xdr:row>
                <xdr:rowOff>133350</xdr:rowOff>
              </to>
            </anchor>
          </objectPr>
        </oleObject>
      </mc:Choice>
      <mc:Fallback>
        <oleObject progId="Equation.3" shapeId="1029" r:id="rId12"/>
      </mc:Fallback>
    </mc:AlternateContent>
    <mc:AlternateContent xmlns:mc="http://schemas.openxmlformats.org/markup-compatibility/2006">
      <mc:Choice Requires="x14">
        <oleObject progId="Equation.3" shapeId="1030" r:id="rId14">
          <objectPr defaultSize="0" autoPict="0" r:id="rId15">
            <anchor moveWithCells="1" sizeWithCells="1">
              <from>
                <xdr:col>6</xdr:col>
                <xdr:colOff>0</xdr:colOff>
                <xdr:row>13</xdr:row>
                <xdr:rowOff>0</xdr:rowOff>
              </from>
              <to>
                <xdr:col>9</xdr:col>
                <xdr:colOff>450850</xdr:colOff>
                <xdr:row>16</xdr:row>
                <xdr:rowOff>12700</xdr:rowOff>
              </to>
            </anchor>
          </objectPr>
        </oleObject>
      </mc:Choice>
      <mc:Fallback>
        <oleObject progId="Equation.3" shapeId="1030" r:id="rId14"/>
      </mc:Fallback>
    </mc:AlternateContent>
  </oleObjec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5"/>
  <dimension ref="A1:I103"/>
  <sheetViews>
    <sheetView zoomScale="145" zoomScaleNormal="145" workbookViewId="0">
      <selection activeCell="D3" sqref="D3"/>
    </sheetView>
  </sheetViews>
  <sheetFormatPr defaultRowHeight="12.5" x14ac:dyDescent="0.25"/>
  <cols>
    <col min="1" max="1" width="14.453125" customWidth="1"/>
    <col min="2" max="2" width="13.453125" customWidth="1"/>
    <col min="3" max="3" width="6.453125" customWidth="1"/>
    <col min="4" max="4" width="16.81640625" customWidth="1"/>
    <col min="5" max="5" width="17" customWidth="1"/>
    <col min="6" max="6" width="10.1796875" customWidth="1"/>
  </cols>
  <sheetData>
    <row r="1" spans="2:9" ht="15.5" x14ac:dyDescent="0.35">
      <c r="F1" s="59" t="s">
        <v>80</v>
      </c>
    </row>
    <row r="3" spans="2:9" ht="13" x14ac:dyDescent="0.3">
      <c r="B3" s="1" t="s">
        <v>30</v>
      </c>
      <c r="D3" s="53">
        <f>Tabeller!A39</f>
        <v>1.1880999999999999</v>
      </c>
      <c r="E3" t="s">
        <v>75</v>
      </c>
    </row>
    <row r="4" spans="2:9" ht="13" x14ac:dyDescent="0.3">
      <c r="B4" s="1" t="s">
        <v>31</v>
      </c>
      <c r="D4">
        <f>Tabeller!A42</f>
        <v>1.5130000000000001E-5</v>
      </c>
      <c r="E4" t="s">
        <v>76</v>
      </c>
    </row>
    <row r="5" spans="2:9" ht="13" x14ac:dyDescent="0.3">
      <c r="B5" s="1" t="s">
        <v>82</v>
      </c>
      <c r="D5">
        <f>Tabeller!A54</f>
        <v>0</v>
      </c>
      <c r="E5" t="s">
        <v>74</v>
      </c>
    </row>
    <row r="6" spans="2:9" ht="13" x14ac:dyDescent="0.3">
      <c r="B6" s="1" t="s">
        <v>256</v>
      </c>
      <c r="D6">
        <f>Tabeller!A55</f>
        <v>0</v>
      </c>
      <c r="E6" t="s">
        <v>74</v>
      </c>
    </row>
    <row r="7" spans="2:9" ht="13" x14ac:dyDescent="0.3">
      <c r="B7" s="1" t="s">
        <v>257</v>
      </c>
      <c r="D7">
        <f>Tabeller!A56</f>
        <v>0</v>
      </c>
      <c r="E7" t="s">
        <v>74</v>
      </c>
    </row>
    <row r="8" spans="2:9" ht="13" x14ac:dyDescent="0.3">
      <c r="B8" s="1" t="s">
        <v>258</v>
      </c>
      <c r="D8">
        <f>Tabeller!A57</f>
        <v>0</v>
      </c>
      <c r="E8" t="s">
        <v>74</v>
      </c>
    </row>
    <row r="9" spans="2:9" ht="13" x14ac:dyDescent="0.3">
      <c r="B9" s="1" t="s">
        <v>83</v>
      </c>
      <c r="D9">
        <f>Beregning!I27</f>
        <v>0.7</v>
      </c>
      <c r="E9" t="s">
        <v>72</v>
      </c>
    </row>
    <row r="10" spans="2:9" ht="13" x14ac:dyDescent="0.3">
      <c r="B10" s="1" t="s">
        <v>69</v>
      </c>
      <c r="D10">
        <v>1E-3</v>
      </c>
      <c r="E10" t="s">
        <v>79</v>
      </c>
    </row>
    <row r="11" spans="2:9" ht="13" x14ac:dyDescent="0.3">
      <c r="B11" s="1" t="s">
        <v>77</v>
      </c>
      <c r="D11">
        <f>Tabeller!A45/1000</f>
        <v>1.4999999999999999E-4</v>
      </c>
      <c r="E11" t="s">
        <v>73</v>
      </c>
    </row>
    <row r="14" spans="2:9" x14ac:dyDescent="0.25">
      <c r="H14" s="226"/>
      <c r="I14" s="226"/>
    </row>
    <row r="15" spans="2:9" x14ac:dyDescent="0.25">
      <c r="B15" s="54"/>
      <c r="C15" s="55"/>
      <c r="D15" s="55"/>
      <c r="E15" s="55"/>
      <c r="F15" s="55"/>
      <c r="G15" s="55"/>
      <c r="H15" s="55"/>
      <c r="I15" s="55"/>
    </row>
    <row r="17" spans="1:8" ht="15.5" x14ac:dyDescent="0.35">
      <c r="A17" s="59"/>
      <c r="B17" s="59"/>
      <c r="C17" s="59"/>
      <c r="D17" s="65" t="s">
        <v>260</v>
      </c>
      <c r="E17" s="65"/>
      <c r="F17" s="66"/>
      <c r="G17" s="56"/>
      <c r="H17" s="56"/>
    </row>
    <row r="18" spans="1:8" x14ac:dyDescent="0.25">
      <c r="E18" s="56"/>
      <c r="F18" s="56"/>
      <c r="G18" s="56"/>
      <c r="H18" s="56"/>
    </row>
    <row r="19" spans="1:8" ht="13" x14ac:dyDescent="0.3">
      <c r="A19" s="60" t="s">
        <v>2</v>
      </c>
      <c r="B19" s="61" t="s">
        <v>78</v>
      </c>
      <c r="C19" s="62"/>
      <c r="D19" s="60" t="s">
        <v>70</v>
      </c>
      <c r="E19" s="63" t="s">
        <v>71</v>
      </c>
      <c r="F19" s="64" t="s">
        <v>81</v>
      </c>
      <c r="G19" s="56"/>
      <c r="H19" s="56"/>
    </row>
    <row r="20" spans="1:8" x14ac:dyDescent="0.25">
      <c r="A20">
        <f>$D$5/((PI()/4)*$D$10*$D$4)</f>
        <v>0</v>
      </c>
      <c r="B20" t="e">
        <f>(-2*LOG(($D$11/($D$10*3.71))+(5-0.1*LOG($D$11/$D$10))*A20^-0.9))^-2</f>
        <v>#DIV/0!</v>
      </c>
      <c r="D20">
        <f>$D$10</f>
        <v>1E-3</v>
      </c>
      <c r="E20" s="56" t="e">
        <f t="shared" ref="E20:E37" si="0">((0.5*$D$3*$D$5^2*B20)/($D$9*((PI()/4))^2))^0.2</f>
        <v>#DIV/0!</v>
      </c>
      <c r="F20" s="58" t="e">
        <f t="shared" ref="F20:F36" si="1">E20*1000</f>
        <v>#DIV/0!</v>
      </c>
      <c r="G20" s="56"/>
      <c r="H20" s="56"/>
    </row>
    <row r="21" spans="1:8" x14ac:dyDescent="0.25">
      <c r="A21" t="e">
        <f>$D$5/((PI()/4)*E20*$D$4)</f>
        <v>#DIV/0!</v>
      </c>
      <c r="B21" t="e">
        <f t="shared" ref="B21:B37" si="2">(-2*LOG(($D$11/(E20*3.71))+(5-0.1*LOG($D$11/E20))*A21^-0.9))^-2</f>
        <v>#DIV/0!</v>
      </c>
      <c r="D21" s="56" t="e">
        <f t="shared" ref="D21:D37" si="3">E20</f>
        <v>#DIV/0!</v>
      </c>
      <c r="E21" s="56" t="e">
        <f t="shared" si="0"/>
        <v>#DIV/0!</v>
      </c>
      <c r="F21" s="58" t="e">
        <f t="shared" si="1"/>
        <v>#DIV/0!</v>
      </c>
      <c r="H21" s="56"/>
    </row>
    <row r="22" spans="1:8" x14ac:dyDescent="0.25">
      <c r="A22" t="e">
        <f t="shared" ref="A22:A37" si="4">$D$5/((PI()/4)*E21*$D$4)</f>
        <v>#DIV/0!</v>
      </c>
      <c r="B22" t="e">
        <f t="shared" si="2"/>
        <v>#DIV/0!</v>
      </c>
      <c r="D22" s="56" t="e">
        <f t="shared" si="3"/>
        <v>#DIV/0!</v>
      </c>
      <c r="E22" s="56" t="e">
        <f t="shared" si="0"/>
        <v>#DIV/0!</v>
      </c>
      <c r="F22" s="58" t="e">
        <f t="shared" si="1"/>
        <v>#DIV/0!</v>
      </c>
      <c r="H22" s="56"/>
    </row>
    <row r="23" spans="1:8" x14ac:dyDescent="0.25">
      <c r="A23" t="e">
        <f t="shared" si="4"/>
        <v>#DIV/0!</v>
      </c>
      <c r="B23" t="e">
        <f t="shared" si="2"/>
        <v>#DIV/0!</v>
      </c>
      <c r="D23" s="56" t="e">
        <f t="shared" si="3"/>
        <v>#DIV/0!</v>
      </c>
      <c r="E23" s="56" t="e">
        <f t="shared" si="0"/>
        <v>#DIV/0!</v>
      </c>
      <c r="F23" s="58" t="e">
        <f t="shared" si="1"/>
        <v>#DIV/0!</v>
      </c>
      <c r="H23" s="56"/>
    </row>
    <row r="24" spans="1:8" x14ac:dyDescent="0.25">
      <c r="A24" t="e">
        <f t="shared" si="4"/>
        <v>#DIV/0!</v>
      </c>
      <c r="B24" t="e">
        <f t="shared" si="2"/>
        <v>#DIV/0!</v>
      </c>
      <c r="D24" s="56" t="e">
        <f t="shared" si="3"/>
        <v>#DIV/0!</v>
      </c>
      <c r="E24" s="56" t="e">
        <f t="shared" si="0"/>
        <v>#DIV/0!</v>
      </c>
      <c r="F24" s="58" t="e">
        <f t="shared" si="1"/>
        <v>#DIV/0!</v>
      </c>
      <c r="H24" s="56"/>
    </row>
    <row r="25" spans="1:8" x14ac:dyDescent="0.25">
      <c r="A25" t="e">
        <f t="shared" si="4"/>
        <v>#DIV/0!</v>
      </c>
      <c r="B25" t="e">
        <f t="shared" si="2"/>
        <v>#DIV/0!</v>
      </c>
      <c r="D25" s="56" t="e">
        <f t="shared" si="3"/>
        <v>#DIV/0!</v>
      </c>
      <c r="E25" s="56" t="e">
        <f t="shared" si="0"/>
        <v>#DIV/0!</v>
      </c>
      <c r="F25" s="58" t="e">
        <f t="shared" si="1"/>
        <v>#DIV/0!</v>
      </c>
      <c r="H25" s="56"/>
    </row>
    <row r="26" spans="1:8" x14ac:dyDescent="0.25">
      <c r="A26" t="e">
        <f t="shared" si="4"/>
        <v>#DIV/0!</v>
      </c>
      <c r="B26" t="e">
        <f t="shared" si="2"/>
        <v>#DIV/0!</v>
      </c>
      <c r="D26" s="56" t="e">
        <f t="shared" si="3"/>
        <v>#DIV/0!</v>
      </c>
      <c r="E26" s="56" t="e">
        <f t="shared" si="0"/>
        <v>#DIV/0!</v>
      </c>
      <c r="F26" s="58" t="e">
        <f t="shared" si="1"/>
        <v>#DIV/0!</v>
      </c>
      <c r="H26" s="56"/>
    </row>
    <row r="27" spans="1:8" x14ac:dyDescent="0.25">
      <c r="A27" t="e">
        <f t="shared" si="4"/>
        <v>#DIV/0!</v>
      </c>
      <c r="B27" t="e">
        <f t="shared" si="2"/>
        <v>#DIV/0!</v>
      </c>
      <c r="D27" s="56" t="e">
        <f t="shared" si="3"/>
        <v>#DIV/0!</v>
      </c>
      <c r="E27" s="56" t="e">
        <f t="shared" si="0"/>
        <v>#DIV/0!</v>
      </c>
      <c r="F27" s="58" t="e">
        <f t="shared" si="1"/>
        <v>#DIV/0!</v>
      </c>
      <c r="H27" s="56"/>
    </row>
    <row r="28" spans="1:8" x14ac:dyDescent="0.25">
      <c r="A28" t="e">
        <f t="shared" si="4"/>
        <v>#DIV/0!</v>
      </c>
      <c r="B28" t="e">
        <f t="shared" si="2"/>
        <v>#DIV/0!</v>
      </c>
      <c r="D28" s="56" t="e">
        <f t="shared" si="3"/>
        <v>#DIV/0!</v>
      </c>
      <c r="E28" s="56" t="e">
        <f t="shared" si="0"/>
        <v>#DIV/0!</v>
      </c>
      <c r="F28" s="58" t="e">
        <f t="shared" si="1"/>
        <v>#DIV/0!</v>
      </c>
      <c r="H28" s="56"/>
    </row>
    <row r="29" spans="1:8" x14ac:dyDescent="0.25">
      <c r="A29" t="e">
        <f t="shared" si="4"/>
        <v>#DIV/0!</v>
      </c>
      <c r="B29" t="e">
        <f t="shared" si="2"/>
        <v>#DIV/0!</v>
      </c>
      <c r="D29" s="56" t="e">
        <f t="shared" si="3"/>
        <v>#DIV/0!</v>
      </c>
      <c r="E29" s="56" t="e">
        <f t="shared" si="0"/>
        <v>#DIV/0!</v>
      </c>
      <c r="F29" s="58" t="e">
        <f t="shared" si="1"/>
        <v>#DIV/0!</v>
      </c>
      <c r="H29" s="56"/>
    </row>
    <row r="30" spans="1:8" x14ac:dyDescent="0.25">
      <c r="A30" t="e">
        <f t="shared" si="4"/>
        <v>#DIV/0!</v>
      </c>
      <c r="B30" t="e">
        <f t="shared" si="2"/>
        <v>#DIV/0!</v>
      </c>
      <c r="D30" s="56" t="e">
        <f t="shared" si="3"/>
        <v>#DIV/0!</v>
      </c>
      <c r="E30" s="56" t="e">
        <f t="shared" si="0"/>
        <v>#DIV/0!</v>
      </c>
      <c r="F30" s="58" t="e">
        <f t="shared" si="1"/>
        <v>#DIV/0!</v>
      </c>
      <c r="H30" s="56"/>
    </row>
    <row r="31" spans="1:8" x14ac:dyDescent="0.25">
      <c r="A31" t="e">
        <f t="shared" si="4"/>
        <v>#DIV/0!</v>
      </c>
      <c r="B31" t="e">
        <f t="shared" si="2"/>
        <v>#DIV/0!</v>
      </c>
      <c r="D31" s="56" t="e">
        <f t="shared" si="3"/>
        <v>#DIV/0!</v>
      </c>
      <c r="E31" s="56" t="e">
        <f t="shared" si="0"/>
        <v>#DIV/0!</v>
      </c>
      <c r="F31" s="58" t="e">
        <f t="shared" si="1"/>
        <v>#DIV/0!</v>
      </c>
      <c r="H31" s="56"/>
    </row>
    <row r="32" spans="1:8" x14ac:dyDescent="0.25">
      <c r="A32" t="e">
        <f t="shared" si="4"/>
        <v>#DIV/0!</v>
      </c>
      <c r="B32" t="e">
        <f t="shared" si="2"/>
        <v>#DIV/0!</v>
      </c>
      <c r="D32" s="56" t="e">
        <f t="shared" si="3"/>
        <v>#DIV/0!</v>
      </c>
      <c r="E32" s="56" t="e">
        <f t="shared" si="0"/>
        <v>#DIV/0!</v>
      </c>
      <c r="F32" s="58" t="e">
        <f t="shared" si="1"/>
        <v>#DIV/0!</v>
      </c>
      <c r="H32" s="56"/>
    </row>
    <row r="33" spans="1:8" x14ac:dyDescent="0.25">
      <c r="A33" t="e">
        <f>$D$5/((PI()/4)*E32*$D$4)</f>
        <v>#DIV/0!</v>
      </c>
      <c r="B33" t="e">
        <f t="shared" si="2"/>
        <v>#DIV/0!</v>
      </c>
      <c r="D33" s="56" t="e">
        <f t="shared" si="3"/>
        <v>#DIV/0!</v>
      </c>
      <c r="E33" s="56" t="e">
        <f t="shared" si="0"/>
        <v>#DIV/0!</v>
      </c>
      <c r="F33" s="58" t="e">
        <f t="shared" si="1"/>
        <v>#DIV/0!</v>
      </c>
      <c r="H33" s="56"/>
    </row>
    <row r="34" spans="1:8" x14ac:dyDescent="0.25">
      <c r="A34" t="e">
        <f t="shared" si="4"/>
        <v>#DIV/0!</v>
      </c>
      <c r="B34" t="e">
        <f t="shared" si="2"/>
        <v>#DIV/0!</v>
      </c>
      <c r="D34" s="56" t="e">
        <f t="shared" si="3"/>
        <v>#DIV/0!</v>
      </c>
      <c r="E34" s="56" t="e">
        <f t="shared" si="0"/>
        <v>#DIV/0!</v>
      </c>
      <c r="F34" s="58" t="e">
        <f t="shared" si="1"/>
        <v>#DIV/0!</v>
      </c>
      <c r="H34" s="56"/>
    </row>
    <row r="35" spans="1:8" x14ac:dyDescent="0.25">
      <c r="A35" t="e">
        <f t="shared" si="4"/>
        <v>#DIV/0!</v>
      </c>
      <c r="B35" t="e">
        <f t="shared" si="2"/>
        <v>#DIV/0!</v>
      </c>
      <c r="D35" s="56" t="e">
        <f t="shared" si="3"/>
        <v>#DIV/0!</v>
      </c>
      <c r="E35" s="56" t="e">
        <f t="shared" si="0"/>
        <v>#DIV/0!</v>
      </c>
      <c r="F35" s="58" t="e">
        <f t="shared" si="1"/>
        <v>#DIV/0!</v>
      </c>
      <c r="H35" s="56"/>
    </row>
    <row r="36" spans="1:8" x14ac:dyDescent="0.25">
      <c r="A36" t="e">
        <f t="shared" si="4"/>
        <v>#DIV/0!</v>
      </c>
      <c r="B36" t="e">
        <f t="shared" si="2"/>
        <v>#DIV/0!</v>
      </c>
      <c r="D36" s="56" t="e">
        <f t="shared" si="3"/>
        <v>#DIV/0!</v>
      </c>
      <c r="E36" s="56" t="e">
        <f t="shared" si="0"/>
        <v>#DIV/0!</v>
      </c>
      <c r="F36" s="58" t="e">
        <f t="shared" si="1"/>
        <v>#DIV/0!</v>
      </c>
      <c r="H36" s="56"/>
    </row>
    <row r="37" spans="1:8" x14ac:dyDescent="0.25">
      <c r="A37" t="e">
        <f t="shared" si="4"/>
        <v>#DIV/0!</v>
      </c>
      <c r="B37" t="e">
        <f t="shared" si="2"/>
        <v>#DIV/0!</v>
      </c>
      <c r="D37" s="56" t="e">
        <f t="shared" si="3"/>
        <v>#DIV/0!</v>
      </c>
      <c r="E37" s="56" t="e">
        <f t="shared" si="0"/>
        <v>#DIV/0!</v>
      </c>
      <c r="F37" s="70" t="e">
        <f>E37*1000</f>
        <v>#DIV/0!</v>
      </c>
      <c r="H37" s="56"/>
    </row>
    <row r="39" spans="1:8" ht="15.5" x14ac:dyDescent="0.35">
      <c r="A39" s="59"/>
      <c r="B39" s="59"/>
      <c r="C39" s="59"/>
      <c r="D39" s="65" t="s">
        <v>259</v>
      </c>
      <c r="E39" s="65"/>
      <c r="F39" s="66"/>
    </row>
    <row r="40" spans="1:8" x14ac:dyDescent="0.25">
      <c r="E40" s="56"/>
      <c r="F40" s="56"/>
    </row>
    <row r="41" spans="1:8" ht="13" x14ac:dyDescent="0.3">
      <c r="A41" s="60" t="s">
        <v>2</v>
      </c>
      <c r="B41" s="61" t="s">
        <v>78</v>
      </c>
      <c r="C41" s="62"/>
      <c r="D41" s="60" t="s">
        <v>70</v>
      </c>
      <c r="E41" s="63" t="s">
        <v>71</v>
      </c>
      <c r="F41" s="64" t="s">
        <v>81</v>
      </c>
    </row>
    <row r="42" spans="1:8" x14ac:dyDescent="0.25">
      <c r="A42">
        <f>$D$6/((PI()/4)*$D$10*$D$4)</f>
        <v>0</v>
      </c>
      <c r="B42" t="e">
        <f>(-2*LOG(($D$11/($D$10*3.71))+(5-0.1*LOG($D$11/$D$10))*A42^-0.9))^-2</f>
        <v>#DIV/0!</v>
      </c>
      <c r="D42" s="56">
        <f>$D$10</f>
        <v>1E-3</v>
      </c>
      <c r="E42" s="56" t="e">
        <f>((0.5*$D$3*$D$6^2*B42)/($D$9*((PI()/4))^2))^0.2</f>
        <v>#DIV/0!</v>
      </c>
      <c r="F42" s="58" t="e">
        <f t="shared" ref="F42:F58" si="5">E42*1000</f>
        <v>#DIV/0!</v>
      </c>
    </row>
    <row r="43" spans="1:8" x14ac:dyDescent="0.25">
      <c r="A43" t="e">
        <f t="shared" ref="A43:A59" si="6">$D$6/((PI()/4)*E42*$D$4)</f>
        <v>#DIV/0!</v>
      </c>
      <c r="B43" t="e">
        <f t="shared" ref="B43:B59" si="7">(-2*LOG(($D$11/(E42*3.71))+(5-0.1*LOG($D$11/E42))*A43^-0.9))^-2</f>
        <v>#DIV/0!</v>
      </c>
      <c r="D43" s="56" t="e">
        <f t="shared" ref="D43:D59" si="8">E42</f>
        <v>#DIV/0!</v>
      </c>
      <c r="E43" s="56" t="e">
        <f t="shared" ref="E43:E59" si="9">((0.5*$D$3*$D$6^2*B43)/($D$9*((PI()/4))^2))^0.2</f>
        <v>#DIV/0!</v>
      </c>
      <c r="F43" s="58" t="e">
        <f t="shared" si="5"/>
        <v>#DIV/0!</v>
      </c>
    </row>
    <row r="44" spans="1:8" x14ac:dyDescent="0.25">
      <c r="A44" t="e">
        <f t="shared" si="6"/>
        <v>#DIV/0!</v>
      </c>
      <c r="B44" t="e">
        <f t="shared" si="7"/>
        <v>#DIV/0!</v>
      </c>
      <c r="D44" s="56" t="e">
        <f t="shared" si="8"/>
        <v>#DIV/0!</v>
      </c>
      <c r="E44" s="56" t="e">
        <f t="shared" si="9"/>
        <v>#DIV/0!</v>
      </c>
      <c r="F44" s="58" t="e">
        <f t="shared" si="5"/>
        <v>#DIV/0!</v>
      </c>
    </row>
    <row r="45" spans="1:8" x14ac:dyDescent="0.25">
      <c r="A45" t="e">
        <f t="shared" si="6"/>
        <v>#DIV/0!</v>
      </c>
      <c r="B45" t="e">
        <f t="shared" si="7"/>
        <v>#DIV/0!</v>
      </c>
      <c r="D45" s="56" t="e">
        <f t="shared" si="8"/>
        <v>#DIV/0!</v>
      </c>
      <c r="E45" s="56" t="e">
        <f t="shared" si="9"/>
        <v>#DIV/0!</v>
      </c>
      <c r="F45" s="58" t="e">
        <f t="shared" si="5"/>
        <v>#DIV/0!</v>
      </c>
    </row>
    <row r="46" spans="1:8" x14ac:dyDescent="0.25">
      <c r="A46" t="e">
        <f t="shared" si="6"/>
        <v>#DIV/0!</v>
      </c>
      <c r="B46" t="e">
        <f t="shared" si="7"/>
        <v>#DIV/0!</v>
      </c>
      <c r="D46" s="56" t="e">
        <f t="shared" si="8"/>
        <v>#DIV/0!</v>
      </c>
      <c r="E46" s="56" t="e">
        <f t="shared" si="9"/>
        <v>#DIV/0!</v>
      </c>
      <c r="F46" s="58" t="e">
        <f t="shared" si="5"/>
        <v>#DIV/0!</v>
      </c>
    </row>
    <row r="47" spans="1:8" x14ac:dyDescent="0.25">
      <c r="A47" t="e">
        <f t="shared" si="6"/>
        <v>#DIV/0!</v>
      </c>
      <c r="B47" t="e">
        <f t="shared" si="7"/>
        <v>#DIV/0!</v>
      </c>
      <c r="D47" s="56" t="e">
        <f t="shared" si="8"/>
        <v>#DIV/0!</v>
      </c>
      <c r="E47" s="56" t="e">
        <f t="shared" si="9"/>
        <v>#DIV/0!</v>
      </c>
      <c r="F47" s="58" t="e">
        <f t="shared" si="5"/>
        <v>#DIV/0!</v>
      </c>
    </row>
    <row r="48" spans="1:8" x14ac:dyDescent="0.25">
      <c r="A48" t="e">
        <f t="shared" si="6"/>
        <v>#DIV/0!</v>
      </c>
      <c r="B48" t="e">
        <f t="shared" si="7"/>
        <v>#DIV/0!</v>
      </c>
      <c r="D48" s="56" t="e">
        <f t="shared" si="8"/>
        <v>#DIV/0!</v>
      </c>
      <c r="E48" s="56" t="e">
        <f t="shared" si="9"/>
        <v>#DIV/0!</v>
      </c>
      <c r="F48" s="58" t="e">
        <f t="shared" si="5"/>
        <v>#DIV/0!</v>
      </c>
    </row>
    <row r="49" spans="1:6" x14ac:dyDescent="0.25">
      <c r="A49" t="e">
        <f t="shared" si="6"/>
        <v>#DIV/0!</v>
      </c>
      <c r="B49" t="e">
        <f t="shared" si="7"/>
        <v>#DIV/0!</v>
      </c>
      <c r="D49" s="56" t="e">
        <f t="shared" si="8"/>
        <v>#DIV/0!</v>
      </c>
      <c r="E49" s="56" t="e">
        <f t="shared" si="9"/>
        <v>#DIV/0!</v>
      </c>
      <c r="F49" s="58" t="e">
        <f t="shared" si="5"/>
        <v>#DIV/0!</v>
      </c>
    </row>
    <row r="50" spans="1:6" x14ac:dyDescent="0.25">
      <c r="A50" t="e">
        <f t="shared" si="6"/>
        <v>#DIV/0!</v>
      </c>
      <c r="B50" t="e">
        <f t="shared" si="7"/>
        <v>#DIV/0!</v>
      </c>
      <c r="D50" s="56" t="e">
        <f t="shared" si="8"/>
        <v>#DIV/0!</v>
      </c>
      <c r="E50" s="56" t="e">
        <f t="shared" si="9"/>
        <v>#DIV/0!</v>
      </c>
      <c r="F50" s="58" t="e">
        <f t="shared" si="5"/>
        <v>#DIV/0!</v>
      </c>
    </row>
    <row r="51" spans="1:6" x14ac:dyDescent="0.25">
      <c r="A51" t="e">
        <f t="shared" si="6"/>
        <v>#DIV/0!</v>
      </c>
      <c r="B51" t="e">
        <f t="shared" si="7"/>
        <v>#DIV/0!</v>
      </c>
      <c r="D51" s="56" t="e">
        <f t="shared" si="8"/>
        <v>#DIV/0!</v>
      </c>
      <c r="E51" s="56" t="e">
        <f t="shared" si="9"/>
        <v>#DIV/0!</v>
      </c>
      <c r="F51" s="58" t="e">
        <f t="shared" si="5"/>
        <v>#DIV/0!</v>
      </c>
    </row>
    <row r="52" spans="1:6" x14ac:dyDescent="0.25">
      <c r="A52" t="e">
        <f t="shared" si="6"/>
        <v>#DIV/0!</v>
      </c>
      <c r="B52" t="e">
        <f t="shared" si="7"/>
        <v>#DIV/0!</v>
      </c>
      <c r="D52" s="56" t="e">
        <f t="shared" si="8"/>
        <v>#DIV/0!</v>
      </c>
      <c r="E52" s="56" t="e">
        <f t="shared" si="9"/>
        <v>#DIV/0!</v>
      </c>
      <c r="F52" s="58" t="e">
        <f t="shared" si="5"/>
        <v>#DIV/0!</v>
      </c>
    </row>
    <row r="53" spans="1:6" x14ac:dyDescent="0.25">
      <c r="A53" t="e">
        <f t="shared" si="6"/>
        <v>#DIV/0!</v>
      </c>
      <c r="B53" t="e">
        <f t="shared" si="7"/>
        <v>#DIV/0!</v>
      </c>
      <c r="D53" s="56" t="e">
        <f t="shared" si="8"/>
        <v>#DIV/0!</v>
      </c>
      <c r="E53" s="56" t="e">
        <f t="shared" si="9"/>
        <v>#DIV/0!</v>
      </c>
      <c r="F53" s="58" t="e">
        <f t="shared" si="5"/>
        <v>#DIV/0!</v>
      </c>
    </row>
    <row r="54" spans="1:6" x14ac:dyDescent="0.25">
      <c r="A54" t="e">
        <f t="shared" si="6"/>
        <v>#DIV/0!</v>
      </c>
      <c r="B54" t="e">
        <f t="shared" si="7"/>
        <v>#DIV/0!</v>
      </c>
      <c r="D54" s="56" t="e">
        <f t="shared" si="8"/>
        <v>#DIV/0!</v>
      </c>
      <c r="E54" s="56" t="e">
        <f t="shared" si="9"/>
        <v>#DIV/0!</v>
      </c>
      <c r="F54" s="58" t="e">
        <f t="shared" si="5"/>
        <v>#DIV/0!</v>
      </c>
    </row>
    <row r="55" spans="1:6" x14ac:dyDescent="0.25">
      <c r="A55" t="e">
        <f t="shared" si="6"/>
        <v>#DIV/0!</v>
      </c>
      <c r="B55" t="e">
        <f t="shared" si="7"/>
        <v>#DIV/0!</v>
      </c>
      <c r="D55" s="56" t="e">
        <f t="shared" si="8"/>
        <v>#DIV/0!</v>
      </c>
      <c r="E55" s="56" t="e">
        <f>((0.5*$D$3*$D$6^2*B55)/($D$9*((PI()/4))^2))^0.2</f>
        <v>#DIV/0!</v>
      </c>
      <c r="F55" s="58" t="e">
        <f t="shared" si="5"/>
        <v>#DIV/0!</v>
      </c>
    </row>
    <row r="56" spans="1:6" x14ac:dyDescent="0.25">
      <c r="A56" t="e">
        <f t="shared" si="6"/>
        <v>#DIV/0!</v>
      </c>
      <c r="B56" t="e">
        <f t="shared" si="7"/>
        <v>#DIV/0!</v>
      </c>
      <c r="D56" s="56" t="e">
        <f t="shared" si="8"/>
        <v>#DIV/0!</v>
      </c>
      <c r="E56" s="56" t="e">
        <f t="shared" si="9"/>
        <v>#DIV/0!</v>
      </c>
      <c r="F56" s="58" t="e">
        <f t="shared" si="5"/>
        <v>#DIV/0!</v>
      </c>
    </row>
    <row r="57" spans="1:6" x14ac:dyDescent="0.25">
      <c r="A57" t="e">
        <f t="shared" si="6"/>
        <v>#DIV/0!</v>
      </c>
      <c r="B57" t="e">
        <f t="shared" si="7"/>
        <v>#DIV/0!</v>
      </c>
      <c r="D57" s="56" t="e">
        <f t="shared" si="8"/>
        <v>#DIV/0!</v>
      </c>
      <c r="E57" s="56" t="e">
        <f t="shared" si="9"/>
        <v>#DIV/0!</v>
      </c>
      <c r="F57" s="58" t="e">
        <f t="shared" si="5"/>
        <v>#DIV/0!</v>
      </c>
    </row>
    <row r="58" spans="1:6" x14ac:dyDescent="0.25">
      <c r="A58" t="e">
        <f t="shared" si="6"/>
        <v>#DIV/0!</v>
      </c>
      <c r="B58" t="e">
        <f t="shared" si="7"/>
        <v>#DIV/0!</v>
      </c>
      <c r="D58" s="56" t="e">
        <f t="shared" si="8"/>
        <v>#DIV/0!</v>
      </c>
      <c r="E58" s="56" t="e">
        <f t="shared" si="9"/>
        <v>#DIV/0!</v>
      </c>
      <c r="F58" s="58" t="e">
        <f t="shared" si="5"/>
        <v>#DIV/0!</v>
      </c>
    </row>
    <row r="59" spans="1:6" x14ac:dyDescent="0.25">
      <c r="A59" t="e">
        <f t="shared" si="6"/>
        <v>#DIV/0!</v>
      </c>
      <c r="B59" t="e">
        <f t="shared" si="7"/>
        <v>#DIV/0!</v>
      </c>
      <c r="D59" s="56" t="e">
        <f t="shared" si="8"/>
        <v>#DIV/0!</v>
      </c>
      <c r="E59" s="56" t="e">
        <f t="shared" si="9"/>
        <v>#DIV/0!</v>
      </c>
      <c r="F59" s="70" t="e">
        <f>E59*1000</f>
        <v>#DIV/0!</v>
      </c>
    </row>
    <row r="61" spans="1:6" ht="15.5" x14ac:dyDescent="0.35">
      <c r="A61" s="59"/>
      <c r="B61" s="59"/>
      <c r="C61" s="59"/>
      <c r="D61" s="65" t="s">
        <v>262</v>
      </c>
      <c r="E61" s="65"/>
      <c r="F61" s="66"/>
    </row>
    <row r="62" spans="1:6" x14ac:dyDescent="0.25">
      <c r="E62" s="56"/>
      <c r="F62" s="56"/>
    </row>
    <row r="63" spans="1:6" ht="13" x14ac:dyDescent="0.3">
      <c r="A63" s="60" t="s">
        <v>2</v>
      </c>
      <c r="B63" s="61" t="s">
        <v>78</v>
      </c>
      <c r="C63" s="62"/>
      <c r="D63" s="60" t="s">
        <v>70</v>
      </c>
      <c r="E63" s="63" t="s">
        <v>71</v>
      </c>
      <c r="F63" s="64" t="s">
        <v>81</v>
      </c>
    </row>
    <row r="64" spans="1:6" x14ac:dyDescent="0.25">
      <c r="A64">
        <f>$D$7/((PI()/4)*$D$10*$D$4)</f>
        <v>0</v>
      </c>
      <c r="B64" t="e">
        <f>(-2*LOG(($D$11/($D$10*3.71))+(5-0.1*LOG($D$11/$D$10))*A64^-0.9))^-2</f>
        <v>#DIV/0!</v>
      </c>
      <c r="D64" s="56">
        <f>$D$10</f>
        <v>1E-3</v>
      </c>
      <c r="E64" s="56" t="e">
        <f>((0.5*$D$3*$D$7^2*B64)/($D$9*((PI()/4))^2))^0.2</f>
        <v>#DIV/0!</v>
      </c>
      <c r="F64" s="58" t="e">
        <f t="shared" ref="F64:F80" si="10">E64*1000</f>
        <v>#DIV/0!</v>
      </c>
    </row>
    <row r="65" spans="1:6" x14ac:dyDescent="0.25">
      <c r="A65" t="e">
        <f>$D$7/((PI()/4)*E64*$D$4)</f>
        <v>#DIV/0!</v>
      </c>
      <c r="B65" t="e">
        <f t="shared" ref="B65:B81" si="11">(-2*LOG(($D$11/(E64*3.71))+(5-0.1*LOG($D$11/E64))*A65^-0.9))^-2</f>
        <v>#DIV/0!</v>
      </c>
      <c r="D65" s="56" t="e">
        <f t="shared" ref="D65:D81" si="12">E64</f>
        <v>#DIV/0!</v>
      </c>
      <c r="E65" s="56" t="e">
        <f t="shared" ref="E65:E81" si="13">((0.5*$D$3*$D$7^2*B65)/($D$9*((PI()/4))^2))^0.2</f>
        <v>#DIV/0!</v>
      </c>
      <c r="F65" s="58" t="e">
        <f t="shared" si="10"/>
        <v>#DIV/0!</v>
      </c>
    </row>
    <row r="66" spans="1:6" x14ac:dyDescent="0.25">
      <c r="A66" t="e">
        <f t="shared" ref="A66:A81" si="14">$D$7/((PI()/4)*E65*$D$4)</f>
        <v>#DIV/0!</v>
      </c>
      <c r="B66" t="e">
        <f t="shared" si="11"/>
        <v>#DIV/0!</v>
      </c>
      <c r="D66" s="56" t="e">
        <f t="shared" si="12"/>
        <v>#DIV/0!</v>
      </c>
      <c r="E66" s="56" t="e">
        <f t="shared" si="13"/>
        <v>#DIV/0!</v>
      </c>
      <c r="F66" s="58" t="e">
        <f t="shared" si="10"/>
        <v>#DIV/0!</v>
      </c>
    </row>
    <row r="67" spans="1:6" x14ac:dyDescent="0.25">
      <c r="A67" t="e">
        <f t="shared" si="14"/>
        <v>#DIV/0!</v>
      </c>
      <c r="B67" t="e">
        <f t="shared" si="11"/>
        <v>#DIV/0!</v>
      </c>
      <c r="D67" s="56" t="e">
        <f t="shared" si="12"/>
        <v>#DIV/0!</v>
      </c>
      <c r="E67" s="56" t="e">
        <f t="shared" si="13"/>
        <v>#DIV/0!</v>
      </c>
      <c r="F67" s="58" t="e">
        <f t="shared" si="10"/>
        <v>#DIV/0!</v>
      </c>
    </row>
    <row r="68" spans="1:6" x14ac:dyDescent="0.25">
      <c r="A68" t="e">
        <f t="shared" si="14"/>
        <v>#DIV/0!</v>
      </c>
      <c r="B68" t="e">
        <f t="shared" si="11"/>
        <v>#DIV/0!</v>
      </c>
      <c r="D68" s="56" t="e">
        <f t="shared" si="12"/>
        <v>#DIV/0!</v>
      </c>
      <c r="E68" s="56" t="e">
        <f t="shared" si="13"/>
        <v>#DIV/0!</v>
      </c>
      <c r="F68" s="58" t="e">
        <f t="shared" si="10"/>
        <v>#DIV/0!</v>
      </c>
    </row>
    <row r="69" spans="1:6" x14ac:dyDescent="0.25">
      <c r="A69" t="e">
        <f t="shared" si="14"/>
        <v>#DIV/0!</v>
      </c>
      <c r="B69" t="e">
        <f t="shared" si="11"/>
        <v>#DIV/0!</v>
      </c>
      <c r="D69" s="56" t="e">
        <f t="shared" si="12"/>
        <v>#DIV/0!</v>
      </c>
      <c r="E69" s="56" t="e">
        <f t="shared" si="13"/>
        <v>#DIV/0!</v>
      </c>
      <c r="F69" s="58" t="e">
        <f t="shared" si="10"/>
        <v>#DIV/0!</v>
      </c>
    </row>
    <row r="70" spans="1:6" x14ac:dyDescent="0.25">
      <c r="A70" t="e">
        <f t="shared" si="14"/>
        <v>#DIV/0!</v>
      </c>
      <c r="B70" t="e">
        <f t="shared" si="11"/>
        <v>#DIV/0!</v>
      </c>
      <c r="D70" s="56" t="e">
        <f t="shared" si="12"/>
        <v>#DIV/0!</v>
      </c>
      <c r="E70" s="56" t="e">
        <f t="shared" si="13"/>
        <v>#DIV/0!</v>
      </c>
      <c r="F70" s="58" t="e">
        <f t="shared" si="10"/>
        <v>#DIV/0!</v>
      </c>
    </row>
    <row r="71" spans="1:6" x14ac:dyDescent="0.25">
      <c r="A71" t="e">
        <f t="shared" si="14"/>
        <v>#DIV/0!</v>
      </c>
      <c r="B71" t="e">
        <f t="shared" si="11"/>
        <v>#DIV/0!</v>
      </c>
      <c r="D71" s="56" t="e">
        <f t="shared" si="12"/>
        <v>#DIV/0!</v>
      </c>
      <c r="E71" s="56" t="e">
        <f t="shared" si="13"/>
        <v>#DIV/0!</v>
      </c>
      <c r="F71" s="58" t="e">
        <f t="shared" si="10"/>
        <v>#DIV/0!</v>
      </c>
    </row>
    <row r="72" spans="1:6" x14ac:dyDescent="0.25">
      <c r="A72" t="e">
        <f t="shared" si="14"/>
        <v>#DIV/0!</v>
      </c>
      <c r="B72" t="e">
        <f t="shared" si="11"/>
        <v>#DIV/0!</v>
      </c>
      <c r="D72" s="56" t="e">
        <f t="shared" si="12"/>
        <v>#DIV/0!</v>
      </c>
      <c r="E72" s="56" t="e">
        <f t="shared" si="13"/>
        <v>#DIV/0!</v>
      </c>
      <c r="F72" s="58" t="e">
        <f t="shared" si="10"/>
        <v>#DIV/0!</v>
      </c>
    </row>
    <row r="73" spans="1:6" x14ac:dyDescent="0.25">
      <c r="A73" t="e">
        <f t="shared" si="14"/>
        <v>#DIV/0!</v>
      </c>
      <c r="B73" t="e">
        <f t="shared" si="11"/>
        <v>#DIV/0!</v>
      </c>
      <c r="D73" s="56" t="e">
        <f t="shared" si="12"/>
        <v>#DIV/0!</v>
      </c>
      <c r="E73" s="56" t="e">
        <f t="shared" si="13"/>
        <v>#DIV/0!</v>
      </c>
      <c r="F73" s="58" t="e">
        <f t="shared" si="10"/>
        <v>#DIV/0!</v>
      </c>
    </row>
    <row r="74" spans="1:6" x14ac:dyDescent="0.25">
      <c r="A74" t="e">
        <f t="shared" si="14"/>
        <v>#DIV/0!</v>
      </c>
      <c r="B74" t="e">
        <f t="shared" si="11"/>
        <v>#DIV/0!</v>
      </c>
      <c r="D74" s="56" t="e">
        <f t="shared" si="12"/>
        <v>#DIV/0!</v>
      </c>
      <c r="E74" s="56" t="e">
        <f t="shared" si="13"/>
        <v>#DIV/0!</v>
      </c>
      <c r="F74" s="58" t="e">
        <f t="shared" si="10"/>
        <v>#DIV/0!</v>
      </c>
    </row>
    <row r="75" spans="1:6" x14ac:dyDescent="0.25">
      <c r="A75" t="e">
        <f t="shared" si="14"/>
        <v>#DIV/0!</v>
      </c>
      <c r="B75" t="e">
        <f t="shared" si="11"/>
        <v>#DIV/0!</v>
      </c>
      <c r="D75" s="56" t="e">
        <f t="shared" si="12"/>
        <v>#DIV/0!</v>
      </c>
      <c r="E75" s="56" t="e">
        <f t="shared" si="13"/>
        <v>#DIV/0!</v>
      </c>
      <c r="F75" s="58" t="e">
        <f t="shared" si="10"/>
        <v>#DIV/0!</v>
      </c>
    </row>
    <row r="76" spans="1:6" x14ac:dyDescent="0.25">
      <c r="A76" t="e">
        <f t="shared" si="14"/>
        <v>#DIV/0!</v>
      </c>
      <c r="B76" t="e">
        <f t="shared" si="11"/>
        <v>#DIV/0!</v>
      </c>
      <c r="D76" s="56" t="e">
        <f t="shared" si="12"/>
        <v>#DIV/0!</v>
      </c>
      <c r="E76" s="56" t="e">
        <f t="shared" si="13"/>
        <v>#DIV/0!</v>
      </c>
      <c r="F76" s="58" t="e">
        <f t="shared" si="10"/>
        <v>#DIV/0!</v>
      </c>
    </row>
    <row r="77" spans="1:6" x14ac:dyDescent="0.25">
      <c r="A77" t="e">
        <f t="shared" si="14"/>
        <v>#DIV/0!</v>
      </c>
      <c r="B77" t="e">
        <f t="shared" si="11"/>
        <v>#DIV/0!</v>
      </c>
      <c r="D77" s="56" t="e">
        <f t="shared" si="12"/>
        <v>#DIV/0!</v>
      </c>
      <c r="E77" s="56" t="e">
        <f t="shared" si="13"/>
        <v>#DIV/0!</v>
      </c>
      <c r="F77" s="58" t="e">
        <f t="shared" si="10"/>
        <v>#DIV/0!</v>
      </c>
    </row>
    <row r="78" spans="1:6" x14ac:dyDescent="0.25">
      <c r="A78" t="e">
        <f t="shared" si="14"/>
        <v>#DIV/0!</v>
      </c>
      <c r="B78" t="e">
        <f t="shared" si="11"/>
        <v>#DIV/0!</v>
      </c>
      <c r="D78" s="56" t="e">
        <f t="shared" si="12"/>
        <v>#DIV/0!</v>
      </c>
      <c r="E78" s="56" t="e">
        <f t="shared" si="13"/>
        <v>#DIV/0!</v>
      </c>
      <c r="F78" s="58" t="e">
        <f t="shared" si="10"/>
        <v>#DIV/0!</v>
      </c>
    </row>
    <row r="79" spans="1:6" x14ac:dyDescent="0.25">
      <c r="A79" t="e">
        <f t="shared" si="14"/>
        <v>#DIV/0!</v>
      </c>
      <c r="B79" t="e">
        <f t="shared" si="11"/>
        <v>#DIV/0!</v>
      </c>
      <c r="D79" s="56" t="e">
        <f t="shared" si="12"/>
        <v>#DIV/0!</v>
      </c>
      <c r="E79" s="56" t="e">
        <f t="shared" si="13"/>
        <v>#DIV/0!</v>
      </c>
      <c r="F79" s="58" t="e">
        <f t="shared" si="10"/>
        <v>#DIV/0!</v>
      </c>
    </row>
    <row r="80" spans="1:6" x14ac:dyDescent="0.25">
      <c r="A80" t="e">
        <f t="shared" si="14"/>
        <v>#DIV/0!</v>
      </c>
      <c r="B80" t="e">
        <f t="shared" si="11"/>
        <v>#DIV/0!</v>
      </c>
      <c r="D80" s="56" t="e">
        <f t="shared" si="12"/>
        <v>#DIV/0!</v>
      </c>
      <c r="E80" s="56" t="e">
        <f t="shared" si="13"/>
        <v>#DIV/0!</v>
      </c>
      <c r="F80" s="58" t="e">
        <f t="shared" si="10"/>
        <v>#DIV/0!</v>
      </c>
    </row>
    <row r="81" spans="1:6" x14ac:dyDescent="0.25">
      <c r="A81" t="e">
        <f t="shared" si="14"/>
        <v>#DIV/0!</v>
      </c>
      <c r="B81" t="e">
        <f t="shared" si="11"/>
        <v>#DIV/0!</v>
      </c>
      <c r="D81" s="56" t="e">
        <f t="shared" si="12"/>
        <v>#DIV/0!</v>
      </c>
      <c r="E81" s="56" t="e">
        <f t="shared" si="13"/>
        <v>#DIV/0!</v>
      </c>
      <c r="F81" s="70" t="e">
        <f>E81*1000</f>
        <v>#DIV/0!</v>
      </c>
    </row>
    <row r="83" spans="1:6" ht="15.5" x14ac:dyDescent="0.35">
      <c r="A83" s="59"/>
      <c r="B83" s="59"/>
      <c r="C83" s="59"/>
      <c r="D83" s="65" t="s">
        <v>261</v>
      </c>
      <c r="E83" s="65"/>
      <c r="F83" s="66"/>
    </row>
    <row r="84" spans="1:6" x14ac:dyDescent="0.25">
      <c r="E84" s="56"/>
      <c r="F84" s="56"/>
    </row>
    <row r="85" spans="1:6" ht="13" x14ac:dyDescent="0.3">
      <c r="A85" s="60" t="s">
        <v>2</v>
      </c>
      <c r="B85" s="61" t="s">
        <v>78</v>
      </c>
      <c r="C85" s="62"/>
      <c r="D85" s="60" t="s">
        <v>70</v>
      </c>
      <c r="E85" s="63" t="s">
        <v>71</v>
      </c>
      <c r="F85" s="64" t="s">
        <v>81</v>
      </c>
    </row>
    <row r="86" spans="1:6" x14ac:dyDescent="0.25">
      <c r="A86">
        <f>$D$8/((PI()/4)*$D$10*$D$4)</f>
        <v>0</v>
      </c>
      <c r="B86" t="e">
        <f>(-2*LOG(($D$11/($D$10*3.71))+(5-0.1*LOG($D$11/$D$10))*A86^-0.9))^-2</f>
        <v>#DIV/0!</v>
      </c>
      <c r="D86" s="56">
        <f>$D$10</f>
        <v>1E-3</v>
      </c>
      <c r="E86" s="56" t="e">
        <f>((0.5*$D$3*$D$8^2*B86)/($D$9*((PI()/4))^2))^0.2</f>
        <v>#DIV/0!</v>
      </c>
      <c r="F86" s="58" t="e">
        <f t="shared" ref="F86:F102" si="15">E86*1000</f>
        <v>#DIV/0!</v>
      </c>
    </row>
    <row r="87" spans="1:6" x14ac:dyDescent="0.25">
      <c r="A87" t="e">
        <f t="shared" ref="A87:A103" si="16">$D$8/((PI()/4)*E86*$D$4)</f>
        <v>#DIV/0!</v>
      </c>
      <c r="B87" t="e">
        <f t="shared" ref="B87:B103" si="17">(-2*LOG(($D$11/(E86*3.71))+(5-0.1*LOG($D$11/E86))*A87^-0.9))^-2</f>
        <v>#DIV/0!</v>
      </c>
      <c r="D87" s="56" t="e">
        <f t="shared" ref="D87:D103" si="18">E86</f>
        <v>#DIV/0!</v>
      </c>
      <c r="E87" s="56" t="e">
        <f t="shared" ref="E87:E103" si="19">((0.5*$D$3*$D$8^2*B87)/($D$9*((PI()/4))^2))^0.2</f>
        <v>#DIV/0!</v>
      </c>
      <c r="F87" s="58" t="e">
        <f t="shared" si="15"/>
        <v>#DIV/0!</v>
      </c>
    </row>
    <row r="88" spans="1:6" x14ac:dyDescent="0.25">
      <c r="A88" t="e">
        <f t="shared" si="16"/>
        <v>#DIV/0!</v>
      </c>
      <c r="B88" t="e">
        <f t="shared" si="17"/>
        <v>#DIV/0!</v>
      </c>
      <c r="D88" s="56" t="e">
        <f t="shared" si="18"/>
        <v>#DIV/0!</v>
      </c>
      <c r="E88" s="56" t="e">
        <f t="shared" si="19"/>
        <v>#DIV/0!</v>
      </c>
      <c r="F88" s="58" t="e">
        <f t="shared" si="15"/>
        <v>#DIV/0!</v>
      </c>
    </row>
    <row r="89" spans="1:6" x14ac:dyDescent="0.25">
      <c r="A89" t="e">
        <f t="shared" si="16"/>
        <v>#DIV/0!</v>
      </c>
      <c r="B89" t="e">
        <f t="shared" si="17"/>
        <v>#DIV/0!</v>
      </c>
      <c r="D89" s="56" t="e">
        <f t="shared" si="18"/>
        <v>#DIV/0!</v>
      </c>
      <c r="E89" s="56" t="e">
        <f t="shared" si="19"/>
        <v>#DIV/0!</v>
      </c>
      <c r="F89" s="58" t="e">
        <f t="shared" si="15"/>
        <v>#DIV/0!</v>
      </c>
    </row>
    <row r="90" spans="1:6" x14ac:dyDescent="0.25">
      <c r="A90" t="e">
        <f t="shared" si="16"/>
        <v>#DIV/0!</v>
      </c>
      <c r="B90" t="e">
        <f t="shared" si="17"/>
        <v>#DIV/0!</v>
      </c>
      <c r="D90" s="56" t="e">
        <f t="shared" si="18"/>
        <v>#DIV/0!</v>
      </c>
      <c r="E90" s="56" t="e">
        <f t="shared" si="19"/>
        <v>#DIV/0!</v>
      </c>
      <c r="F90" s="58" t="e">
        <f t="shared" si="15"/>
        <v>#DIV/0!</v>
      </c>
    </row>
    <row r="91" spans="1:6" x14ac:dyDescent="0.25">
      <c r="A91" t="e">
        <f t="shared" si="16"/>
        <v>#DIV/0!</v>
      </c>
      <c r="B91" t="e">
        <f t="shared" si="17"/>
        <v>#DIV/0!</v>
      </c>
      <c r="D91" s="56" t="e">
        <f t="shared" si="18"/>
        <v>#DIV/0!</v>
      </c>
      <c r="E91" s="56" t="e">
        <f t="shared" si="19"/>
        <v>#DIV/0!</v>
      </c>
      <c r="F91" s="58" t="e">
        <f t="shared" si="15"/>
        <v>#DIV/0!</v>
      </c>
    </row>
    <row r="92" spans="1:6" x14ac:dyDescent="0.25">
      <c r="A92" t="e">
        <f t="shared" si="16"/>
        <v>#DIV/0!</v>
      </c>
      <c r="B92" t="e">
        <f t="shared" si="17"/>
        <v>#DIV/0!</v>
      </c>
      <c r="D92" s="56" t="e">
        <f t="shared" si="18"/>
        <v>#DIV/0!</v>
      </c>
      <c r="E92" s="56" t="e">
        <f t="shared" si="19"/>
        <v>#DIV/0!</v>
      </c>
      <c r="F92" s="58" t="e">
        <f t="shared" si="15"/>
        <v>#DIV/0!</v>
      </c>
    </row>
    <row r="93" spans="1:6" x14ac:dyDescent="0.25">
      <c r="A93" t="e">
        <f t="shared" si="16"/>
        <v>#DIV/0!</v>
      </c>
      <c r="B93" t="e">
        <f t="shared" si="17"/>
        <v>#DIV/0!</v>
      </c>
      <c r="D93" s="56" t="e">
        <f t="shared" si="18"/>
        <v>#DIV/0!</v>
      </c>
      <c r="E93" s="56" t="e">
        <f t="shared" si="19"/>
        <v>#DIV/0!</v>
      </c>
      <c r="F93" s="58" t="e">
        <f t="shared" si="15"/>
        <v>#DIV/0!</v>
      </c>
    </row>
    <row r="94" spans="1:6" x14ac:dyDescent="0.25">
      <c r="A94" t="e">
        <f t="shared" si="16"/>
        <v>#DIV/0!</v>
      </c>
      <c r="B94" t="e">
        <f t="shared" si="17"/>
        <v>#DIV/0!</v>
      </c>
      <c r="D94" s="56" t="e">
        <f t="shared" si="18"/>
        <v>#DIV/0!</v>
      </c>
      <c r="E94" s="56" t="e">
        <f t="shared" si="19"/>
        <v>#DIV/0!</v>
      </c>
      <c r="F94" s="58" t="e">
        <f t="shared" si="15"/>
        <v>#DIV/0!</v>
      </c>
    </row>
    <row r="95" spans="1:6" x14ac:dyDescent="0.25">
      <c r="A95" t="e">
        <f t="shared" si="16"/>
        <v>#DIV/0!</v>
      </c>
      <c r="B95" t="e">
        <f t="shared" si="17"/>
        <v>#DIV/0!</v>
      </c>
      <c r="D95" s="56" t="e">
        <f t="shared" si="18"/>
        <v>#DIV/0!</v>
      </c>
      <c r="E95" s="56" t="e">
        <f t="shared" si="19"/>
        <v>#DIV/0!</v>
      </c>
      <c r="F95" s="58" t="e">
        <f t="shared" si="15"/>
        <v>#DIV/0!</v>
      </c>
    </row>
    <row r="96" spans="1:6" x14ac:dyDescent="0.25">
      <c r="A96" t="e">
        <f t="shared" si="16"/>
        <v>#DIV/0!</v>
      </c>
      <c r="B96" t="e">
        <f t="shared" si="17"/>
        <v>#DIV/0!</v>
      </c>
      <c r="D96" s="56" t="e">
        <f t="shared" si="18"/>
        <v>#DIV/0!</v>
      </c>
      <c r="E96" s="56" t="e">
        <f t="shared" si="19"/>
        <v>#DIV/0!</v>
      </c>
      <c r="F96" s="58" t="e">
        <f t="shared" si="15"/>
        <v>#DIV/0!</v>
      </c>
    </row>
    <row r="97" spans="1:6" x14ac:dyDescent="0.25">
      <c r="A97" t="e">
        <f t="shared" si="16"/>
        <v>#DIV/0!</v>
      </c>
      <c r="B97" t="e">
        <f t="shared" si="17"/>
        <v>#DIV/0!</v>
      </c>
      <c r="D97" s="56" t="e">
        <f t="shared" si="18"/>
        <v>#DIV/0!</v>
      </c>
      <c r="E97" s="56" t="e">
        <f t="shared" si="19"/>
        <v>#DIV/0!</v>
      </c>
      <c r="F97" s="58" t="e">
        <f t="shared" si="15"/>
        <v>#DIV/0!</v>
      </c>
    </row>
    <row r="98" spans="1:6" x14ac:dyDescent="0.25">
      <c r="A98" t="e">
        <f t="shared" si="16"/>
        <v>#DIV/0!</v>
      </c>
      <c r="B98" t="e">
        <f t="shared" si="17"/>
        <v>#DIV/0!</v>
      </c>
      <c r="D98" s="56" t="e">
        <f t="shared" si="18"/>
        <v>#DIV/0!</v>
      </c>
      <c r="E98" s="56" t="e">
        <f t="shared" si="19"/>
        <v>#DIV/0!</v>
      </c>
      <c r="F98" s="58" t="e">
        <f t="shared" si="15"/>
        <v>#DIV/0!</v>
      </c>
    </row>
    <row r="99" spans="1:6" x14ac:dyDescent="0.25">
      <c r="A99" t="e">
        <f t="shared" si="16"/>
        <v>#DIV/0!</v>
      </c>
      <c r="B99" t="e">
        <f t="shared" si="17"/>
        <v>#DIV/0!</v>
      </c>
      <c r="D99" s="56" t="e">
        <f t="shared" si="18"/>
        <v>#DIV/0!</v>
      </c>
      <c r="E99" s="56" t="e">
        <f t="shared" si="19"/>
        <v>#DIV/0!</v>
      </c>
      <c r="F99" s="58" t="e">
        <f t="shared" si="15"/>
        <v>#DIV/0!</v>
      </c>
    </row>
    <row r="100" spans="1:6" x14ac:dyDescent="0.25">
      <c r="A100" t="e">
        <f t="shared" si="16"/>
        <v>#DIV/0!</v>
      </c>
      <c r="B100" t="e">
        <f t="shared" si="17"/>
        <v>#DIV/0!</v>
      </c>
      <c r="D100" s="56" t="e">
        <f t="shared" si="18"/>
        <v>#DIV/0!</v>
      </c>
      <c r="E100" s="56" t="e">
        <f t="shared" si="19"/>
        <v>#DIV/0!</v>
      </c>
      <c r="F100" s="58" t="e">
        <f t="shared" si="15"/>
        <v>#DIV/0!</v>
      </c>
    </row>
    <row r="101" spans="1:6" x14ac:dyDescent="0.25">
      <c r="A101" t="e">
        <f t="shared" si="16"/>
        <v>#DIV/0!</v>
      </c>
      <c r="B101" t="e">
        <f t="shared" si="17"/>
        <v>#DIV/0!</v>
      </c>
      <c r="D101" s="56" t="e">
        <f t="shared" si="18"/>
        <v>#DIV/0!</v>
      </c>
      <c r="E101" s="56" t="e">
        <f t="shared" si="19"/>
        <v>#DIV/0!</v>
      </c>
      <c r="F101" s="58" t="e">
        <f t="shared" si="15"/>
        <v>#DIV/0!</v>
      </c>
    </row>
    <row r="102" spans="1:6" x14ac:dyDescent="0.25">
      <c r="A102" t="e">
        <f t="shared" si="16"/>
        <v>#DIV/0!</v>
      </c>
      <c r="B102" t="e">
        <f t="shared" si="17"/>
        <v>#DIV/0!</v>
      </c>
      <c r="D102" s="56" t="e">
        <f t="shared" si="18"/>
        <v>#DIV/0!</v>
      </c>
      <c r="E102" s="56" t="e">
        <f t="shared" si="19"/>
        <v>#DIV/0!</v>
      </c>
      <c r="F102" s="58" t="e">
        <f t="shared" si="15"/>
        <v>#DIV/0!</v>
      </c>
    </row>
    <row r="103" spans="1:6" x14ac:dyDescent="0.25">
      <c r="A103" t="e">
        <f t="shared" si="16"/>
        <v>#DIV/0!</v>
      </c>
      <c r="B103" t="e">
        <f t="shared" si="17"/>
        <v>#DIV/0!</v>
      </c>
      <c r="D103" s="56" t="e">
        <f t="shared" si="18"/>
        <v>#DIV/0!</v>
      </c>
      <c r="E103" s="56" t="e">
        <f t="shared" si="19"/>
        <v>#DIV/0!</v>
      </c>
      <c r="F103" s="70" t="e">
        <f>E103*1000</f>
        <v>#DIV/0!</v>
      </c>
    </row>
  </sheetData>
  <sheetProtection selectLockedCells="1" selectUnlockedCells="1"/>
  <mergeCells count="1">
    <mergeCell ref="H14:I14"/>
  </mergeCells>
  <phoneticPr fontId="3" type="noConversion"/>
  <pageMargins left="0.75" right="0.75" top="1" bottom="1" header="0" footer="0"/>
  <headerFooter alignWithMargins="0"/>
  <drawing r:id="rId1"/>
  <legacyDrawing r:id="rId2"/>
  <oleObjects>
    <mc:AlternateContent xmlns:mc="http://schemas.openxmlformats.org/markup-compatibility/2006">
      <mc:Choice Requires="x14">
        <oleObject progId="Equation.3" shapeId="3073" r:id="rId3">
          <objectPr defaultSize="0" r:id="rId4">
            <anchor moveWithCells="1">
              <from>
                <xdr:col>5</xdr:col>
                <xdr:colOff>12700</xdr:colOff>
                <xdr:row>1</xdr:row>
                <xdr:rowOff>146050</xdr:rowOff>
              </from>
              <to>
                <xdr:col>11</xdr:col>
                <xdr:colOff>57150</xdr:colOff>
                <xdr:row>11</xdr:row>
                <xdr:rowOff>88900</xdr:rowOff>
              </to>
            </anchor>
          </objectPr>
        </oleObject>
      </mc:Choice>
      <mc:Fallback>
        <oleObject progId="Equation.3" shapeId="3073" r:id="rId3"/>
      </mc:Fallback>
    </mc:AlternateContent>
  </oleObjec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BA49DA1804610541B0C7F37312C70C1C" ma:contentTypeVersion="9" ma:contentTypeDescription="Opret et nyt dokument." ma:contentTypeScope="" ma:versionID="35e020e81b8141c16c74a719ff72917d">
  <xsd:schema xmlns:xsd="http://www.w3.org/2001/XMLSchema" xmlns:xs="http://www.w3.org/2001/XMLSchema" xmlns:p="http://schemas.microsoft.com/office/2006/metadata/properties" xmlns:ns2="3946d706-8ec9-4b4d-aeb9-fc69995c0d30" targetNamespace="http://schemas.microsoft.com/office/2006/metadata/properties" ma:root="true" ma:fieldsID="643c529279001c618a5e3ed13fecbd4f" ns2:_="">
    <xsd:import namespace="3946d706-8ec9-4b4d-aeb9-fc69995c0d3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946d706-8ec9-4b4d-aeb9-fc69995c0d3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4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5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1BCB448-D6F7-4493-A9A4-6D99E2E5CC53}">
  <ds:schemaRefs>
    <ds:schemaRef ds:uri="http://purl.org/dc/dcmitype/"/>
    <ds:schemaRef ds:uri="http://purl.org/dc/terms/"/>
    <ds:schemaRef ds:uri="http://schemas.microsoft.com/office/2006/documentManagement/types"/>
    <ds:schemaRef ds:uri="http://schemas.microsoft.com/office/2006/metadata/properties"/>
    <ds:schemaRef ds:uri="http://www.w3.org/XML/1998/namespace"/>
    <ds:schemaRef ds:uri="http://schemas.openxmlformats.org/package/2006/metadata/core-properties"/>
    <ds:schemaRef ds:uri="http://schemas.microsoft.com/office/infopath/2007/PartnerControls"/>
    <ds:schemaRef ds:uri="3946d706-8ec9-4b4d-aeb9-fc69995c0d30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EEC127B4-0C36-4B97-B585-70580F84AC9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946d706-8ec9-4b4d-aeb9-fc69995c0d3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58A0C935-E1E1-4492-9845-0A12D5A6A93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Dialogs</vt:lpstr>
      </vt:variant>
      <vt:variant>
        <vt:i4>1</vt:i4>
      </vt:variant>
      <vt:variant>
        <vt:lpstr>Named Ranges</vt:lpstr>
      </vt:variant>
      <vt:variant>
        <vt:i4>8</vt:i4>
      </vt:variant>
    </vt:vector>
  </HeadingPairs>
  <TitlesOfParts>
    <vt:vector size="15" baseType="lpstr">
      <vt:lpstr>Template</vt:lpstr>
      <vt:lpstr>Data</vt:lpstr>
      <vt:lpstr>Beregning</vt:lpstr>
      <vt:lpstr>Tabeller</vt:lpstr>
      <vt:lpstr>Colebrook-White</vt:lpstr>
      <vt:lpstr>Tor Wadmark</vt:lpstr>
      <vt:lpstr>__SheetSelection</vt:lpstr>
      <vt:lpstr>dimensioner</vt:lpstr>
      <vt:lpstr>Stoffælles</vt:lpstr>
      <vt:lpstr>stofluft</vt:lpstr>
      <vt:lpstr>stofvand</vt:lpstr>
      <vt:lpstr>stofvandglycol</vt:lpstr>
      <vt:lpstr>Tabel1</vt:lpstr>
      <vt:lpstr>Tabel2</vt:lpstr>
      <vt:lpstr>tabel4</vt:lpstr>
    </vt:vector>
  </TitlesOfParts>
  <Company>Den jydske Haandværkerskole - Hadsten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Tryktabsnomogrammer</dc:title>
  <dc:creator>Thomas Kjems Lyngvad</dc:creator>
  <dc:description>Colebrook-White iterationen er_x000d_
udviklet af Andrew Sleigh</dc:description>
  <cp:lastModifiedBy>TurboNotik-PC</cp:lastModifiedBy>
  <cp:lastPrinted>2004-03-21T14:09:39Z</cp:lastPrinted>
  <dcterms:created xsi:type="dcterms:W3CDTF">2002-03-06T10:31:42Z</dcterms:created>
  <dcterms:modified xsi:type="dcterms:W3CDTF">2020-12-15T10:02:04Z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0x010100BA49DA1804610541B0C7F37312C70C1C</vt:lpwstr>
  </property>
</Properties>
</file>