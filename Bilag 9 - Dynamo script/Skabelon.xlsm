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dialogsheets/sheet1.xml" ContentType="application/vnd.openxmlformats-officedocument.spreadsheetml.dialog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drawings/drawing4.xml" ContentType="application/vnd.openxmlformats-officedocument.drawing+xml"/>
  <Override PartName="/xl/embeddings/oleObject7.bin" ContentType="application/vnd.openxmlformats-officedocument.oleObject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audk.sharepoint.com/sites/Gruppe-1317/Delte dokumenter/2. semester 1.317/Semesterprojekt/Nicolajs Dynamo/"/>
    </mc:Choice>
  </mc:AlternateContent>
  <xr:revisionPtr revIDLastSave="16" documentId="13_ncr:1_{FCB2CB9D-BB63-4F22-A3B7-4CAF40307053}" xr6:coauthVersionLast="45" xr6:coauthVersionMax="45" xr10:uidLastSave="{9F960144-A6A0-4284-AB7E-12EBA8F08EA1}"/>
  <bookViews>
    <workbookView showHorizontalScroll="0" showVerticalScroll="0" xWindow="-120" yWindow="-120" windowWidth="29040" windowHeight="17640" firstSheet="1" activeTab="1" xr2:uid="{00000000-000D-0000-FFFF-FFFF00000000}"/>
  </bookViews>
  <sheets>
    <sheet name="__SheetSelection" sheetId="7" state="hidden" r:id="rId1"/>
    <sheet name="Template" sheetId="5" r:id="rId2"/>
    <sheet name="Data" sheetId="6" r:id="rId3"/>
    <sheet name="Beregning" sheetId="3" r:id="rId4"/>
    <sheet name="Tabeller" sheetId="2" r:id="rId5"/>
    <sheet name="Colebrook-White" sheetId="1" r:id="rId6"/>
    <sheet name="Tor Wadmark" sheetId="4" r:id="rId7"/>
  </sheets>
  <functionGroups builtInGroupCount="19"/>
  <definedNames>
    <definedName name="_xlnm._FilterDatabase" localSheetId="1" hidden="1">Template!$A$1:$I$5</definedName>
    <definedName name="dimensioner">Tabeller!$F$55:$AT$74</definedName>
    <definedName name="Stoffælles">Tabeller!$F$6:$L$36</definedName>
    <definedName name="stofluft">Tabeller!$F$44:$H$74</definedName>
    <definedName name="stofvand">Tabeller!$F$7:$J$25</definedName>
    <definedName name="stofvandglycol">Tabeller!$K$17:$L$35</definedName>
    <definedName name="Tabel1">Tabeller!$B$6:$C$23</definedName>
    <definedName name="Tabel2">Tabeller!$F$6:$N$36</definedName>
    <definedName name="tabel4">Tabeller!$F$43:$G$47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9" i="2" l="1"/>
  <c r="C21" i="3" l="1"/>
  <c r="D64" i="4" l="1"/>
  <c r="D42" i="4"/>
  <c r="D86" i="4"/>
  <c r="D20" i="4"/>
  <c r="A51" i="2"/>
  <c r="A56" i="2" s="1"/>
  <c r="D7" i="4" s="1"/>
  <c r="C22" i="3"/>
  <c r="C19" i="3"/>
  <c r="C20" i="3"/>
  <c r="A55" i="2" l="1"/>
  <c r="D6" i="4" s="1"/>
  <c r="A57" i="2"/>
  <c r="D8" i="4" s="1"/>
  <c r="A54" i="2"/>
  <c r="U78" i="2"/>
  <c r="A60" i="2"/>
  <c r="K21" i="3"/>
  <c r="J21" i="3"/>
  <c r="K20" i="3"/>
  <c r="J20" i="3"/>
  <c r="K19" i="3"/>
  <c r="J19" i="3"/>
  <c r="K18" i="3"/>
  <c r="J18" i="3"/>
  <c r="K17" i="3"/>
  <c r="J17" i="3"/>
  <c r="K16" i="3"/>
  <c r="J16" i="3"/>
  <c r="K15" i="3"/>
  <c r="J15" i="3"/>
  <c r="K14" i="3"/>
  <c r="J14" i="3"/>
  <c r="K13" i="3"/>
  <c r="J13" i="3"/>
  <c r="K12" i="3"/>
  <c r="J12" i="3"/>
  <c r="I21" i="3"/>
  <c r="H21" i="3"/>
  <c r="I20" i="3"/>
  <c r="H20" i="3"/>
  <c r="I19" i="3"/>
  <c r="H19" i="3"/>
  <c r="I18" i="3"/>
  <c r="H18" i="3"/>
  <c r="I17" i="3"/>
  <c r="H17" i="3"/>
  <c r="I16" i="3"/>
  <c r="H16" i="3"/>
  <c r="I15" i="3"/>
  <c r="H15" i="3"/>
  <c r="I14" i="3"/>
  <c r="H14" i="3"/>
  <c r="I13" i="3"/>
  <c r="H13" i="3"/>
  <c r="I12" i="3"/>
  <c r="H12" i="3"/>
  <c r="A45" i="2"/>
  <c r="C18" i="1" s="1"/>
  <c r="D11" i="4"/>
  <c r="D9" i="4"/>
  <c r="C19" i="1"/>
  <c r="H10" i="2"/>
  <c r="G43" i="2"/>
  <c r="K5" i="2"/>
  <c r="K8" i="2" s="1"/>
  <c r="H17" i="2"/>
  <c r="H12" i="2"/>
  <c r="H26" i="2"/>
  <c r="H8" i="2"/>
  <c r="H9" i="2"/>
  <c r="H11" i="2"/>
  <c r="H13" i="2"/>
  <c r="H14" i="2"/>
  <c r="H15" i="2"/>
  <c r="H16" i="2"/>
  <c r="H18" i="2"/>
  <c r="H19" i="2"/>
  <c r="H20" i="2"/>
  <c r="H21" i="2"/>
  <c r="H22" i="2"/>
  <c r="H23" i="2"/>
  <c r="H24" i="2"/>
  <c r="H25" i="2"/>
  <c r="H7" i="2"/>
  <c r="A42" i="2"/>
  <c r="D4" i="4" s="1"/>
  <c r="A64" i="4" s="1"/>
  <c r="B64" i="4" s="1"/>
  <c r="E11" i="3"/>
  <c r="D5" i="4" l="1"/>
  <c r="A20" i="4" s="1"/>
  <c r="B20" i="4" s="1"/>
  <c r="A86" i="4"/>
  <c r="B86" i="4" s="1"/>
  <c r="A42" i="4"/>
  <c r="B42" i="4" s="1"/>
  <c r="K20" i="2"/>
  <c r="K9" i="2"/>
  <c r="K10" i="2"/>
  <c r="K18" i="2"/>
  <c r="K7" i="2"/>
  <c r="K25" i="2"/>
  <c r="K16" i="2"/>
  <c r="K26" i="2"/>
  <c r="K15" i="2"/>
  <c r="K19" i="2"/>
  <c r="K24" i="2"/>
  <c r="K22" i="2"/>
  <c r="K13" i="2"/>
  <c r="K12" i="2"/>
  <c r="K23" i="2"/>
  <c r="K14" i="2"/>
  <c r="K21" i="2"/>
  <c r="K11" i="2"/>
  <c r="K17" i="2"/>
  <c r="D3" i="4"/>
  <c r="E64" i="4" s="1"/>
  <c r="A65" i="4" s="1"/>
  <c r="C29" i="3"/>
  <c r="C29" i="1"/>
  <c r="C31" i="1"/>
  <c r="C40" i="1"/>
  <c r="C39" i="1"/>
  <c r="C34" i="1"/>
  <c r="C32" i="1"/>
  <c r="C30" i="1"/>
  <c r="C33" i="1"/>
  <c r="C36" i="1"/>
  <c r="C35" i="1"/>
  <c r="C38" i="1"/>
  <c r="C37" i="1"/>
  <c r="C41" i="1"/>
  <c r="A63" i="2"/>
  <c r="E86" i="4" l="1"/>
  <c r="E20" i="4"/>
  <c r="E42" i="4"/>
  <c r="A43" i="4" s="1"/>
  <c r="C34" i="3"/>
  <c r="A66" i="2"/>
  <c r="C20" i="1" s="1"/>
  <c r="D65" i="4" l="1"/>
  <c r="F64" i="4"/>
  <c r="B65" i="4"/>
  <c r="E65" i="4" s="1"/>
  <c r="A87" i="4"/>
  <c r="B87" i="4" s="1"/>
  <c r="E87" i="4" s="1"/>
  <c r="D43" i="4"/>
  <c r="B43" i="4"/>
  <c r="E43" i="4" s="1"/>
  <c r="F42" i="4"/>
  <c r="D87" i="4"/>
  <c r="F86" i="4"/>
  <c r="A21" i="4"/>
  <c r="B21" i="4" s="1"/>
  <c r="E21" i="4" s="1"/>
  <c r="F20" i="4"/>
  <c r="D21" i="4"/>
  <c r="D23" i="1"/>
  <c r="E26" i="1"/>
  <c r="D24" i="1"/>
  <c r="E24" i="1" s="1"/>
  <c r="A66" i="4" l="1"/>
  <c r="B66" i="4" s="1"/>
  <c r="E66" i="4" s="1"/>
  <c r="D66" i="4"/>
  <c r="F65" i="4"/>
  <c r="A88" i="4"/>
  <c r="B88" i="4" s="1"/>
  <c r="E88" i="4" s="1"/>
  <c r="A89" i="4" s="1"/>
  <c r="D44" i="4"/>
  <c r="A44" i="4"/>
  <c r="B44" i="4" s="1"/>
  <c r="E44" i="4" s="1"/>
  <c r="F43" i="4"/>
  <c r="D88" i="4"/>
  <c r="F87" i="4"/>
  <c r="D22" i="4"/>
  <c r="F21" i="4"/>
  <c r="A22" i="4"/>
  <c r="B22" i="4" s="1"/>
  <c r="E23" i="1"/>
  <c r="B29" i="1"/>
  <c r="A67" i="4" l="1"/>
  <c r="B67" i="4" s="1"/>
  <c r="F66" i="4"/>
  <c r="D67" i="4"/>
  <c r="E22" i="4"/>
  <c r="A23" i="4" s="1"/>
  <c r="B23" i="4" s="1"/>
  <c r="E23" i="4" s="1"/>
  <c r="F23" i="4" s="1"/>
  <c r="B89" i="4"/>
  <c r="E89" i="4" s="1"/>
  <c r="D89" i="4"/>
  <c r="F88" i="4"/>
  <c r="A45" i="4"/>
  <c r="B45" i="4" s="1"/>
  <c r="E45" i="4" s="1"/>
  <c r="D45" i="4"/>
  <c r="F44" i="4"/>
  <c r="I29" i="1"/>
  <c r="F29" i="1"/>
  <c r="D29" i="1"/>
  <c r="E67" i="4" l="1"/>
  <c r="A68" i="4" s="1"/>
  <c r="D23" i="4"/>
  <c r="F22" i="4"/>
  <c r="A24" i="4"/>
  <c r="B24" i="4" s="1"/>
  <c r="E24" i="4" s="1"/>
  <c r="A25" i="4" s="1"/>
  <c r="B25" i="4" s="1"/>
  <c r="E25" i="4" s="1"/>
  <c r="D24" i="4"/>
  <c r="A46" i="4"/>
  <c r="B46" i="4" s="1"/>
  <c r="E46" i="4" s="1"/>
  <c r="D46" i="4"/>
  <c r="F45" i="4"/>
  <c r="A90" i="4"/>
  <c r="B90" i="4" s="1"/>
  <c r="E90" i="4" s="1"/>
  <c r="D90" i="4"/>
  <c r="F89" i="4"/>
  <c r="B30" i="1"/>
  <c r="G29" i="1"/>
  <c r="H29" i="1" s="1"/>
  <c r="D68" i="4" l="1"/>
  <c r="B68" i="4"/>
  <c r="F67" i="4"/>
  <c r="D25" i="4"/>
  <c r="F24" i="4"/>
  <c r="A91" i="4"/>
  <c r="B91" i="4" s="1"/>
  <c r="E91" i="4" s="1"/>
  <c r="D91" i="4"/>
  <c r="F90" i="4"/>
  <c r="A47" i="4"/>
  <c r="B47" i="4" s="1"/>
  <c r="E47" i="4" s="1"/>
  <c r="D47" i="4"/>
  <c r="F46" i="4"/>
  <c r="A26" i="4"/>
  <c r="B26" i="4" s="1"/>
  <c r="E26" i="4" s="1"/>
  <c r="F25" i="4"/>
  <c r="D26" i="4"/>
  <c r="I30" i="1"/>
  <c r="F30" i="1"/>
  <c r="D30" i="1"/>
  <c r="E68" i="4" l="1"/>
  <c r="A48" i="4"/>
  <c r="B48" i="4" s="1"/>
  <c r="E48" i="4" s="1"/>
  <c r="D48" i="4"/>
  <c r="F47" i="4"/>
  <c r="A92" i="4"/>
  <c r="B92" i="4" s="1"/>
  <c r="E92" i="4" s="1"/>
  <c r="D92" i="4"/>
  <c r="F91" i="4"/>
  <c r="F26" i="4"/>
  <c r="D27" i="4"/>
  <c r="A27" i="4"/>
  <c r="B27" i="4" s="1"/>
  <c r="E27" i="4" s="1"/>
  <c r="B31" i="1"/>
  <c r="G30" i="1"/>
  <c r="H30" i="1" s="1"/>
  <c r="F68" i="4" l="1"/>
  <c r="D69" i="4"/>
  <c r="A69" i="4"/>
  <c r="B69" i="4" s="1"/>
  <c r="A49" i="4"/>
  <c r="B49" i="4" s="1"/>
  <c r="E49" i="4" s="1"/>
  <c r="D49" i="4"/>
  <c r="F48" i="4"/>
  <c r="A93" i="4"/>
  <c r="B93" i="4" s="1"/>
  <c r="E93" i="4" s="1"/>
  <c r="D93" i="4"/>
  <c r="F92" i="4"/>
  <c r="I31" i="1"/>
  <c r="F31" i="1"/>
  <c r="D31" i="1"/>
  <c r="F27" i="4"/>
  <c r="A28" i="4"/>
  <c r="B28" i="4" s="1"/>
  <c r="E28" i="4" s="1"/>
  <c r="D28" i="4"/>
  <c r="E69" i="4" l="1"/>
  <c r="A50" i="4"/>
  <c r="B50" i="4" s="1"/>
  <c r="E50" i="4" s="1"/>
  <c r="F49" i="4"/>
  <c r="D50" i="4"/>
  <c r="A94" i="4"/>
  <c r="B94" i="4" s="1"/>
  <c r="E94" i="4" s="1"/>
  <c r="F93" i="4"/>
  <c r="D94" i="4"/>
  <c r="A29" i="4"/>
  <c r="B29" i="4" s="1"/>
  <c r="E29" i="4" s="1"/>
  <c r="D29" i="4"/>
  <c r="F28" i="4"/>
  <c r="B32" i="1"/>
  <c r="G31" i="1"/>
  <c r="H31" i="1" s="1"/>
  <c r="D70" i="4" l="1"/>
  <c r="F69" i="4"/>
  <c r="A70" i="4"/>
  <c r="B70" i="4" s="1"/>
  <c r="A51" i="4"/>
  <c r="B51" i="4" s="1"/>
  <c r="E51" i="4" s="1"/>
  <c r="D51" i="4"/>
  <c r="F50" i="4"/>
  <c r="A95" i="4"/>
  <c r="B95" i="4" s="1"/>
  <c r="E95" i="4" s="1"/>
  <c r="D95" i="4"/>
  <c r="F94" i="4"/>
  <c r="F29" i="4"/>
  <c r="D30" i="4"/>
  <c r="A30" i="4"/>
  <c r="B30" i="4" s="1"/>
  <c r="E30" i="4" s="1"/>
  <c r="F32" i="1"/>
  <c r="I32" i="1"/>
  <c r="D32" i="1"/>
  <c r="E70" i="4" l="1"/>
  <c r="A52" i="4"/>
  <c r="B52" i="4" s="1"/>
  <c r="E52" i="4" s="1"/>
  <c r="D52" i="4"/>
  <c r="F51" i="4"/>
  <c r="A96" i="4"/>
  <c r="B96" i="4" s="1"/>
  <c r="E96" i="4" s="1"/>
  <c r="D96" i="4"/>
  <c r="F95" i="4"/>
  <c r="A31" i="4"/>
  <c r="B31" i="4" s="1"/>
  <c r="E31" i="4" s="1"/>
  <c r="D31" i="4"/>
  <c r="F30" i="4"/>
  <c r="B33" i="1"/>
  <c r="G32" i="1"/>
  <c r="H32" i="1" s="1"/>
  <c r="F70" i="4" l="1"/>
  <c r="D71" i="4"/>
  <c r="A71" i="4"/>
  <c r="B71" i="4" s="1"/>
  <c r="A53" i="4"/>
  <c r="B53" i="4" s="1"/>
  <c r="E53" i="4" s="1"/>
  <c r="D53" i="4"/>
  <c r="F52" i="4"/>
  <c r="A97" i="4"/>
  <c r="B97" i="4" s="1"/>
  <c r="E97" i="4" s="1"/>
  <c r="F96" i="4"/>
  <c r="D97" i="4"/>
  <c r="I33" i="1"/>
  <c r="F33" i="1"/>
  <c r="D33" i="1"/>
  <c r="F31" i="4"/>
  <c r="A32" i="4"/>
  <c r="B32" i="4" s="1"/>
  <c r="E32" i="4" s="1"/>
  <c r="A33" i="4" s="1"/>
  <c r="D32" i="4"/>
  <c r="E71" i="4" l="1"/>
  <c r="A98" i="4"/>
  <c r="B98" i="4" s="1"/>
  <c r="E98" i="4" s="1"/>
  <c r="F97" i="4"/>
  <c r="D98" i="4"/>
  <c r="A54" i="4"/>
  <c r="B54" i="4" s="1"/>
  <c r="E54" i="4" s="1"/>
  <c r="D54" i="4"/>
  <c r="F53" i="4"/>
  <c r="G33" i="1"/>
  <c r="H33" i="1" s="1"/>
  <c r="B34" i="1"/>
  <c r="D33" i="4"/>
  <c r="F32" i="4"/>
  <c r="B33" i="4"/>
  <c r="E33" i="4" s="1"/>
  <c r="D72" i="4" l="1"/>
  <c r="F71" i="4"/>
  <c r="A72" i="4"/>
  <c r="B72" i="4" s="1"/>
  <c r="A55" i="4"/>
  <c r="B55" i="4" s="1"/>
  <c r="E55" i="4" s="1"/>
  <c r="F54" i="4"/>
  <c r="D55" i="4"/>
  <c r="A99" i="4"/>
  <c r="B99" i="4" s="1"/>
  <c r="E99" i="4" s="1"/>
  <c r="D99" i="4"/>
  <c r="F98" i="4"/>
  <c r="F34" i="1"/>
  <c r="I34" i="1"/>
  <c r="D34" i="1"/>
  <c r="D34" i="4"/>
  <c r="A34" i="4"/>
  <c r="B34" i="4" s="1"/>
  <c r="E34" i="4" s="1"/>
  <c r="F33" i="4"/>
  <c r="E72" i="4" l="1"/>
  <c r="A100" i="4"/>
  <c r="B100" i="4" s="1"/>
  <c r="E100" i="4" s="1"/>
  <c r="D100" i="4"/>
  <c r="F99" i="4"/>
  <c r="A56" i="4"/>
  <c r="B56" i="4" s="1"/>
  <c r="E56" i="4" s="1"/>
  <c r="F55" i="4"/>
  <c r="D56" i="4"/>
  <c r="A35" i="4"/>
  <c r="B35" i="4" s="1"/>
  <c r="E35" i="4" s="1"/>
  <c r="F34" i="4"/>
  <c r="D35" i="4"/>
  <c r="G34" i="1"/>
  <c r="H34" i="1" s="1"/>
  <c r="B35" i="1"/>
  <c r="D73" i="4" l="1"/>
  <c r="F72" i="4"/>
  <c r="A73" i="4"/>
  <c r="B73" i="4" s="1"/>
  <c r="A57" i="4"/>
  <c r="B57" i="4" s="1"/>
  <c r="E57" i="4" s="1"/>
  <c r="D57" i="4"/>
  <c r="F56" i="4"/>
  <c r="A101" i="4"/>
  <c r="B101" i="4" s="1"/>
  <c r="E101" i="4" s="1"/>
  <c r="D101" i="4"/>
  <c r="F100" i="4"/>
  <c r="F35" i="1"/>
  <c r="I35" i="1"/>
  <c r="D35" i="1"/>
  <c r="D36" i="4"/>
  <c r="F35" i="4"/>
  <c r="A36" i="4"/>
  <c r="B36" i="4" s="1"/>
  <c r="E36" i="4" s="1"/>
  <c r="E73" i="4" l="1"/>
  <c r="A58" i="4"/>
  <c r="B58" i="4" s="1"/>
  <c r="E58" i="4" s="1"/>
  <c r="A59" i="4" s="1"/>
  <c r="F57" i="4"/>
  <c r="D58" i="4"/>
  <c r="A102" i="4"/>
  <c r="B102" i="4" s="1"/>
  <c r="E102" i="4" s="1"/>
  <c r="F101" i="4"/>
  <c r="D102" i="4"/>
  <c r="D37" i="4"/>
  <c r="F36" i="4"/>
  <c r="A37" i="4"/>
  <c r="B37" i="4" s="1"/>
  <c r="E37" i="4" s="1"/>
  <c r="F37" i="4" s="1"/>
  <c r="I29" i="3" s="1"/>
  <c r="I34" i="3" s="1"/>
  <c r="G35" i="1"/>
  <c r="H35" i="1" s="1"/>
  <c r="B36" i="1"/>
  <c r="F73" i="4" l="1"/>
  <c r="D74" i="4"/>
  <c r="A74" i="4"/>
  <c r="B74" i="4" s="1"/>
  <c r="A103" i="4"/>
  <c r="B103" i="4" s="1"/>
  <c r="D103" i="4"/>
  <c r="F102" i="4"/>
  <c r="B59" i="4"/>
  <c r="D59" i="4"/>
  <c r="F58" i="4"/>
  <c r="F36" i="1"/>
  <c r="I36" i="1"/>
  <c r="D36" i="1"/>
  <c r="E74" i="4" l="1"/>
  <c r="A75" i="4" s="1"/>
  <c r="E103" i="4"/>
  <c r="F103" i="4" s="1"/>
  <c r="I32" i="3" s="1"/>
  <c r="E59" i="4"/>
  <c r="F59" i="4" s="1"/>
  <c r="I30" i="3" s="1"/>
  <c r="I36" i="3"/>
  <c r="G36" i="1"/>
  <c r="H36" i="1" s="1"/>
  <c r="B37" i="1"/>
  <c r="B75" i="4" l="1"/>
  <c r="D75" i="4"/>
  <c r="F74" i="4"/>
  <c r="I37" i="1"/>
  <c r="F37" i="1"/>
  <c r="D37" i="1"/>
  <c r="E75" i="4" l="1"/>
  <c r="B38" i="1"/>
  <c r="G37" i="1"/>
  <c r="H37" i="1" s="1"/>
  <c r="D76" i="4" l="1"/>
  <c r="F75" i="4"/>
  <c r="A76" i="4"/>
  <c r="B76" i="4" s="1"/>
  <c r="F38" i="1"/>
  <c r="I38" i="1"/>
  <c r="D38" i="1"/>
  <c r="E76" i="4" l="1"/>
  <c r="B39" i="1"/>
  <c r="G38" i="1"/>
  <c r="H38" i="1" s="1"/>
  <c r="D77" i="4" l="1"/>
  <c r="F76" i="4"/>
  <c r="A77" i="4"/>
  <c r="B77" i="4" s="1"/>
  <c r="F39" i="1"/>
  <c r="I39" i="1"/>
  <c r="D39" i="1"/>
  <c r="E77" i="4" l="1"/>
  <c r="B40" i="1"/>
  <c r="G39" i="1"/>
  <c r="H39" i="1" s="1"/>
  <c r="F77" i="4" l="1"/>
  <c r="D78" i="4"/>
  <c r="A78" i="4"/>
  <c r="B78" i="4" s="1"/>
  <c r="I40" i="1"/>
  <c r="F40" i="1"/>
  <c r="D40" i="1"/>
  <c r="E78" i="4" l="1"/>
  <c r="B41" i="1"/>
  <c r="D25" i="1" s="1"/>
  <c r="E25" i="1" s="1"/>
  <c r="G40" i="1"/>
  <c r="H40" i="1" s="1"/>
  <c r="D79" i="4" l="1"/>
  <c r="F78" i="4"/>
  <c r="A79" i="4"/>
  <c r="B79" i="4" s="1"/>
  <c r="I41" i="1"/>
  <c r="F41" i="1"/>
  <c r="D41" i="1"/>
  <c r="G41" i="1" s="1"/>
  <c r="E79" i="4" l="1"/>
  <c r="C36" i="3"/>
  <c r="H41" i="1"/>
  <c r="F79" i="4" l="1"/>
  <c r="D80" i="4"/>
  <c r="A80" i="4"/>
  <c r="B80" i="4" s="1"/>
  <c r="E80" i="4" l="1"/>
  <c r="F80" i="4" l="1"/>
  <c r="D81" i="4"/>
  <c r="A81" i="4"/>
  <c r="B81" i="4" s="1"/>
  <c r="E81" i="4" l="1"/>
  <c r="F81" i="4" s="1"/>
  <c r="I31" i="3" s="1"/>
</calcChain>
</file>

<file path=xl/sharedStrings.xml><?xml version="1.0" encoding="utf-8"?>
<sst xmlns="http://schemas.openxmlformats.org/spreadsheetml/2006/main" count="23607" uniqueCount="582">
  <si>
    <t>d (mm)</t>
  </si>
  <si>
    <t>ks (mm)</t>
  </si>
  <si>
    <t>Re</t>
  </si>
  <si>
    <t>f</t>
  </si>
  <si>
    <t>a</t>
  </si>
  <si>
    <t>b</t>
  </si>
  <si>
    <t>f(n)</t>
  </si>
  <si>
    <t>LHS</t>
  </si>
  <si>
    <t>RHS</t>
  </si>
  <si>
    <t>Error</t>
  </si>
  <si>
    <t>λ</t>
  </si>
  <si>
    <t>Moody</t>
  </si>
  <si>
    <t>Barr</t>
  </si>
  <si>
    <t>Colebrook white</t>
  </si>
  <si>
    <t>Colebrook-White iteration</t>
  </si>
  <si>
    <t>Colebrook-White</t>
  </si>
  <si>
    <t>This sheet gives the value of friction factor f from the Colbrook-White, Moody and Barr formulea</t>
  </si>
  <si>
    <t>Enter the parameters here</t>
  </si>
  <si>
    <t>Enter the parameters in the coloured boxes</t>
  </si>
  <si>
    <t>Solution</t>
  </si>
  <si>
    <t>Sandruhed</t>
  </si>
  <si>
    <t>Betegnelse</t>
  </si>
  <si>
    <t>Hjælpekolonne</t>
  </si>
  <si>
    <t xml:space="preserve"> </t>
  </si>
  <si>
    <t>[-]</t>
  </si>
  <si>
    <t>[mm]</t>
  </si>
  <si>
    <t>Betonkanaler (til ventilation)</t>
  </si>
  <si>
    <t>Asbest-cementrør (DS160)</t>
  </si>
  <si>
    <t>Tabel 1</t>
  </si>
  <si>
    <t>Temperatur</t>
  </si>
  <si>
    <t>Densitet</t>
  </si>
  <si>
    <t>Kinematisk viskositet</t>
  </si>
  <si>
    <t>[Cº]</t>
  </si>
  <si>
    <t>Tabel 3</t>
  </si>
  <si>
    <t>Skorsten af svejste stålrør/kanaler</t>
  </si>
  <si>
    <t>Skorsten af let rustne svejste stålrør/kanaler</t>
  </si>
  <si>
    <t>Skorsten af belagte rør/kanaler</t>
  </si>
  <si>
    <t>Medie</t>
  </si>
  <si>
    <t>Rørmateriale og absolut sandruheder</t>
  </si>
  <si>
    <t>Rørmateriale:</t>
  </si>
  <si>
    <t>Temperatur [ºC]</t>
  </si>
  <si>
    <t>Flow (vælg enhed)</t>
  </si>
  <si>
    <t>Enhed</t>
  </si>
  <si>
    <t>Omregningsfaktor</t>
  </si>
  <si>
    <t>kg/h</t>
  </si>
  <si>
    <t>l/s</t>
  </si>
  <si>
    <t>l/h</t>
  </si>
  <si>
    <t>m3/h</t>
  </si>
  <si>
    <t>m3/s</t>
  </si>
  <si>
    <t>Opslag densitet</t>
  </si>
  <si>
    <t>Opslag kinematisk viskosistet</t>
  </si>
  <si>
    <t>Tabel 4</t>
  </si>
  <si>
    <t>Opslag ruhed</t>
  </si>
  <si>
    <t>Cellekæde omregningsfaktor flow</t>
  </si>
  <si>
    <t>Cellekæde temperatur:</t>
  </si>
  <si>
    <t>Cellekæde rørtype</t>
  </si>
  <si>
    <t>Cellekæde medie:</t>
  </si>
  <si>
    <t>Omregning flow til m3/s</t>
  </si>
  <si>
    <t>Opslag omregningfaktor flow</t>
  </si>
  <si>
    <t>Beregning rørareal [m²]</t>
  </si>
  <si>
    <t>Beregning hastighed [m/s]</t>
  </si>
  <si>
    <t>Beregning Reynolds tal</t>
  </si>
  <si>
    <t>Efter Colebrook-White´s formel</t>
  </si>
  <si>
    <r>
      <t xml:space="preserve">Kobberrør </t>
    </r>
    <r>
      <rPr>
        <u/>
        <sz val="10"/>
        <rFont val="Arial"/>
        <family val="2"/>
      </rPr>
      <t>med</t>
    </r>
    <r>
      <rPr>
        <sz val="10"/>
        <rFont val="Arial"/>
        <family val="2"/>
      </rPr>
      <t xml:space="preserve"> kalkafsætning (DS2110)</t>
    </r>
  </si>
  <si>
    <r>
      <t xml:space="preserve">Kobberrør </t>
    </r>
    <r>
      <rPr>
        <u/>
        <sz val="10"/>
        <rFont val="Arial"/>
        <family val="2"/>
      </rPr>
      <t>uden</t>
    </r>
    <r>
      <rPr>
        <sz val="10"/>
        <rFont val="Arial"/>
        <family val="2"/>
      </rPr>
      <t xml:space="preserve"> kalkafsætning (DS2110)</t>
    </r>
  </si>
  <si>
    <t>[pa]</t>
  </si>
  <si>
    <t>[pa/m]</t>
  </si>
  <si>
    <r>
      <t>Dynamisk tryk p</t>
    </r>
    <r>
      <rPr>
        <b/>
        <sz val="8"/>
        <rFont val="Arial"/>
        <family val="2"/>
      </rPr>
      <t>d</t>
    </r>
  </si>
  <si>
    <t>Tor Wadmark</t>
  </si>
  <si>
    <t xml:space="preserve">diameter gæt </t>
  </si>
  <si>
    <t>VS</t>
  </si>
  <si>
    <t>HS</t>
  </si>
  <si>
    <t>pa/m</t>
  </si>
  <si>
    <t>mm</t>
  </si>
  <si>
    <t>m³/s</t>
  </si>
  <si>
    <t>kg/m³</t>
  </si>
  <si>
    <t>[m²/s]</t>
  </si>
  <si>
    <t>ruhed</t>
  </si>
  <si>
    <t>l</t>
  </si>
  <si>
    <t>m</t>
  </si>
  <si>
    <t>Tor Wadmarks ligning</t>
  </si>
  <si>
    <t>HS*1000</t>
  </si>
  <si>
    <t>qv</t>
  </si>
  <si>
    <t>Rdisp</t>
  </si>
  <si>
    <t xml:space="preserve">Diameter som funktion af flow og tryktabsgradient </t>
  </si>
  <si>
    <t>Tabel 2 - stofværdier</t>
  </si>
  <si>
    <t>Vand</t>
  </si>
  <si>
    <t>Hastighed v</t>
  </si>
  <si>
    <t>[m/s]</t>
  </si>
  <si>
    <r>
      <t>Min. indvendig diameter d</t>
    </r>
    <r>
      <rPr>
        <sz val="8"/>
        <rFont val="Arial"/>
        <family val="2"/>
      </rPr>
      <t>i</t>
    </r>
  </si>
  <si>
    <r>
      <t>Indvendig diameter d</t>
    </r>
    <r>
      <rPr>
        <b/>
        <sz val="8"/>
        <rFont val="Arial"/>
        <family val="2"/>
      </rPr>
      <t xml:space="preserve">i </t>
    </r>
    <r>
      <rPr>
        <b/>
        <sz val="10"/>
        <rFont val="Arial"/>
        <family val="2"/>
      </rPr>
      <t>/</t>
    </r>
    <r>
      <rPr>
        <b/>
        <sz val="8"/>
        <rFont val="Arial"/>
        <family val="2"/>
      </rPr>
      <t xml:space="preserve"> </t>
    </r>
    <r>
      <rPr>
        <b/>
        <sz val="10"/>
        <rFont val="Arial"/>
        <family val="2"/>
      </rPr>
      <t>d</t>
    </r>
    <r>
      <rPr>
        <b/>
        <sz val="8"/>
        <rFont val="Arial"/>
        <family val="2"/>
      </rPr>
      <t>h</t>
    </r>
  </si>
  <si>
    <r>
      <t xml:space="preserve">Kinematisk viskositet 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 xml:space="preserve"> [m²/s]</t>
    </r>
  </si>
  <si>
    <r>
      <t xml:space="preserve">Densitet 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 xml:space="preserve"> [kg/m³]</t>
    </r>
  </si>
  <si>
    <t>Vand/Glycol</t>
  </si>
  <si>
    <t>Luft</t>
  </si>
  <si>
    <t>Vand (0-100ºC), Luft (-20-300ºC)</t>
  </si>
  <si>
    <t>Rørmateriale og dimensioner</t>
  </si>
  <si>
    <t>Nominel dim.</t>
  </si>
  <si>
    <t>Di 1</t>
  </si>
  <si>
    <t>Di 2</t>
  </si>
  <si>
    <t>Di 3</t>
  </si>
  <si>
    <t>Di 4</t>
  </si>
  <si>
    <t>Di 5</t>
  </si>
  <si>
    <t>Di 6</t>
  </si>
  <si>
    <t>Di 7</t>
  </si>
  <si>
    <t>Di 8</t>
  </si>
  <si>
    <t>Di 9</t>
  </si>
  <si>
    <t>Di 10</t>
  </si>
  <si>
    <t>Di 11</t>
  </si>
  <si>
    <t>Di 12</t>
  </si>
  <si>
    <t>Di 13</t>
  </si>
  <si>
    <t>Di 14</t>
  </si>
  <si>
    <t>Di 15</t>
  </si>
  <si>
    <t>Di 16</t>
  </si>
  <si>
    <t>Di 17</t>
  </si>
  <si>
    <t>Di 18</t>
  </si>
  <si>
    <t>Di 19</t>
  </si>
  <si>
    <t>Di 20</t>
  </si>
  <si>
    <t>Støbejernsrør SG-rør klasse K9</t>
  </si>
  <si>
    <t>PVC-rør (DS972) PN10</t>
  </si>
  <si>
    <t>PEL-rør (DS719) PN10</t>
  </si>
  <si>
    <t>PEM- og PEH-rør (DS2129) PN10</t>
  </si>
  <si>
    <t>AluPEX-rør</t>
  </si>
  <si>
    <t>Ø63</t>
  </si>
  <si>
    <t>Ø80</t>
  </si>
  <si>
    <t>Ø100</t>
  </si>
  <si>
    <t>Ø125</t>
  </si>
  <si>
    <t>Ø160</t>
  </si>
  <si>
    <t>Ø200</t>
  </si>
  <si>
    <t>Ø250</t>
  </si>
  <si>
    <t>Ø315</t>
  </si>
  <si>
    <t>Ø400</t>
  </si>
  <si>
    <t>Ø450</t>
  </si>
  <si>
    <t>Ø500</t>
  </si>
  <si>
    <t>Ø560</t>
  </si>
  <si>
    <t>Ø630</t>
  </si>
  <si>
    <t>Ø710</t>
  </si>
  <si>
    <t>Ø800</t>
  </si>
  <si>
    <t>Ø900</t>
  </si>
  <si>
    <t>Ø1000</t>
  </si>
  <si>
    <t>Ø1250</t>
  </si>
  <si>
    <t>Ø1400</t>
  </si>
  <si>
    <t xml:space="preserve">Efter Tor Wadmarks formel (afvigelse fra Colebrook-White er ca. -1/+3% </t>
  </si>
  <si>
    <t>Udvalgte handelsdimensioner og indvendige diametre [mm]</t>
  </si>
  <si>
    <r>
      <t>d</t>
    </r>
    <r>
      <rPr>
        <b/>
        <sz val="8"/>
        <rFont val="Arial"/>
        <family val="2"/>
      </rPr>
      <t>i</t>
    </r>
  </si>
  <si>
    <t>Ø1500</t>
  </si>
  <si>
    <t>Varmforzinkede stålrør DIN2444 (gevindrør) med afsætning</t>
  </si>
  <si>
    <t>-</t>
  </si>
  <si>
    <t>DN 1</t>
  </si>
  <si>
    <t>DN 2</t>
  </si>
  <si>
    <t>DN 3</t>
  </si>
  <si>
    <t>DN 4</t>
  </si>
  <si>
    <t>DN 5</t>
  </si>
  <si>
    <t>DN 6</t>
  </si>
  <si>
    <t>DN 7</t>
  </si>
  <si>
    <t>DN 8</t>
  </si>
  <si>
    <t>DN 9</t>
  </si>
  <si>
    <t>DN 10</t>
  </si>
  <si>
    <t>DN 11</t>
  </si>
  <si>
    <t>DN 12</t>
  </si>
  <si>
    <t>DN 13</t>
  </si>
  <si>
    <t>DN 14</t>
  </si>
  <si>
    <t>DN 15</t>
  </si>
  <si>
    <t>DN 16</t>
  </si>
  <si>
    <t>DN 17</t>
  </si>
  <si>
    <t>DN 18</t>
  </si>
  <si>
    <t>DN 19</t>
  </si>
  <si>
    <t>DN 20</t>
  </si>
  <si>
    <t>6x0,8</t>
  </si>
  <si>
    <t>8x0,8</t>
  </si>
  <si>
    <t>10x0,8</t>
  </si>
  <si>
    <t>12x1,0</t>
  </si>
  <si>
    <t>15x1,0</t>
  </si>
  <si>
    <t>18x1,0</t>
  </si>
  <si>
    <t>22x1,0</t>
  </si>
  <si>
    <t>28x1,2</t>
  </si>
  <si>
    <t>35x1,5</t>
  </si>
  <si>
    <t>42x1,5</t>
  </si>
  <si>
    <t>54x1,5</t>
  </si>
  <si>
    <t>10x1,8</t>
  </si>
  <si>
    <t>12x2,0</t>
  </si>
  <si>
    <t>15x2,5</t>
  </si>
  <si>
    <t>18x2,5</t>
  </si>
  <si>
    <t>22x3,0</t>
  </si>
  <si>
    <t>28x4,0</t>
  </si>
  <si>
    <t>14x2,0</t>
  </si>
  <si>
    <t>16x2,0</t>
  </si>
  <si>
    <t>18x2,0</t>
  </si>
  <si>
    <t>20x2,25</t>
  </si>
  <si>
    <t>25x2,5</t>
  </si>
  <si>
    <t>AluPEX-rør (Wavin)</t>
  </si>
  <si>
    <t>32x3,0</t>
  </si>
  <si>
    <t>40x4,0</t>
  </si>
  <si>
    <t>50x4,5</t>
  </si>
  <si>
    <t>63x6,0</t>
  </si>
  <si>
    <t>Fjernvarmeledninger, glatte sømløse stålrør DIN2448</t>
  </si>
  <si>
    <t>Middelsvære gevindrør (stål) DIN2440</t>
  </si>
  <si>
    <t>33,7x2,6</t>
  </si>
  <si>
    <t>38,0x2,6</t>
  </si>
  <si>
    <t>42,4x2,6</t>
  </si>
  <si>
    <t>48,3x2,6</t>
  </si>
  <si>
    <t>60,3x2,9</t>
  </si>
  <si>
    <t>70,0x2,9</t>
  </si>
  <si>
    <t>76,1x2,9</t>
  </si>
  <si>
    <t>88,9x3,2</t>
  </si>
  <si>
    <t>108,0x3,6</t>
  </si>
  <si>
    <t>114,3x3,6</t>
  </si>
  <si>
    <t>133,0x4,0</t>
  </si>
  <si>
    <t>139,7x4,0</t>
  </si>
  <si>
    <t>159,0x4,5</t>
  </si>
  <si>
    <t>168,3x4,5</t>
  </si>
  <si>
    <t>193,7x5,4</t>
  </si>
  <si>
    <t>219,1x5,9</t>
  </si>
  <si>
    <t>244,5x6,3</t>
  </si>
  <si>
    <t>273,0x6,3</t>
  </si>
  <si>
    <t>323,9x7,1</t>
  </si>
  <si>
    <t>355,6x8,0</t>
  </si>
  <si>
    <t>Rustfri stålrør DIN 10088 (Blücher Mapress)</t>
  </si>
  <si>
    <t>22x1,2</t>
  </si>
  <si>
    <t>76,1x2,0</t>
  </si>
  <si>
    <t>88,9x2,0</t>
  </si>
  <si>
    <t>108x2,0</t>
  </si>
  <si>
    <t>Spiralfalsede galvaniserede ventilationskanaler</t>
  </si>
  <si>
    <t>Rustfri stålrør med kalkafsætning DIN 10088 (Blücher Mapress)</t>
  </si>
  <si>
    <t>Rustfri stålrør uden kalkafsætning DIN 10088 (Blücher Mapress)</t>
  </si>
  <si>
    <t>32x2,0</t>
  </si>
  <si>
    <t>32x4,4</t>
  </si>
  <si>
    <t>40x5,5</t>
  </si>
  <si>
    <t>50x6,9</t>
  </si>
  <si>
    <t>63x8,7</t>
  </si>
  <si>
    <t>75x10,3</t>
  </si>
  <si>
    <t>90x12,3</t>
  </si>
  <si>
    <t>110x15,1</t>
  </si>
  <si>
    <t>40x3,7</t>
  </si>
  <si>
    <t>50x4,6</t>
  </si>
  <si>
    <t>63x5,8</t>
  </si>
  <si>
    <t>75x6,9</t>
  </si>
  <si>
    <t>90x8,2</t>
  </si>
  <si>
    <t>110x10</t>
  </si>
  <si>
    <t>PEX-rør PN10 (Wirsbo-PEX)</t>
  </si>
  <si>
    <t>PEX-rør PN6 (Wirsbo evalPEX)</t>
  </si>
  <si>
    <t>Tryktabsgradient i cirkulære rør og kanaler</t>
  </si>
  <si>
    <t>Tryktabsgradient R</t>
  </si>
  <si>
    <t>Tryktabsgradient  R</t>
  </si>
  <si>
    <t>Tryktabsgradient som funktion af flow og diameter</t>
  </si>
  <si>
    <t>Copyright: Thomas Kjems Lyngvad - 2006</t>
  </si>
  <si>
    <t>Betaversion 1.3</t>
  </si>
  <si>
    <t>Number</t>
  </si>
  <si>
    <t>Specified Supply Airflow</t>
  </si>
  <si>
    <t>Specified Return Airflow</t>
  </si>
  <si>
    <t>Area</t>
  </si>
  <si>
    <t>Room: Department</t>
  </si>
  <si>
    <t>Indendig Diameter</t>
  </si>
  <si>
    <t>Luftmængde</t>
  </si>
  <si>
    <t>Rumnavne</t>
  </si>
  <si>
    <t>Min. Invendig Diamenter (Tryktabsgradient 0,7)</t>
  </si>
  <si>
    <t>qv2</t>
  </si>
  <si>
    <t>qv3</t>
  </si>
  <si>
    <t>qv4</t>
  </si>
  <si>
    <t>Iteration qv2</t>
  </si>
  <si>
    <t>Iteration qv</t>
  </si>
  <si>
    <t>Iteration qv4</t>
  </si>
  <si>
    <t>Iteration qv3</t>
  </si>
  <si>
    <t>Fagtorv Science</t>
  </si>
  <si>
    <t>HC toilet</t>
  </si>
  <si>
    <t>Samlingssted</t>
  </si>
  <si>
    <t>Ophold/Gang/Udstilling</t>
  </si>
  <si>
    <t>Fagtorv Samfund</t>
  </si>
  <si>
    <t>Vindfang</t>
  </si>
  <si>
    <t>Musikundervisning</t>
  </si>
  <si>
    <t>Drama Lokale</t>
  </si>
  <si>
    <t>Mørkekammer</t>
  </si>
  <si>
    <t>Matematik</t>
  </si>
  <si>
    <t>Samfundsfag</t>
  </si>
  <si>
    <t>Dame toiletter</t>
  </si>
  <si>
    <t>Toilet</t>
  </si>
  <si>
    <t>Herre toiletter</t>
  </si>
  <si>
    <t>Ophold/Gang</t>
  </si>
  <si>
    <t>Musik Samspil</t>
  </si>
  <si>
    <t>Mediefagslokale</t>
  </si>
  <si>
    <t>Psykologi</t>
  </si>
  <si>
    <t>Religion</t>
  </si>
  <si>
    <t>klasseværelse m. gr. undervisning</t>
  </si>
  <si>
    <t>Toiletter</t>
  </si>
  <si>
    <t>Depot til stoleopbevaring</t>
  </si>
  <si>
    <t>Rengøring</t>
  </si>
  <si>
    <t>Grupperum</t>
  </si>
  <si>
    <t>Depot mediefag</t>
  </si>
  <si>
    <t>Depot Musik</t>
  </si>
  <si>
    <t>Lærerforberedelse</t>
  </si>
  <si>
    <t>Auditorium - eks. rum</t>
  </si>
  <si>
    <t>Ankomstgang</t>
  </si>
  <si>
    <t>Fordelingsgang</t>
  </si>
  <si>
    <t>Indgang omklædning</t>
  </si>
  <si>
    <t>Idrætshal</t>
  </si>
  <si>
    <t>Spejlsal</t>
  </si>
  <si>
    <t>Motionsrum</t>
  </si>
  <si>
    <t>Undervisning</t>
  </si>
  <si>
    <t>Omklædning piger</t>
  </si>
  <si>
    <t>Omklædning lærere</t>
  </si>
  <si>
    <t>Omklædning Drenge</t>
  </si>
  <si>
    <t>Forrum</t>
  </si>
  <si>
    <t>Teknik</t>
  </si>
  <si>
    <t>Udedepot</t>
  </si>
  <si>
    <t>Depot til møbelopbevaring</t>
  </si>
  <si>
    <t>Bio Teori 1 - Eks lokale</t>
  </si>
  <si>
    <t>Fysik Teori 1 - eks. Lokale</t>
  </si>
  <si>
    <t>Fysikdepot</t>
  </si>
  <si>
    <t>Fysik lab - eks. Lokale</t>
  </si>
  <si>
    <t>Fysik Lab</t>
  </si>
  <si>
    <t>eks. Naturgeo, Teori</t>
  </si>
  <si>
    <t>Klasselokale</t>
  </si>
  <si>
    <t>Food Laboratorium</t>
  </si>
  <si>
    <t>eks. Forrum</t>
  </si>
  <si>
    <t>eks. Toilet</t>
  </si>
  <si>
    <t>Toliet - Eks</t>
  </si>
  <si>
    <t>Kemilab - eks. Lokale</t>
  </si>
  <si>
    <t>Biologilab - Eks Lokale</t>
  </si>
  <si>
    <t>Biolab</t>
  </si>
  <si>
    <t>Science</t>
  </si>
  <si>
    <t>Klasselokale 32 elever</t>
  </si>
  <si>
    <t>Bio/kemi depot</t>
  </si>
  <si>
    <t>Glasdepot</t>
  </si>
  <si>
    <t>eks. teknikrum auditorie</t>
  </si>
  <si>
    <t>A001</t>
  </si>
  <si>
    <t>A002</t>
  </si>
  <si>
    <t>A101</t>
  </si>
  <si>
    <t>A102</t>
  </si>
  <si>
    <t>A103</t>
  </si>
  <si>
    <t>A104</t>
  </si>
  <si>
    <t>A105</t>
  </si>
  <si>
    <t>A106</t>
  </si>
  <si>
    <t>A111</t>
  </si>
  <si>
    <t>A112</t>
  </si>
  <si>
    <t>A113</t>
  </si>
  <si>
    <t>A113M1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</si>
  <si>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</si>
  <si>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</si>
  <si>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</si>
  <si>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</si>
  <si>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</si>
  <si>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</si>
  <si>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</si>
  <si>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</si>
  <si>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</si>
  <si>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</si>
  <si>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</si>
  <si>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</si>
  <si>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</si>
  <si>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</si>
  <si>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</si>
  <si>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</si>
  <si>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</si>
  <si>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</si>
  <si>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</si>
  <si>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</si>
  <si>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</si>
  <si>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</si>
  <si>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</si>
  <si>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</si>
  <si>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</si>
  <si>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</si>
  <si>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A202</t>
  </si>
  <si>
    <t>A203</t>
  </si>
  <si>
    <t>A205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</si>
  <si>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</si>
  <si>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</si>
  <si>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</si>
  <si>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</si>
  <si>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</si>
  <si>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</si>
  <si>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</si>
  <si>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</si>
  <si>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</si>
  <si>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</si>
  <si>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</si>
  <si>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</si>
  <si>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</si>
  <si>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</si>
  <si>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</si>
  <si>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</si>
  <si>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</si>
  <si>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</si>
  <si>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</si>
  <si>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</si>
  <si>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AG111</t>
  </si>
  <si>
    <t>AG112</t>
  </si>
  <si>
    <t>AG113</t>
  </si>
  <si>
    <t>AG211</t>
  </si>
  <si>
    <t>AG212</t>
  </si>
  <si>
    <t>AG213</t>
  </si>
  <si>
    <t>AG214</t>
  </si>
  <si>
    <t>AG216</t>
  </si>
  <si>
    <t>AG217</t>
  </si>
  <si>
    <t>AG218</t>
  </si>
  <si>
    <t>AG219</t>
  </si>
  <si>
    <t>AG220</t>
  </si>
  <si>
    <t>AG221</t>
  </si>
  <si>
    <t>AG222</t>
  </si>
  <si>
    <t>AG223</t>
  </si>
  <si>
    <t>AG224</t>
  </si>
  <si>
    <t>AG225</t>
  </si>
  <si>
    <t>AG226</t>
  </si>
  <si>
    <t>AG227</t>
  </si>
  <si>
    <t>AG228</t>
  </si>
  <si>
    <t>AG229</t>
  </si>
  <si>
    <t>AG230</t>
  </si>
  <si>
    <t>Audit,</t>
  </si>
  <si>
    <t>H101</t>
  </si>
  <si>
    <t>H102</t>
  </si>
  <si>
    <t>H103</t>
  </si>
  <si>
    <t>H104</t>
  </si>
  <si>
    <t>H105</t>
  </si>
  <si>
    <t>H110</t>
  </si>
  <si>
    <t>H111</t>
  </si>
  <si>
    <t>H112</t>
  </si>
  <si>
    <t>H113</t>
  </si>
  <si>
    <t>H120</t>
  </si>
  <si>
    <t>H121</t>
  </si>
  <si>
    <t>H122</t>
  </si>
  <si>
    <t>H130</t>
  </si>
  <si>
    <t>H131</t>
  </si>
  <si>
    <t>H132</t>
  </si>
  <si>
    <t>H133</t>
  </si>
  <si>
    <t>H134</t>
  </si>
  <si>
    <t>H135</t>
  </si>
  <si>
    <t>H150</t>
  </si>
  <si>
    <t>H151</t>
  </si>
  <si>
    <t>H152</t>
  </si>
  <si>
    <t>H155</t>
  </si>
  <si>
    <t>M202</t>
  </si>
  <si>
    <t>M203</t>
  </si>
  <si>
    <t>N101</t>
  </si>
  <si>
    <t>N102</t>
  </si>
  <si>
    <t>N103</t>
  </si>
  <si>
    <t>N111L</t>
  </si>
  <si>
    <t>N112</t>
  </si>
  <si>
    <t>N113D</t>
  </si>
  <si>
    <t>N113L</t>
  </si>
  <si>
    <t>N114L</t>
  </si>
  <si>
    <t>N115</t>
  </si>
  <si>
    <t>N116</t>
  </si>
  <si>
    <t>N117</t>
  </si>
  <si>
    <t>N118</t>
  </si>
  <si>
    <t>N119</t>
  </si>
  <si>
    <t>N120</t>
  </si>
  <si>
    <t>N121</t>
  </si>
  <si>
    <t>N122</t>
  </si>
  <si>
    <t>N123</t>
  </si>
  <si>
    <t>N124</t>
  </si>
  <si>
    <t>N125</t>
  </si>
  <si>
    <t>N126</t>
  </si>
  <si>
    <t>N127</t>
  </si>
  <si>
    <t>N128</t>
  </si>
  <si>
    <t>N129</t>
  </si>
  <si>
    <t>N130</t>
  </si>
  <si>
    <t>N131</t>
  </si>
  <si>
    <t>N201</t>
  </si>
  <si>
    <t>N202</t>
  </si>
  <si>
    <t>N211L</t>
  </si>
  <si>
    <t>N212L</t>
  </si>
  <si>
    <t>N213L</t>
  </si>
  <si>
    <t>N214</t>
  </si>
  <si>
    <t>N215</t>
  </si>
  <si>
    <t>N216</t>
  </si>
  <si>
    <t>N217</t>
  </si>
  <si>
    <t>N218</t>
  </si>
  <si>
    <t>N219</t>
  </si>
  <si>
    <t>N220</t>
  </si>
  <si>
    <t>N221</t>
  </si>
  <si>
    <t>N222</t>
  </si>
  <si>
    <t>N223</t>
  </si>
  <si>
    <t>N224</t>
  </si>
  <si>
    <t>NG212</t>
  </si>
  <si>
    <t>NG213</t>
  </si>
  <si>
    <t>NG221</t>
  </si>
  <si>
    <t>630,0 m³/h</t>
  </si>
  <si>
    <t>36,0 m³/h</t>
  </si>
  <si>
    <t>0,0 m³/h</t>
  </si>
  <si>
    <t>450,0 m³/h</t>
  </si>
  <si>
    <t>665,0 m³/h</t>
  </si>
  <si>
    <t>1000,0 m³/h</t>
  </si>
  <si>
    <t>1100,0 m³/h</t>
  </si>
  <si>
    <t>360,0 m³/h</t>
  </si>
  <si>
    <t>252,0 m³/h</t>
  </si>
  <si>
    <t>400,0 m³/h</t>
  </si>
  <si>
    <t>180,0 m³/h</t>
  </si>
  <si>
    <t>1200,0 m³/h</t>
  </si>
  <si>
    <t>1300,0 m³/h</t>
  </si>
  <si>
    <t>900,0 m³/h</t>
  </si>
  <si>
    <t>290,0 m³/h</t>
  </si>
  <si>
    <t>108,0 m³/h</t>
  </si>
  <si>
    <t>200,0 m³/h</t>
  </si>
  <si>
    <t>23100,0 m³/h</t>
  </si>
  <si>
    <t>1500,0 m³/h</t>
  </si>
  <si>
    <t>1532,0 m³/h</t>
  </si>
  <si>
    <t>468,0 m³/h</t>
  </si>
  <si>
    <t>731,0 m³/h</t>
  </si>
  <si>
    <t>144,0 m³/h</t>
  </si>
  <si>
    <t>81,0 m³/h</t>
  </si>
  <si>
    <t>50,0 m³/h</t>
  </si>
  <si>
    <t>155,0 m³/h</t>
  </si>
  <si>
    <t>410,0 m³/h</t>
  </si>
  <si>
    <t>630,</t>
  </si>
  <si>
    <t>36,0</t>
  </si>
  <si>
    <t xml:space="preserve">0,0 </t>
  </si>
  <si>
    <t>450,</t>
  </si>
  <si>
    <t>665,</t>
  </si>
  <si>
    <t>1000</t>
  </si>
  <si>
    <t>1100</t>
  </si>
  <si>
    <t>360,</t>
  </si>
  <si>
    <t>252,</t>
  </si>
  <si>
    <t>400,</t>
  </si>
  <si>
    <t>180,</t>
  </si>
  <si>
    <t>1200</t>
  </si>
  <si>
    <t>44 m²</t>
  </si>
  <si>
    <t>5 m²</t>
  </si>
  <si>
    <t>456 m²</t>
  </si>
  <si>
    <t>146 m²</t>
  </si>
  <si>
    <t>208 m²</t>
  </si>
  <si>
    <t>7 m²</t>
  </si>
  <si>
    <t>86 m²</t>
  </si>
  <si>
    <t>67 m²</t>
  </si>
  <si>
    <t>91 m²</t>
  </si>
  <si>
    <t>6 m²</t>
  </si>
  <si>
    <t>84 m²</t>
  </si>
  <si>
    <t>64 m²</t>
  </si>
  <si>
    <t>63 m²</t>
  </si>
  <si>
    <t>62 m²</t>
  </si>
  <si>
    <t>13 m²</t>
  </si>
  <si>
    <t>2 m²</t>
  </si>
  <si>
    <t>12 m²</t>
  </si>
  <si>
    <t>32 m²</t>
  </si>
  <si>
    <t>156 m²</t>
  </si>
  <si>
    <t>26 m²</t>
  </si>
  <si>
    <t>61 m²</t>
  </si>
  <si>
    <t>9 m²</t>
  </si>
  <si>
    <t>3 m²</t>
  </si>
  <si>
    <t>1 m²</t>
  </si>
  <si>
    <t>27 m²</t>
  </si>
  <si>
    <t>10 m²</t>
  </si>
  <si>
    <t>8 m²</t>
  </si>
  <si>
    <t>11 m²</t>
  </si>
  <si>
    <t>14 m²</t>
  </si>
  <si>
    <t>155 m²</t>
  </si>
  <si>
    <t>41 m²</t>
  </si>
  <si>
    <t>31 m²</t>
  </si>
  <si>
    <t>25 m²</t>
  </si>
  <si>
    <t>986 m²</t>
  </si>
  <si>
    <t>101 m²</t>
  </si>
  <si>
    <t>93 m²</t>
  </si>
  <si>
    <t>55 m²</t>
  </si>
  <si>
    <t>89 m²</t>
  </si>
  <si>
    <t>57 m²</t>
  </si>
  <si>
    <t>108 m²</t>
  </si>
  <si>
    <t>50 m²</t>
  </si>
  <si>
    <t>119 m²</t>
  </si>
  <si>
    <t>75 m²</t>
  </si>
  <si>
    <t>72 m²</t>
  </si>
  <si>
    <t>36 m²</t>
  </si>
  <si>
    <t>81 m²</t>
  </si>
  <si>
    <t>73 m²</t>
  </si>
  <si>
    <t>58 m²</t>
  </si>
  <si>
    <t>65 m²</t>
  </si>
  <si>
    <t>47 m²</t>
  </si>
  <si>
    <t>82 m²</t>
  </si>
  <si>
    <t>46 m²</t>
  </si>
  <si>
    <t>167 m²</t>
  </si>
  <si>
    <t>15 m²</t>
  </si>
  <si>
    <t>eksisterende</t>
  </si>
  <si>
    <t>fælles</t>
  </si>
  <si>
    <t>GANG</t>
  </si>
  <si>
    <t>samf</t>
  </si>
  <si>
    <t>Kunst</t>
  </si>
  <si>
    <t>ombyg</t>
  </si>
  <si>
    <t>toilet</t>
  </si>
  <si>
    <t>hal gang</t>
  </si>
  <si>
    <t>hal</t>
  </si>
  <si>
    <t>hal toilet</t>
  </si>
  <si>
    <t>TEK</t>
  </si>
  <si>
    <t>science</t>
  </si>
  <si>
    <t>toiletscience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</si>
</sst>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0000"/>
    <numFmt numFmtId="168" formatCode="0.000000000"/>
  </numFmts>
  <fonts count="22" x14ac:knownFonts="1">
    <font>
      <sz val="10"/>
      <name val="Arial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i/>
      <sz val="10"/>
      <name val="Times New Roman"/>
      <family val="1"/>
    </font>
    <font>
      <b/>
      <sz val="8"/>
      <name val="Arial"/>
      <family val="2"/>
    </font>
    <font>
      <u/>
      <sz val="10"/>
      <name val="Arial"/>
      <family val="2"/>
    </font>
    <font>
      <sz val="10"/>
      <color indexed="47"/>
      <name val="Arial"/>
      <family val="2"/>
    </font>
    <font>
      <sz val="10"/>
      <name val="Symbol"/>
      <family val="1"/>
      <charset val="2"/>
    </font>
    <font>
      <b/>
      <sz val="10"/>
      <name val="Arial"/>
      <family val="2"/>
    </font>
    <font>
      <b/>
      <sz val="10"/>
      <name val="Symbol"/>
      <family val="1"/>
      <charset val="2"/>
    </font>
    <font>
      <sz val="10"/>
      <name val="Arial"/>
      <family val="2"/>
    </font>
    <font>
      <sz val="12"/>
      <color indexed="47"/>
      <name val="Arial"/>
      <family val="2"/>
    </font>
    <font>
      <sz val="14"/>
      <name val="Verdana"/>
      <family val="2"/>
    </font>
    <font>
      <sz val="8"/>
      <color rgb="FF000000"/>
      <name val="Tahoma"/>
      <family val="2"/>
    </font>
    <font>
      <b/>
      <sz val="11"/>
      <name val="Calibri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E5AF42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0" fontId="18" fillId="12" borderId="0"/>
  </cellStyleXfs>
  <cellXfs count="227">
    <xf numFmtId="0" fontId="0" fillId="0" borderId="0" xfId="0"/>
    <xf numFmtId="0" fontId="1" fillId="0" borderId="0" xfId="0" applyFont="1"/>
    <xf numFmtId="0" fontId="0" fillId="0" borderId="0" xfId="0" applyBorder="1"/>
    <xf numFmtId="0" fontId="0" fillId="2" borderId="0" xfId="0" applyFill="1"/>
    <xf numFmtId="0" fontId="0" fillId="0" borderId="0" xfId="0" applyFill="1"/>
    <xf numFmtId="0" fontId="0" fillId="0" borderId="0" xfId="0" applyFill="1" applyBorder="1"/>
    <xf numFmtId="0" fontId="0" fillId="0" borderId="1" xfId="0" applyBorder="1"/>
    <xf numFmtId="0" fontId="0" fillId="0" borderId="2" xfId="0" applyBorder="1"/>
    <xf numFmtId="167" fontId="0" fillId="0" borderId="2" xfId="0" applyNumberFormat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4" borderId="15" xfId="0" applyFill="1" applyBorder="1"/>
    <xf numFmtId="0" fontId="0" fillId="4" borderId="0" xfId="0" applyFill="1" applyBorder="1"/>
    <xf numFmtId="0" fontId="0" fillId="4" borderId="16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2" xfId="0" applyFill="1" applyBorder="1"/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3" xfId="0" applyFill="1" applyBorder="1"/>
    <xf numFmtId="0" fontId="0" fillId="4" borderId="14" xfId="0" applyFill="1" applyBorder="1"/>
    <xf numFmtId="11" fontId="0" fillId="4" borderId="14" xfId="0" applyNumberFormat="1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/>
    <xf numFmtId="0" fontId="0" fillId="6" borderId="17" xfId="0" applyFill="1" applyBorder="1"/>
    <xf numFmtId="0" fontId="2" fillId="0" borderId="18" xfId="0" applyFont="1" applyFill="1" applyBorder="1"/>
    <xf numFmtId="0" fontId="0" fillId="0" borderId="19" xfId="0" applyFill="1" applyBorder="1"/>
    <xf numFmtId="0" fontId="1" fillId="0" borderId="19" xfId="0" applyFont="1" applyFill="1" applyBorder="1"/>
    <xf numFmtId="0" fontId="1" fillId="0" borderId="20" xfId="0" applyFont="1" applyFill="1" applyBorder="1"/>
    <xf numFmtId="0" fontId="0" fillId="0" borderId="21" xfId="0" applyFill="1" applyBorder="1"/>
    <xf numFmtId="0" fontId="1" fillId="0" borderId="0" xfId="0" applyFont="1" applyFill="1" applyBorder="1" applyAlignment="1">
      <alignment horizontal="right"/>
    </xf>
    <xf numFmtId="0" fontId="0" fillId="0" borderId="17" xfId="0" applyFill="1" applyBorder="1"/>
    <xf numFmtId="0" fontId="0" fillId="0" borderId="22" xfId="0" applyFill="1" applyBorder="1"/>
    <xf numFmtId="0" fontId="0" fillId="0" borderId="23" xfId="0" applyFill="1" applyBorder="1"/>
    <xf numFmtId="0" fontId="0" fillId="0" borderId="24" xfId="0" applyFill="1" applyBorder="1"/>
    <xf numFmtId="0" fontId="1" fillId="0" borderId="23" xfId="0" applyFont="1" applyFill="1" applyBorder="1"/>
    <xf numFmtId="0" fontId="0" fillId="0" borderId="0" xfId="0" applyNumberFormat="1"/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167" fontId="0" fillId="0" borderId="0" xfId="0" applyNumberFormat="1"/>
    <xf numFmtId="164" fontId="0" fillId="0" borderId="0" xfId="0" applyNumberFormat="1" applyFill="1" applyBorder="1"/>
    <xf numFmtId="164" fontId="0" fillId="0" borderId="0" xfId="0" applyNumberFormat="1"/>
    <xf numFmtId="0" fontId="4" fillId="0" borderId="0" xfId="0" applyFont="1"/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2" fillId="0" borderId="0" xfId="0" applyFont="1"/>
    <xf numFmtId="167" fontId="12" fillId="0" borderId="0" xfId="0" applyNumberFormat="1" applyFont="1" applyAlignment="1">
      <alignment horizontal="center"/>
    </xf>
    <xf numFmtId="167" fontId="12" fillId="0" borderId="0" xfId="0" applyNumberFormat="1" applyFont="1" applyAlignment="1">
      <alignment horizontal="right"/>
    </xf>
    <xf numFmtId="0" fontId="4" fillId="0" borderId="0" xfId="0" applyFont="1" applyAlignment="1"/>
    <xf numFmtId="167" fontId="4" fillId="0" borderId="0" xfId="0" applyNumberFormat="1" applyFont="1"/>
    <xf numFmtId="0" fontId="0" fillId="0" borderId="0" xfId="0" applyFill="1" applyBorder="1" applyAlignment="1">
      <alignment horizontal="center"/>
    </xf>
    <xf numFmtId="168" fontId="0" fillId="0" borderId="0" xfId="0" applyNumberFormat="1" applyFill="1" applyBorder="1"/>
    <xf numFmtId="0" fontId="0" fillId="5" borderId="25" xfId="0" applyFill="1" applyBorder="1"/>
    <xf numFmtId="164" fontId="0" fillId="6" borderId="0" xfId="0" applyNumberFormat="1" applyFill="1"/>
    <xf numFmtId="164" fontId="0" fillId="7" borderId="0" xfId="0" applyNumberFormat="1" applyFill="1" applyBorder="1" applyProtection="1">
      <protection locked="0"/>
    </xf>
    <xf numFmtId="0" fontId="1" fillId="0" borderId="0" xfId="0" applyFont="1" applyFill="1" applyBorder="1" applyAlignment="1"/>
    <xf numFmtId="165" fontId="0" fillId="0" borderId="0" xfId="0" applyNumberFormat="1" applyFill="1" applyBorder="1"/>
    <xf numFmtId="0" fontId="14" fillId="0" borderId="0" xfId="0" applyFont="1" applyFill="1" applyBorder="1" applyAlignment="1">
      <alignment horizontal="right"/>
    </xf>
    <xf numFmtId="0" fontId="14" fillId="0" borderId="0" xfId="0" applyFont="1" applyFill="1" applyBorder="1" applyAlignment="1">
      <alignment horizontal="center"/>
    </xf>
    <xf numFmtId="166" fontId="0" fillId="0" borderId="0" xfId="0" applyNumberFormat="1" applyFill="1" applyBorder="1"/>
    <xf numFmtId="167" fontId="0" fillId="0" borderId="0" xfId="0" applyNumberFormat="1" applyFill="1" applyBorder="1"/>
    <xf numFmtId="0" fontId="4" fillId="0" borderId="0" xfId="0" applyFont="1" applyFill="1" applyBorder="1" applyAlignment="1"/>
    <xf numFmtId="0" fontId="5" fillId="0" borderId="0" xfId="0" applyFont="1" applyFill="1" applyBorder="1" applyAlignment="1"/>
    <xf numFmtId="0" fontId="0" fillId="5" borderId="26" xfId="0" applyFill="1" applyBorder="1"/>
    <xf numFmtId="0" fontId="0" fillId="5" borderId="13" xfId="0" applyFill="1" applyBorder="1" applyAlignment="1">
      <alignment horizontal="center"/>
    </xf>
    <xf numFmtId="0" fontId="0" fillId="5" borderId="13" xfId="0" applyFill="1" applyBorder="1"/>
    <xf numFmtId="168" fontId="0" fillId="5" borderId="13" xfId="0" applyNumberFormat="1" applyFill="1" applyBorder="1"/>
    <xf numFmtId="164" fontId="0" fillId="5" borderId="13" xfId="0" applyNumberFormat="1" applyFill="1" applyBorder="1"/>
    <xf numFmtId="0" fontId="0" fillId="5" borderId="25" xfId="0" applyFill="1" applyBorder="1" applyAlignment="1">
      <alignment horizontal="center"/>
    </xf>
    <xf numFmtId="166" fontId="0" fillId="5" borderId="13" xfId="0" applyNumberFormat="1" applyFill="1" applyBorder="1"/>
    <xf numFmtId="167" fontId="0" fillId="5" borderId="13" xfId="0" applyNumberFormat="1" applyFill="1" applyBorder="1"/>
    <xf numFmtId="0" fontId="0" fillId="5" borderId="27" xfId="0" applyFill="1" applyBorder="1"/>
    <xf numFmtId="166" fontId="0" fillId="5" borderId="25" xfId="0" applyNumberFormat="1" applyFill="1" applyBorder="1"/>
    <xf numFmtId="0" fontId="0" fillId="5" borderId="28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167" fontId="0" fillId="5" borderId="25" xfId="0" applyNumberFormat="1" applyFill="1" applyBorder="1"/>
    <xf numFmtId="0" fontId="0" fillId="3" borderId="14" xfId="0" applyFill="1" applyBorder="1" applyAlignment="1">
      <alignment horizontal="right"/>
    </xf>
    <xf numFmtId="0" fontId="0" fillId="8" borderId="12" xfId="0" applyFill="1" applyBorder="1"/>
    <xf numFmtId="0" fontId="0" fillId="8" borderId="9" xfId="0" applyFill="1" applyBorder="1" applyAlignment="1">
      <alignment horizontal="center"/>
    </xf>
    <xf numFmtId="167" fontId="0" fillId="8" borderId="0" xfId="0" applyNumberFormat="1" applyFill="1" applyBorder="1"/>
    <xf numFmtId="0" fontId="0" fillId="8" borderId="0" xfId="0" applyFill="1" applyBorder="1"/>
    <xf numFmtId="0" fontId="0" fillId="8" borderId="0" xfId="0" applyFill="1"/>
    <xf numFmtId="0" fontId="0" fillId="8" borderId="3" xfId="0" applyFill="1" applyBorder="1"/>
    <xf numFmtId="0" fontId="0" fillId="8" borderId="4" xfId="0" applyFill="1" applyBorder="1"/>
    <xf numFmtId="0" fontId="0" fillId="8" borderId="16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10" xfId="0" applyFill="1" applyBorder="1" applyAlignment="1">
      <alignment horizontal="center"/>
    </xf>
    <xf numFmtId="0" fontId="0" fillId="8" borderId="13" xfId="0" applyFill="1" applyBorder="1"/>
    <xf numFmtId="0" fontId="0" fillId="8" borderId="9" xfId="0" applyFill="1" applyBorder="1"/>
    <xf numFmtId="0" fontId="0" fillId="8" borderId="11" xfId="0" applyFill="1" applyBorder="1"/>
    <xf numFmtId="0" fontId="0" fillId="8" borderId="29" xfId="0" applyFill="1" applyBorder="1"/>
    <xf numFmtId="0" fontId="0" fillId="8" borderId="25" xfId="0" applyFill="1" applyBorder="1"/>
    <xf numFmtId="167" fontId="0" fillId="8" borderId="10" xfId="0" applyNumberFormat="1" applyFill="1" applyBorder="1"/>
    <xf numFmtId="0" fontId="0" fillId="8" borderId="10" xfId="0" applyFill="1" applyBorder="1"/>
    <xf numFmtId="0" fontId="0" fillId="8" borderId="25" xfId="0" applyFill="1" applyBorder="1" applyAlignment="1">
      <alignment horizontal="center"/>
    </xf>
    <xf numFmtId="167" fontId="0" fillId="8" borderId="25" xfId="0" applyNumberFormat="1" applyFill="1" applyBorder="1" applyAlignment="1">
      <alignment horizontal="center"/>
    </xf>
    <xf numFmtId="167" fontId="0" fillId="8" borderId="30" xfId="0" applyNumberFormat="1" applyFill="1" applyBorder="1" applyAlignment="1">
      <alignment horizontal="center"/>
    </xf>
    <xf numFmtId="167" fontId="0" fillId="8" borderId="31" xfId="0" applyNumberFormat="1" applyFill="1" applyBorder="1"/>
    <xf numFmtId="0" fontId="0" fillId="8" borderId="31" xfId="0" applyFill="1" applyBorder="1"/>
    <xf numFmtId="0" fontId="0" fillId="8" borderId="32" xfId="0" applyFill="1" applyBorder="1"/>
    <xf numFmtId="167" fontId="0" fillId="8" borderId="4" xfId="0" applyNumberFormat="1" applyFill="1" applyBorder="1"/>
    <xf numFmtId="0" fontId="0" fillId="8" borderId="5" xfId="0" applyFill="1" applyBorder="1"/>
    <xf numFmtId="164" fontId="0" fillId="8" borderId="7" xfId="0" applyNumberFormat="1" applyFill="1" applyBorder="1" applyAlignment="1">
      <alignment horizontal="right"/>
    </xf>
    <xf numFmtId="0" fontId="0" fillId="8" borderId="8" xfId="0" applyFill="1" applyBorder="1" applyAlignment="1">
      <alignment horizontal="right"/>
    </xf>
    <xf numFmtId="0" fontId="0" fillId="8" borderId="13" xfId="0" applyFill="1" applyBorder="1" applyAlignment="1">
      <alignment horizontal="right"/>
    </xf>
    <xf numFmtId="164" fontId="0" fillId="8" borderId="13" xfId="0" applyNumberFormat="1" applyFill="1" applyBorder="1" applyAlignment="1">
      <alignment horizontal="right"/>
    </xf>
    <xf numFmtId="0" fontId="0" fillId="8" borderId="14" xfId="0" applyFill="1" applyBorder="1" applyAlignment="1">
      <alignment horizontal="right"/>
    </xf>
    <xf numFmtId="164" fontId="0" fillId="8" borderId="13" xfId="0" quotePrefix="1" applyNumberFormat="1" applyFill="1" applyBorder="1" applyAlignment="1">
      <alignment horizontal="right"/>
    </xf>
    <xf numFmtId="0" fontId="0" fillId="8" borderId="14" xfId="0" quotePrefix="1" applyFill="1" applyBorder="1" applyAlignment="1">
      <alignment horizontal="right"/>
    </xf>
    <xf numFmtId="164" fontId="0" fillId="0" borderId="13" xfId="0" quotePrefix="1" applyNumberFormat="1" applyFill="1" applyBorder="1" applyAlignment="1">
      <alignment horizontal="right"/>
    </xf>
    <xf numFmtId="0" fontId="0" fillId="0" borderId="14" xfId="0" quotePrefix="1" applyFill="1" applyBorder="1" applyAlignment="1">
      <alignment horizontal="right"/>
    </xf>
    <xf numFmtId="0" fontId="0" fillId="8" borderId="7" xfId="0" applyNumberFormat="1" applyFill="1" applyBorder="1" applyAlignment="1">
      <alignment horizontal="right"/>
    </xf>
    <xf numFmtId="0" fontId="0" fillId="8" borderId="13" xfId="0" quotePrefix="1" applyNumberFormat="1" applyFill="1" applyBorder="1" applyAlignment="1">
      <alignment horizontal="right"/>
    </xf>
    <xf numFmtId="0" fontId="0" fillId="8" borderId="13" xfId="0" applyNumberFormat="1" applyFill="1" applyBorder="1" applyAlignment="1">
      <alignment horizontal="right"/>
    </xf>
    <xf numFmtId="0" fontId="0" fillId="0" borderId="13" xfId="0" quotePrefix="1" applyNumberFormat="1" applyFill="1" applyBorder="1" applyAlignment="1">
      <alignment horizontal="right"/>
    </xf>
    <xf numFmtId="0" fontId="0" fillId="7" borderId="0" xfId="0" applyFill="1" applyBorder="1" applyAlignment="1" applyProtection="1">
      <alignment horizontal="right"/>
      <protection locked="0"/>
    </xf>
    <xf numFmtId="0" fontId="10" fillId="10" borderId="0" xfId="0" applyFont="1" applyFill="1" applyBorder="1"/>
    <xf numFmtId="0" fontId="0" fillId="10" borderId="0" xfId="0" applyFill="1" applyBorder="1"/>
    <xf numFmtId="0" fontId="0" fillId="11" borderId="0" xfId="0" applyFill="1" applyBorder="1"/>
    <xf numFmtId="0" fontId="0" fillId="11" borderId="0" xfId="0" applyFill="1" applyBorder="1" applyAlignment="1" applyProtection="1">
      <alignment horizontal="left"/>
    </xf>
    <xf numFmtId="0" fontId="6" fillId="11" borderId="0" xfId="0" applyFont="1" applyFill="1" applyBorder="1" applyAlignment="1">
      <alignment horizontal="left"/>
    </xf>
    <xf numFmtId="164" fontId="1" fillId="10" borderId="0" xfId="0" applyNumberFormat="1" applyFont="1" applyFill="1" applyBorder="1"/>
    <xf numFmtId="164" fontId="1" fillId="10" borderId="0" xfId="0" applyNumberFormat="1" applyFont="1" applyFill="1" applyBorder="1" applyAlignment="1">
      <alignment horizontal="right"/>
    </xf>
    <xf numFmtId="0" fontId="4" fillId="10" borderId="0" xfId="0" applyFont="1" applyFill="1" applyBorder="1" applyAlignment="1">
      <alignment horizontal="center"/>
    </xf>
    <xf numFmtId="0" fontId="18" fillId="12" borderId="0" xfId="1" applyAlignment="1">
      <alignment wrapText="1"/>
    </xf>
    <xf numFmtId="2" fontId="14" fillId="7" borderId="0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4" fillId="11" borderId="0" xfId="0" applyFont="1" applyFill="1" applyBorder="1"/>
    <xf numFmtId="0" fontId="7" fillId="10" borderId="0" xfId="0" applyFont="1" applyFill="1" applyBorder="1" applyAlignment="1">
      <alignment horizontal="center"/>
    </xf>
    <xf numFmtId="0" fontId="0" fillId="10" borderId="0" xfId="0" applyFill="1" applyBorder="1" applyAlignment="1">
      <alignment horizontal="right"/>
    </xf>
    <xf numFmtId="0" fontId="19" fillId="0" borderId="0" xfId="0" applyFont="1"/>
    <xf numFmtId="0" fontId="8" fillId="9" borderId="0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0" fontId="0" fillId="10" borderId="40" xfId="0" applyFill="1" applyBorder="1"/>
    <xf numFmtId="0" fontId="0" fillId="10" borderId="41" xfId="0" applyFill="1" applyBorder="1"/>
    <xf numFmtId="0" fontId="1" fillId="10" borderId="40" xfId="0" applyFont="1" applyFill="1" applyBorder="1"/>
    <xf numFmtId="164" fontId="1" fillId="10" borderId="40" xfId="0" applyNumberFormat="1" applyFont="1" applyFill="1" applyBorder="1"/>
    <xf numFmtId="0" fontId="1" fillId="10" borderId="42" xfId="0" applyFont="1" applyFill="1" applyBorder="1"/>
    <xf numFmtId="0" fontId="0" fillId="10" borderId="43" xfId="0" applyFill="1" applyBorder="1"/>
    <xf numFmtId="164" fontId="1" fillId="10" borderId="43" xfId="0" applyNumberFormat="1" applyFont="1" applyFill="1" applyBorder="1" applyAlignment="1">
      <alignment horizontal="right"/>
    </xf>
    <xf numFmtId="0" fontId="0" fillId="10" borderId="44" xfId="0" applyFill="1" applyBorder="1"/>
    <xf numFmtId="0" fontId="0" fillId="11" borderId="43" xfId="0" applyFill="1" applyBorder="1"/>
    <xf numFmtId="164" fontId="1" fillId="10" borderId="43" xfId="0" applyNumberFormat="1" applyFont="1" applyFill="1" applyBorder="1"/>
    <xf numFmtId="0" fontId="10" fillId="10" borderId="40" xfId="0" applyFont="1" applyFill="1" applyBorder="1"/>
    <xf numFmtId="0" fontId="15" fillId="10" borderId="40" xfId="0" applyFont="1" applyFill="1" applyBorder="1"/>
    <xf numFmtId="0" fontId="0" fillId="11" borderId="40" xfId="0" applyFill="1" applyBorder="1"/>
    <xf numFmtId="0" fontId="1" fillId="11" borderId="40" xfId="0" applyFont="1" applyFill="1" applyBorder="1" applyAlignment="1">
      <alignment horizontal="left"/>
    </xf>
    <xf numFmtId="0" fontId="1" fillId="11" borderId="40" xfId="0" applyFont="1" applyFill="1" applyBorder="1"/>
    <xf numFmtId="0" fontId="0" fillId="11" borderId="42" xfId="0" applyFill="1" applyBorder="1"/>
    <xf numFmtId="0" fontId="10" fillId="10" borderId="37" xfId="0" applyFont="1" applyFill="1" applyBorder="1"/>
    <xf numFmtId="0" fontId="10" fillId="10" borderId="38" xfId="0" applyFont="1" applyFill="1" applyBorder="1"/>
    <xf numFmtId="0" fontId="0" fillId="10" borderId="38" xfId="0" applyFill="1" applyBorder="1"/>
    <xf numFmtId="0" fontId="1" fillId="5" borderId="41" xfId="0" applyFont="1" applyFill="1" applyBorder="1" applyAlignment="1">
      <alignment horizontal="center"/>
    </xf>
    <xf numFmtId="164" fontId="0" fillId="5" borderId="41" xfId="0" applyNumberFormat="1" applyFill="1" applyBorder="1" applyAlignment="1">
      <alignment horizontal="center"/>
    </xf>
    <xf numFmtId="0" fontId="0" fillId="11" borderId="41" xfId="0" applyFill="1" applyBorder="1"/>
    <xf numFmtId="0" fontId="3" fillId="10" borderId="41" xfId="0" applyFont="1" applyFill="1" applyBorder="1" applyAlignment="1">
      <alignment horizontal="right"/>
    </xf>
    <xf numFmtId="0" fontId="0" fillId="10" borderId="39" xfId="0" applyFill="1" applyBorder="1"/>
    <xf numFmtId="0" fontId="10" fillId="10" borderId="42" xfId="0" applyFont="1" applyFill="1" applyBorder="1"/>
    <xf numFmtId="0" fontId="10" fillId="10" borderId="43" xfId="0" applyFont="1" applyFill="1" applyBorder="1"/>
    <xf numFmtId="0" fontId="8" fillId="9" borderId="40" xfId="0" applyFont="1" applyFill="1" applyBorder="1" applyAlignment="1">
      <alignment horizontal="center"/>
    </xf>
    <xf numFmtId="0" fontId="0" fillId="9" borderId="40" xfId="0" applyFill="1" applyBorder="1" applyAlignment="1">
      <alignment horizontal="center"/>
    </xf>
    <xf numFmtId="0" fontId="0" fillId="9" borderId="42" xfId="0" applyFill="1" applyBorder="1" applyAlignment="1">
      <alignment horizontal="center"/>
    </xf>
    <xf numFmtId="164" fontId="0" fillId="5" borderId="43" xfId="0" applyNumberFormat="1" applyFill="1" applyBorder="1" applyAlignment="1">
      <alignment horizontal="center"/>
    </xf>
    <xf numFmtId="0" fontId="0" fillId="9" borderId="43" xfId="0" applyFill="1" applyBorder="1" applyAlignment="1">
      <alignment horizontal="center"/>
    </xf>
    <xf numFmtId="164" fontId="0" fillId="5" borderId="44" xfId="0" applyNumberFormat="1" applyFill="1" applyBorder="1" applyAlignment="1">
      <alignment horizontal="center"/>
    </xf>
    <xf numFmtId="0" fontId="0" fillId="0" borderId="41" xfId="0" applyBorder="1"/>
    <xf numFmtId="0" fontId="16" fillId="10" borderId="0" xfId="0" applyFont="1" applyFill="1" applyBorder="1" applyAlignment="1">
      <alignment horizontal="right"/>
    </xf>
    <xf numFmtId="0" fontId="16" fillId="10" borderId="41" xfId="0" applyFont="1" applyFill="1" applyBorder="1" applyAlignment="1">
      <alignment horizontal="right"/>
    </xf>
    <xf numFmtId="0" fontId="7" fillId="10" borderId="0" xfId="0" applyFont="1" applyFill="1" applyBorder="1" applyAlignment="1">
      <alignment horizontal="center"/>
    </xf>
    <xf numFmtId="0" fontId="7" fillId="10" borderId="40" xfId="0" applyFont="1" applyFill="1" applyBorder="1" applyAlignment="1">
      <alignment horizontal="center"/>
    </xf>
    <xf numFmtId="0" fontId="7" fillId="10" borderId="41" xfId="0" applyFont="1" applyFill="1" applyBorder="1" applyAlignment="1">
      <alignment horizontal="center"/>
    </xf>
    <xf numFmtId="0" fontId="0" fillId="10" borderId="0" xfId="0" applyFill="1" applyBorder="1" applyAlignment="1">
      <alignment horizontal="right"/>
    </xf>
    <xf numFmtId="0" fontId="0" fillId="10" borderId="41" xfId="0" applyFill="1" applyBorder="1" applyAlignment="1">
      <alignment horizontal="right"/>
    </xf>
    <xf numFmtId="0" fontId="1" fillId="5" borderId="37" xfId="0" applyFont="1" applyFill="1" applyBorder="1" applyAlignment="1">
      <alignment horizontal="center" vertical="center"/>
    </xf>
    <xf numFmtId="0" fontId="1" fillId="5" borderId="38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/>
    </xf>
    <xf numFmtId="0" fontId="1" fillId="5" borderId="4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5" borderId="41" xfId="0" applyFont="1" applyFill="1" applyBorder="1" applyAlignment="1">
      <alignment horizontal="center" vertical="center"/>
    </xf>
    <xf numFmtId="0" fontId="4" fillId="10" borderId="40" xfId="0" applyFont="1" applyFill="1" applyBorder="1" applyAlignment="1">
      <alignment horizontal="center"/>
    </xf>
    <xf numFmtId="0" fontId="4" fillId="10" borderId="0" xfId="0" applyFont="1" applyFill="1" applyBorder="1" applyAlignment="1">
      <alignment horizontal="center"/>
    </xf>
    <xf numFmtId="0" fontId="4" fillId="10" borderId="37" xfId="0" applyFont="1" applyFill="1" applyBorder="1" applyAlignment="1">
      <alignment horizontal="center"/>
    </xf>
    <xf numFmtId="0" fontId="4" fillId="10" borderId="38" xfId="0" applyFont="1" applyFill="1" applyBorder="1" applyAlignment="1">
      <alignment horizontal="center"/>
    </xf>
    <xf numFmtId="0" fontId="4" fillId="10" borderId="39" xfId="0" applyFont="1" applyFill="1" applyBorder="1" applyAlignment="1">
      <alignment horizontal="center"/>
    </xf>
    <xf numFmtId="0" fontId="4" fillId="3" borderId="33" xfId="0" applyFont="1" applyFill="1" applyBorder="1" applyAlignment="1">
      <alignment horizontal="center"/>
    </xf>
    <xf numFmtId="0" fontId="4" fillId="3" borderId="3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4" fillId="8" borderId="33" xfId="0" applyFont="1" applyFill="1" applyBorder="1" applyAlignment="1">
      <alignment horizontal="center"/>
    </xf>
    <xf numFmtId="0" fontId="4" fillId="8" borderId="31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8" borderId="0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4" fillId="4" borderId="31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14" fillId="5" borderId="34" xfId="0" applyFont="1" applyFill="1" applyBorder="1" applyAlignment="1">
      <alignment horizontal="center"/>
    </xf>
    <xf numFmtId="0" fontId="14" fillId="5" borderId="35" xfId="0" applyFont="1" applyFill="1" applyBorder="1" applyAlignment="1">
      <alignment horizontal="center"/>
    </xf>
    <xf numFmtId="0" fontId="14" fillId="5" borderId="36" xfId="0" applyFont="1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35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4" fillId="5" borderId="15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DiRootsHeaderStyle" xfId="1" xr:uid="{9CB69A2D-7B43-4C04-B32B-6D522F6349F8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1.xml"/><Relationship Id="rId1" Type="http://schemas.openxmlformats.org/officeDocument/2006/relationships/dialogsheet" Target="dialog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fmlaLink="Tabeller!$A$30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Drop" dropLines="4" dropStyle="combo" dx="16" fmlaLink="Tabeller!$A$36" fmlaRange="Tabeller!$E$6:$E$36" sel="5" val="4"/>
</file>

<file path=xl/ctrlProps/ctrlProp6.xml><?xml version="1.0" encoding="utf-8"?>
<formControlPr xmlns="http://schemas.microsoft.com/office/spreadsheetml/2009/9/main" objectType="Drop" dropStyle="combo" dx="16" fmlaLink="Tabeller!$A$33" fmlaRange="Tabeller!$A$6:$A$23" sel="1" val="0"/>
</file>

<file path=xl/ctrlProps/ctrlProp7.xml><?xml version="1.0" encoding="utf-8"?>
<formControlPr xmlns="http://schemas.microsoft.com/office/spreadsheetml/2009/9/main" objectType="Drop" dropLines="5" dropStyle="combo" dx="16" fmlaLink="Tabeller!$A$48" fmlaRange="Tabeller!$E$43:$E$47" sel="4" val="0"/>
</file>

<file path=xl/ctrlProps/ctrlProp8.xml><?xml version="1.0" encoding="utf-8"?>
<formControlPr xmlns="http://schemas.microsoft.com/office/spreadsheetml/2009/9/main" objectType="Radio" checked="Checked" lockText="1"/>
</file>

<file path=xl/ctrlProps/ctrlProp9.xml><?xml version="1.0" encoding="utf-8"?>
<formControlPr xmlns="http://schemas.microsoft.com/office/spreadsheetml/2009/9/main" objectType="Spin" dx="16" fmlaLink="Tabeller!$H$5" max="100" page="10" val="20"/>
</file>

<file path=xl/dialog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291A79F2-3A41-4CD0-A354-A0D3E6B22100}">
  <sheetViews>
    <sheetView showRowColHeaders="0" showZeros="0" showOutlineSymbols="0" workbookViewId="0"/>
  </sheetViews>
  <sheetFormatPr defaultColWidth="1" defaultRowHeight="5.25" customHeight="1" x14ac:dyDescent="0.2"/>
  <sheetProtection sheet="1"/>
  <pageMargins left="0.7" right="0.7" top="0.75" bottom="0.75" header="0.3" footer="0.3"/>
  <legacyDrawing r:id="rId1"/>
</dialogsheet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12</xdr:col>
          <xdr:colOff>0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3</xdr:row>
          <xdr:rowOff>152400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9</xdr:row>
          <xdr:rowOff>0</xdr:rowOff>
        </xdr:from>
        <xdr:to>
          <xdr:col>2</xdr:col>
          <xdr:colOff>47625</xdr:colOff>
          <xdr:row>10</xdr:row>
          <xdr:rowOff>28575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Vand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10</xdr:row>
          <xdr:rowOff>0</xdr:rowOff>
        </xdr:from>
        <xdr:to>
          <xdr:col>4</xdr:col>
          <xdr:colOff>409575</xdr:colOff>
          <xdr:row>11</xdr:row>
          <xdr:rowOff>19050</xdr:rowOff>
        </xdr:to>
        <xdr:sp macro="" textlink="">
          <xdr:nvSpPr>
            <xdr:cNvPr id="2067" name="Option 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Vand med glycol, vælg glycol %: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14</xdr:row>
          <xdr:rowOff>0</xdr:rowOff>
        </xdr:from>
        <xdr:to>
          <xdr:col>2</xdr:col>
          <xdr:colOff>85725</xdr:colOff>
          <xdr:row>15</xdr:row>
          <xdr:rowOff>19050</xdr:rowOff>
        </xdr:to>
        <xdr:sp macro="" textlink="">
          <xdr:nvSpPr>
            <xdr:cNvPr id="2071" name="Drop Dow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1209675</xdr:colOff>
          <xdr:row>15</xdr:row>
          <xdr:rowOff>161925</xdr:rowOff>
        </xdr:from>
        <xdr:to>
          <xdr:col>6</xdr:col>
          <xdr:colOff>304800</xdr:colOff>
          <xdr:row>17</xdr:row>
          <xdr:rowOff>0</xdr:rowOff>
        </xdr:to>
        <xdr:sp macro="" textlink="">
          <xdr:nvSpPr>
            <xdr:cNvPr id="2072" name="Drop Dow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161925</xdr:rowOff>
        </xdr:from>
        <xdr:to>
          <xdr:col>3</xdr:col>
          <xdr:colOff>647700</xdr:colOff>
          <xdr:row>19</xdr:row>
          <xdr:rowOff>0</xdr:rowOff>
        </xdr:to>
        <xdr:sp macro="" textlink="">
          <xdr:nvSpPr>
            <xdr:cNvPr id="2092" name="Drop Dow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3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11</xdr:row>
          <xdr:rowOff>114300</xdr:rowOff>
        </xdr:from>
        <xdr:to>
          <xdr:col>4</xdr:col>
          <xdr:colOff>28575</xdr:colOff>
          <xdr:row>13</xdr:row>
          <xdr:rowOff>9525</xdr:rowOff>
        </xdr:to>
        <xdr:sp macro="" textlink="">
          <xdr:nvSpPr>
            <xdr:cNvPr id="2115" name="Option 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3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Atmosfærisk, tør luft ved 1 atm.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9</xdr:row>
          <xdr:rowOff>180975</xdr:rowOff>
        </xdr:from>
        <xdr:to>
          <xdr:col>4</xdr:col>
          <xdr:colOff>352425</xdr:colOff>
          <xdr:row>11</xdr:row>
          <xdr:rowOff>47625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3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4</xdr:col>
          <xdr:colOff>219075</xdr:colOff>
          <xdr:row>8</xdr:row>
          <xdr:rowOff>47625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5</xdr:col>
          <xdr:colOff>28575</xdr:colOff>
          <xdr:row>12</xdr:row>
          <xdr:rowOff>95250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12</xdr:row>
          <xdr:rowOff>123825</xdr:rowOff>
        </xdr:from>
        <xdr:to>
          <xdr:col>3</xdr:col>
          <xdr:colOff>304800</xdr:colOff>
          <xdr:row>15</xdr:row>
          <xdr:rowOff>85725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9</xdr:col>
          <xdr:colOff>457200</xdr:colOff>
          <xdr:row>8</xdr:row>
          <xdr:rowOff>76200</xdr:rowOff>
        </xdr:to>
        <xdr:sp macro="" textlink="">
          <xdr:nvSpPr>
            <xdr:cNvPr id="1028" name="Object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9</xdr:col>
          <xdr:colOff>190500</xdr:colOff>
          <xdr:row>12</xdr:row>
          <xdr:rowOff>133350</xdr:rowOff>
        </xdr:to>
        <xdr:sp macro="" textlink="">
          <xdr:nvSpPr>
            <xdr:cNvPr id="1029" name="Object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13</xdr:row>
          <xdr:rowOff>0</xdr:rowOff>
        </xdr:from>
        <xdr:to>
          <xdr:col>9</xdr:col>
          <xdr:colOff>447675</xdr:colOff>
          <xdr:row>16</xdr:row>
          <xdr:rowOff>9525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142875</xdr:rowOff>
        </xdr:from>
        <xdr:to>
          <xdr:col>11</xdr:col>
          <xdr:colOff>57150</xdr:colOff>
          <xdr:row>11</xdr:row>
          <xdr:rowOff>85725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5.w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.wmf"/><Relationship Id="rId12" Type="http://schemas.openxmlformats.org/officeDocument/2006/relationships/oleObject" Target="../embeddings/oleObject5.bin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wmf"/><Relationship Id="rId5" Type="http://schemas.openxmlformats.org/officeDocument/2006/relationships/image" Target="../media/image1.wmf"/><Relationship Id="rId15" Type="http://schemas.openxmlformats.org/officeDocument/2006/relationships/image" Target="../media/image6.w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wmf"/><Relationship Id="rId14" Type="http://schemas.openxmlformats.org/officeDocument/2006/relationships/oleObject" Target="../embeddings/oleObject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7.bin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7C5D5-A6FE-4CA1-B3B4-D7390EADA683}">
  <sheetPr codeName="Ark4">
    <tabColor rgb="FFFFFF00"/>
  </sheetPr>
  <dimension ref="A1:I1861"/>
  <sheetViews>
    <sheetView tabSelected="1" zoomScaleNormal="100" workbookViewId="0">
      <selection activeCell="G2" sqref="G2:G1861"/>
    </sheetView>
  </sheetViews>
  <sheetFormatPr defaultRowHeight="12.75" x14ac:dyDescent="0.2"/>
  <cols>
    <col min="1" max="1" width="31.7109375" bestFit="1" customWidth="1"/>
    <col min="2" max="2" width="10.5703125" bestFit="1" customWidth="1"/>
    <col min="3" max="3" width="25.42578125" bestFit="1" customWidth="1"/>
    <col min="4" max="4" width="14.42578125" customWidth="1"/>
    <col min="5" max="5" width="23.140625" bestFit="1" customWidth="1"/>
    <col min="6" max="6" width="8.140625" customWidth="1"/>
    <col min="7" max="7" width="18.5703125" bestFit="1" customWidth="1"/>
    <col min="8" max="8" width="44.7109375" customWidth="1"/>
    <col min="9" max="9" width="18.7109375" customWidth="1"/>
  </cols>
  <sheetData>
    <row r="1" spans="1:9" ht="15" x14ac:dyDescent="0.25">
      <c r="A1" s="143" t="s">
        <v>254</v>
      </c>
      <c r="B1" s="143" t="s">
        <v>247</v>
      </c>
      <c r="C1" s="143" t="s">
        <v>248</v>
      </c>
      <c r="D1" s="143" t="s">
        <v>253</v>
      </c>
      <c r="E1" s="143" t="s">
        <v>249</v>
      </c>
      <c r="F1" s="143" t="s">
        <v>250</v>
      </c>
      <c r="G1" s="143" t="s">
        <v>251</v>
      </c>
      <c r="H1" s="143" t="s">
        <v>255</v>
      </c>
      <c r="I1" s="143" t="s">
        <v>252</v>
      </c>
    </row>
    <row r="2" spans="1:9" ht="14.25" x14ac:dyDescent="0.2">
      <c r="A2" t="s">
        <v>263</v>
      </c>
      <c r="B2" t="s">
        <v>324</v>
      </c>
      <c r="C2" t="s">
        <v>476</v>
      </c>
      <c r="E2" t="s">
        <v>478</v>
      </c>
      <c r="F2" t="s">
        <v>515</v>
      </c>
      <c r="G2" t="s">
        <v>319</v>
      </c>
      <c r="I2" s="149"/>
    </row>
    <row r="3" spans="1:9" ht="14.25" x14ac:dyDescent="0.2">
      <c r="A3" t="s">
        <v>264</v>
      </c>
      <c r="B3" t="s">
        <v>325</v>
      </c>
      <c r="C3" t="s">
        <v>477</v>
      </c>
      <c r="E3" t="s">
        <v>477</v>
      </c>
      <c r="F3" t="s">
        <v>516</v>
      </c>
      <c r="G3" t="s">
        <v>569</v>
      </c>
      <c r="I3" s="149"/>
    </row>
    <row r="4" spans="1:9" ht="14.25" x14ac:dyDescent="0.2">
      <c r="A4" t="s">
        <v>265</v>
      </c>
      <c r="B4" t="s">
        <v>326</v>
      </c>
      <c r="C4" t="s">
        <v>478</v>
      </c>
      <c r="E4" t="s">
        <v>478</v>
      </c>
      <c r="F4" t="s">
        <v>517</v>
      </c>
      <c r="G4" t="s">
        <v>570</v>
      </c>
      <c r="I4" s="149"/>
    </row>
    <row r="5" spans="1:9" ht="14.25" x14ac:dyDescent="0.2">
      <c r="A5" t="s">
        <v>266</v>
      </c>
      <c r="B5" t="s">
        <v>327</v>
      </c>
      <c r="C5" t="s">
        <v>479</v>
      </c>
      <c r="E5" t="s">
        <v>479</v>
      </c>
      <c r="F5" t="s">
        <v>518</v>
      </c>
      <c r="G5" t="s">
        <v>571</v>
      </c>
      <c r="I5" s="149"/>
    </row>
    <row r="6" spans="1:9" ht="14.25" x14ac:dyDescent="0.2">
      <c r="A6" t="s">
        <v>267</v>
      </c>
      <c r="B6" t="s">
        <v>328</v>
      </c>
      <c r="C6" t="s">
        <v>480</v>
      </c>
      <c r="E6" t="s">
        <v>480</v>
      </c>
      <c r="F6" t="s">
        <v>519</v>
      </c>
      <c r="G6" t="s">
        <v>572</v>
      </c>
      <c r="H6" s="145"/>
      <c r="I6" s="149"/>
    </row>
    <row r="7" spans="1:9" ht="14.25" x14ac:dyDescent="0.2">
      <c r="A7" t="s">
        <v>268</v>
      </c>
      <c r="B7" t="s">
        <v>329</v>
      </c>
      <c r="C7" t="s">
        <v>478</v>
      </c>
      <c r="E7" t="s">
        <v>478</v>
      </c>
      <c r="F7" t="s">
        <v>520</v>
      </c>
      <c r="G7" t="s">
        <v>571</v>
      </c>
      <c r="I7" s="149"/>
    </row>
    <row r="8" spans="1:9" ht="14.25" x14ac:dyDescent="0.2">
      <c r="A8" t="s">
        <v>268</v>
      </c>
      <c r="B8" t="s">
        <v>330</v>
      </c>
      <c r="C8" t="s">
        <v>478</v>
      </c>
      <c r="E8" t="s">
        <v>478</v>
      </c>
      <c r="F8" t="s">
        <v>516</v>
      </c>
      <c r="G8" t="s">
        <v>571</v>
      </c>
      <c r="I8" s="149"/>
    </row>
    <row r="9" spans="1:9" ht="14.25" x14ac:dyDescent="0.2">
      <c r="A9" t="s">
        <v>268</v>
      </c>
      <c r="B9" t="s">
        <v>331</v>
      </c>
      <c r="C9" t="s">
        <v>478</v>
      </c>
      <c r="E9" t="s">
        <v>478</v>
      </c>
      <c r="F9" t="s">
        <v>520</v>
      </c>
      <c r="G9" t="s">
        <v>571</v>
      </c>
      <c r="I9" s="149"/>
    </row>
    <row r="10" spans="1:9" ht="14.25" x14ac:dyDescent="0.2">
      <c r="A10" t="s">
        <v>269</v>
      </c>
      <c r="B10" t="s">
        <v>332</v>
      </c>
      <c r="C10" t="s">
        <v>481</v>
      </c>
      <c r="E10" t="s">
        <v>481</v>
      </c>
      <c r="F10" t="s">
        <v>521</v>
      </c>
      <c r="G10" t="s">
        <v>573</v>
      </c>
      <c r="I10" s="149"/>
    </row>
    <row r="11" spans="1:9" ht="14.25" x14ac:dyDescent="0.2">
      <c r="A11" t="s">
        <v>270</v>
      </c>
      <c r="B11" t="s">
        <v>333</v>
      </c>
      <c r="C11" t="s">
        <v>481</v>
      </c>
      <c r="E11" t="s">
        <v>481</v>
      </c>
      <c r="F11" t="s">
        <v>522</v>
      </c>
      <c r="G11" t="s">
        <v>573</v>
      </c>
      <c r="I11" s="149"/>
    </row>
    <row r="12" spans="1:9" ht="14.25" x14ac:dyDescent="0.2">
      <c r="A12" t="s">
        <v>270</v>
      </c>
      <c r="B12" t="s">
        <v>334</v>
      </c>
      <c r="C12" t="s">
        <v>481</v>
      </c>
      <c r="E12" t="s">
        <v>481</v>
      </c>
      <c r="F12" t="s">
        <v>523</v>
      </c>
      <c r="G12" t="s">
        <v>573</v>
      </c>
      <c r="I12" s="149"/>
    </row>
    <row r="13" spans="1:9" x14ac:dyDescent="0.2">
      <c r="A13" t="s">
        <v>271</v>
      </c>
      <c r="B13" t="s">
        <v>335</v>
      </c>
      <c r="C13" t="s">
        <v>478</v>
      </c>
      <c r="E13" t="s">
        <v>478</v>
      </c>
      <c r="F13" t="s">
        <v>524</v>
      </c>
      <c r="G13" t="s">
        <v>574</v>
      </c>
    </row>
    <row r="14" spans="1:9" x14ac:dyDescent="0.2">
      <c r="A14" t="s">
        <v>269</v>
      </c>
      <c r="B14" t="s">
        <v>336</v>
      </c>
      <c r="C14" t="s">
        <v>481</v>
      </c>
      <c r="E14" t="s">
        <v>481</v>
      </c>
      <c r="F14" t="s">
        <v>525</v>
      </c>
      <c r="G14" t="s">
        <v>573</v>
      </c>
    </row>
    <row r="15" spans="1:9" x14ac:dyDescent="0.2">
      <c r="A15" t="s">
        <v>272</v>
      </c>
      <c r="B15" t="s">
        <v>337</v>
      </c>
      <c r="C15" t="s">
        <v>481</v>
      </c>
      <c r="E15" t="s">
        <v>481</v>
      </c>
      <c r="F15" t="s">
        <v>526</v>
      </c>
      <c r="G15" t="s">
        <v>572</v>
      </c>
    </row>
    <row r="16" spans="1:9" x14ac:dyDescent="0.2">
      <c r="A16" t="s">
        <v>272</v>
      </c>
      <c r="B16" t="s">
        <v>338</v>
      </c>
      <c r="C16" t="s">
        <v>481</v>
      </c>
      <c r="E16" t="s">
        <v>481</v>
      </c>
      <c r="F16" t="s">
        <v>527</v>
      </c>
      <c r="G16" t="s">
        <v>572</v>
      </c>
    </row>
    <row r="17" spans="1:7" x14ac:dyDescent="0.2">
      <c r="A17" t="s">
        <v>273</v>
      </c>
      <c r="B17" t="s">
        <v>339</v>
      </c>
      <c r="C17" t="s">
        <v>481</v>
      </c>
      <c r="E17" t="s">
        <v>481</v>
      </c>
      <c r="F17" t="s">
        <v>527</v>
      </c>
      <c r="G17" t="s">
        <v>572</v>
      </c>
    </row>
    <row r="18" spans="1:7" x14ac:dyDescent="0.2">
      <c r="A18" t="s">
        <v>273</v>
      </c>
      <c r="B18" t="s">
        <v>340</v>
      </c>
      <c r="C18" t="s">
        <v>482</v>
      </c>
      <c r="E18" t="s">
        <v>482</v>
      </c>
      <c r="F18" t="s">
        <v>528</v>
      </c>
      <c r="G18" t="s">
        <v>572</v>
      </c>
    </row>
    <row r="19" spans="1:7" x14ac:dyDescent="0.2">
      <c r="A19" t="s">
        <v>273</v>
      </c>
      <c r="B19" t="s">
        <v>341</v>
      </c>
      <c r="C19" t="s">
        <v>481</v>
      </c>
      <c r="E19" t="s">
        <v>481</v>
      </c>
      <c r="F19" t="s">
        <v>527</v>
      </c>
      <c r="G19" t="s">
        <v>572</v>
      </c>
    </row>
    <row r="20" spans="1:7" x14ac:dyDescent="0.2">
      <c r="A20" t="s">
        <v>273</v>
      </c>
      <c r="B20" t="s">
        <v>342</v>
      </c>
      <c r="C20" t="s">
        <v>481</v>
      </c>
      <c r="E20" t="s">
        <v>481</v>
      </c>
      <c r="F20" t="s">
        <v>526</v>
      </c>
      <c r="G20" t="s">
        <v>572</v>
      </c>
    </row>
    <row r="21" spans="1:7" x14ac:dyDescent="0.2">
      <c r="A21" t="s">
        <v>274</v>
      </c>
      <c r="B21" t="s">
        <v>343</v>
      </c>
      <c r="C21" t="s">
        <v>483</v>
      </c>
      <c r="E21" t="s">
        <v>483</v>
      </c>
      <c r="F21" t="s">
        <v>529</v>
      </c>
      <c r="G21" t="s">
        <v>575</v>
      </c>
    </row>
    <row r="22" spans="1:7" x14ac:dyDescent="0.2">
      <c r="A22" t="s">
        <v>275</v>
      </c>
      <c r="B22" t="s">
        <v>344</v>
      </c>
      <c r="C22" t="s">
        <v>478</v>
      </c>
      <c r="E22" t="s">
        <v>477</v>
      </c>
      <c r="F22" t="s">
        <v>530</v>
      </c>
      <c r="G22" t="s">
        <v>575</v>
      </c>
    </row>
    <row r="23" spans="1:7" x14ac:dyDescent="0.2">
      <c r="A23" t="s">
        <v>275</v>
      </c>
      <c r="B23" t="s">
        <v>345</v>
      </c>
      <c r="C23" t="s">
        <v>478</v>
      </c>
      <c r="E23" t="s">
        <v>477</v>
      </c>
      <c r="F23" t="s">
        <v>530</v>
      </c>
      <c r="G23" t="s">
        <v>575</v>
      </c>
    </row>
    <row r="24" spans="1:7" x14ac:dyDescent="0.2">
      <c r="A24" t="s">
        <v>275</v>
      </c>
      <c r="B24" t="s">
        <v>346</v>
      </c>
      <c r="C24" t="s">
        <v>478</v>
      </c>
      <c r="E24" t="s">
        <v>477</v>
      </c>
      <c r="F24" t="s">
        <v>530</v>
      </c>
      <c r="G24" t="s">
        <v>575</v>
      </c>
    </row>
    <row r="25" spans="1:7" x14ac:dyDescent="0.2">
      <c r="A25" t="s">
        <v>275</v>
      </c>
      <c r="B25" t="s">
        <v>347</v>
      </c>
      <c r="C25" t="s">
        <v>478</v>
      </c>
      <c r="E25" t="s">
        <v>477</v>
      </c>
      <c r="F25" t="s">
        <v>530</v>
      </c>
      <c r="G25" t="s">
        <v>575</v>
      </c>
    </row>
    <row r="26" spans="1:7" x14ac:dyDescent="0.2">
      <c r="A26" t="s">
        <v>275</v>
      </c>
      <c r="B26" t="s">
        <v>348</v>
      </c>
      <c r="C26" t="s">
        <v>478</v>
      </c>
      <c r="E26" t="s">
        <v>477</v>
      </c>
      <c r="F26" t="s">
        <v>530</v>
      </c>
      <c r="G26" t="s">
        <v>575</v>
      </c>
    </row>
    <row r="27" spans="1:7" x14ac:dyDescent="0.2">
      <c r="A27" t="s">
        <v>275</v>
      </c>
      <c r="B27" t="s">
        <v>349</v>
      </c>
      <c r="C27" t="s">
        <v>478</v>
      </c>
      <c r="E27" t="s">
        <v>477</v>
      </c>
      <c r="F27" t="s">
        <v>530</v>
      </c>
      <c r="G27" t="s">
        <v>575</v>
      </c>
    </row>
    <row r="28" spans="1:7" x14ac:dyDescent="0.2">
      <c r="A28" t="s">
        <v>275</v>
      </c>
      <c r="B28" t="s">
        <v>350</v>
      </c>
      <c r="C28" t="s">
        <v>478</v>
      </c>
      <c r="E28" t="s">
        <v>477</v>
      </c>
      <c r="F28" t="s">
        <v>530</v>
      </c>
      <c r="G28" t="s">
        <v>575</v>
      </c>
    </row>
    <row r="29" spans="1:7" x14ac:dyDescent="0.2">
      <c r="A29" t="s">
        <v>275</v>
      </c>
      <c r="B29" t="s">
        <v>351</v>
      </c>
      <c r="C29" t="s">
        <v>478</v>
      </c>
      <c r="E29" t="s">
        <v>477</v>
      </c>
      <c r="F29" t="s">
        <v>530</v>
      </c>
      <c r="G29" t="s">
        <v>575</v>
      </c>
    </row>
    <row r="30" spans="1:7" x14ac:dyDescent="0.2">
      <c r="A30" t="s">
        <v>275</v>
      </c>
      <c r="B30" t="s">
        <v>352</v>
      </c>
      <c r="C30" t="s">
        <v>478</v>
      </c>
      <c r="E30" t="s">
        <v>477</v>
      </c>
      <c r="F30" t="s">
        <v>530</v>
      </c>
      <c r="G30" t="s">
        <v>575</v>
      </c>
    </row>
    <row r="31" spans="1:7" x14ac:dyDescent="0.2">
      <c r="A31" t="s">
        <v>264</v>
      </c>
      <c r="B31" t="s">
        <v>353</v>
      </c>
      <c r="C31" t="s">
        <v>478</v>
      </c>
      <c r="E31" t="s">
        <v>477</v>
      </c>
      <c r="F31" t="s">
        <v>516</v>
      </c>
      <c r="G31" t="s">
        <v>575</v>
      </c>
    </row>
    <row r="32" spans="1:7" x14ac:dyDescent="0.2">
      <c r="A32" t="s">
        <v>276</v>
      </c>
      <c r="B32" t="s">
        <v>354</v>
      </c>
      <c r="C32" t="s">
        <v>484</v>
      </c>
      <c r="E32" t="s">
        <v>484</v>
      </c>
      <c r="F32" t="s">
        <v>531</v>
      </c>
      <c r="G32" t="s">
        <v>575</v>
      </c>
    </row>
    <row r="33" spans="1:7" x14ac:dyDescent="0.2">
      <c r="A33" t="s">
        <v>275</v>
      </c>
      <c r="B33" t="s">
        <v>355</v>
      </c>
      <c r="C33" t="s">
        <v>478</v>
      </c>
      <c r="E33" t="s">
        <v>477</v>
      </c>
      <c r="F33" t="s">
        <v>530</v>
      </c>
      <c r="G33" t="s">
        <v>575</v>
      </c>
    </row>
    <row r="34" spans="1:7" x14ac:dyDescent="0.2">
      <c r="A34" t="s">
        <v>275</v>
      </c>
      <c r="B34" t="s">
        <v>356</v>
      </c>
      <c r="C34" t="s">
        <v>478</v>
      </c>
      <c r="E34" t="s">
        <v>477</v>
      </c>
      <c r="F34" t="s">
        <v>530</v>
      </c>
      <c r="G34" t="s">
        <v>575</v>
      </c>
    </row>
    <row r="35" spans="1:7" x14ac:dyDescent="0.2">
      <c r="A35" t="s">
        <v>275</v>
      </c>
      <c r="B35" t="s">
        <v>357</v>
      </c>
      <c r="C35" t="s">
        <v>478</v>
      </c>
      <c r="E35" t="s">
        <v>477</v>
      </c>
      <c r="F35" t="s">
        <v>530</v>
      </c>
      <c r="G35" t="s">
        <v>575</v>
      </c>
    </row>
    <row r="36" spans="1:7" x14ac:dyDescent="0.2">
      <c r="A36" t="s">
        <v>275</v>
      </c>
      <c r="B36" t="s">
        <v>358</v>
      </c>
      <c r="C36" t="s">
        <v>478</v>
      </c>
      <c r="E36" t="s">
        <v>477</v>
      </c>
      <c r="F36" t="s">
        <v>530</v>
      </c>
      <c r="G36" t="s">
        <v>575</v>
      </c>
    </row>
    <row r="37" spans="1:7" x14ac:dyDescent="0.2">
      <c r="A37" t="s">
        <v>275</v>
      </c>
      <c r="B37" t="s">
        <v>359</v>
      </c>
      <c r="C37" t="s">
        <v>478</v>
      </c>
      <c r="E37" t="s">
        <v>477</v>
      </c>
      <c r="F37" t="s">
        <v>530</v>
      </c>
      <c r="G37" t="s">
        <v>575</v>
      </c>
    </row>
    <row r="38" spans="1:7" x14ac:dyDescent="0.2">
      <c r="A38" t="s">
        <v>275</v>
      </c>
      <c r="B38" t="s">
        <v>360</v>
      </c>
      <c r="C38" t="s">
        <v>478</v>
      </c>
      <c r="E38" t="s">
        <v>477</v>
      </c>
      <c r="F38" t="s">
        <v>530</v>
      </c>
      <c r="G38" t="s">
        <v>575</v>
      </c>
    </row>
    <row r="39" spans="1:7" x14ac:dyDescent="0.2">
      <c r="A39" t="s">
        <v>264</v>
      </c>
      <c r="B39" t="s">
        <v>361</v>
      </c>
      <c r="C39" t="s">
        <v>478</v>
      </c>
      <c r="E39" t="s">
        <v>477</v>
      </c>
      <c r="F39" t="s">
        <v>516</v>
      </c>
      <c r="G39" t="s">
        <v>575</v>
      </c>
    </row>
    <row r="40" spans="1:7" x14ac:dyDescent="0.2">
      <c r="A40" t="s">
        <v>265</v>
      </c>
      <c r="B40" t="s">
        <v>362</v>
      </c>
      <c r="C40" t="s">
        <v>478</v>
      </c>
      <c r="E40" t="s">
        <v>491</v>
      </c>
      <c r="F40" t="s">
        <v>532</v>
      </c>
      <c r="G40" t="s">
        <v>570</v>
      </c>
    </row>
    <row r="41" spans="1:7" x14ac:dyDescent="0.2">
      <c r="A41" t="s">
        <v>277</v>
      </c>
      <c r="B41" t="s">
        <v>363</v>
      </c>
      <c r="C41" t="s">
        <v>485</v>
      </c>
      <c r="E41" t="s">
        <v>485</v>
      </c>
      <c r="F41" t="s">
        <v>525</v>
      </c>
      <c r="G41" t="s">
        <v>571</v>
      </c>
    </row>
    <row r="42" spans="1:7" x14ac:dyDescent="0.2">
      <c r="A42" t="s">
        <v>267</v>
      </c>
      <c r="B42" t="s">
        <v>364</v>
      </c>
      <c r="C42" t="s">
        <v>480</v>
      </c>
      <c r="E42" t="s">
        <v>480</v>
      </c>
      <c r="F42" t="s">
        <v>533</v>
      </c>
      <c r="G42" t="s">
        <v>572</v>
      </c>
    </row>
    <row r="43" spans="1:7" x14ac:dyDescent="0.2">
      <c r="A43" t="s">
        <v>278</v>
      </c>
      <c r="B43" t="s">
        <v>365</v>
      </c>
      <c r="C43" t="s">
        <v>486</v>
      </c>
      <c r="E43" t="s">
        <v>486</v>
      </c>
      <c r="F43" t="s">
        <v>534</v>
      </c>
      <c r="G43" t="s">
        <v>573</v>
      </c>
    </row>
    <row r="44" spans="1:7" x14ac:dyDescent="0.2">
      <c r="A44" t="s">
        <v>278</v>
      </c>
      <c r="B44" t="s">
        <v>366</v>
      </c>
      <c r="C44" t="s">
        <v>486</v>
      </c>
      <c r="E44" t="s">
        <v>486</v>
      </c>
      <c r="F44" t="s">
        <v>534</v>
      </c>
      <c r="G44" t="s">
        <v>573</v>
      </c>
    </row>
    <row r="45" spans="1:7" x14ac:dyDescent="0.2">
      <c r="A45" t="s">
        <v>279</v>
      </c>
      <c r="B45" t="s">
        <v>367</v>
      </c>
      <c r="C45" t="s">
        <v>487</v>
      </c>
      <c r="E45" t="s">
        <v>487</v>
      </c>
      <c r="F45" t="s">
        <v>535</v>
      </c>
      <c r="G45" t="s">
        <v>573</v>
      </c>
    </row>
    <row r="46" spans="1:7" x14ac:dyDescent="0.2">
      <c r="A46" t="s">
        <v>279</v>
      </c>
      <c r="B46" t="s">
        <v>368</v>
      </c>
      <c r="C46" t="s">
        <v>487</v>
      </c>
      <c r="E46" t="s">
        <v>487</v>
      </c>
      <c r="F46" t="s">
        <v>527</v>
      </c>
      <c r="G46" t="s">
        <v>573</v>
      </c>
    </row>
    <row r="47" spans="1:7" x14ac:dyDescent="0.2">
      <c r="A47" t="s">
        <v>280</v>
      </c>
      <c r="B47" t="s">
        <v>369</v>
      </c>
      <c r="C47" t="s">
        <v>482</v>
      </c>
      <c r="E47" t="s">
        <v>482</v>
      </c>
      <c r="F47" t="s">
        <v>526</v>
      </c>
      <c r="G47" t="s">
        <v>572</v>
      </c>
    </row>
    <row r="48" spans="1:7" x14ac:dyDescent="0.2">
      <c r="A48" t="s">
        <v>280</v>
      </c>
      <c r="B48" t="s">
        <v>370</v>
      </c>
      <c r="C48" t="s">
        <v>482</v>
      </c>
      <c r="E48" t="s">
        <v>482</v>
      </c>
      <c r="F48" t="s">
        <v>527</v>
      </c>
      <c r="G48" t="s">
        <v>572</v>
      </c>
    </row>
    <row r="49" spans="1:7" x14ac:dyDescent="0.2">
      <c r="A49" t="s">
        <v>272</v>
      </c>
      <c r="B49" t="s">
        <v>371</v>
      </c>
      <c r="C49" t="s">
        <v>482</v>
      </c>
      <c r="E49" t="s">
        <v>482</v>
      </c>
      <c r="F49" t="s">
        <v>527</v>
      </c>
      <c r="G49" t="s">
        <v>572</v>
      </c>
    </row>
    <row r="50" spans="1:7" x14ac:dyDescent="0.2">
      <c r="A50" t="s">
        <v>272</v>
      </c>
      <c r="B50" t="s">
        <v>372</v>
      </c>
      <c r="C50" t="s">
        <v>488</v>
      </c>
      <c r="E50" t="s">
        <v>488</v>
      </c>
      <c r="F50" t="s">
        <v>528</v>
      </c>
      <c r="G50" t="s">
        <v>572</v>
      </c>
    </row>
    <row r="51" spans="1:7" x14ac:dyDescent="0.2">
      <c r="A51" t="s">
        <v>281</v>
      </c>
      <c r="B51" t="s">
        <v>373</v>
      </c>
      <c r="C51" t="s">
        <v>482</v>
      </c>
      <c r="E51" t="s">
        <v>482</v>
      </c>
      <c r="F51" t="s">
        <v>527</v>
      </c>
      <c r="G51" t="s">
        <v>572</v>
      </c>
    </row>
    <row r="52" spans="1:7" x14ac:dyDescent="0.2">
      <c r="A52" t="s">
        <v>273</v>
      </c>
      <c r="B52" t="s">
        <v>374</v>
      </c>
      <c r="C52" t="s">
        <v>481</v>
      </c>
      <c r="E52" t="s">
        <v>481</v>
      </c>
      <c r="F52" t="s">
        <v>526</v>
      </c>
      <c r="G52" t="s">
        <v>572</v>
      </c>
    </row>
    <row r="53" spans="1:7" x14ac:dyDescent="0.2">
      <c r="A53" t="s">
        <v>282</v>
      </c>
      <c r="B53" t="s">
        <v>375</v>
      </c>
      <c r="C53" t="s">
        <v>489</v>
      </c>
      <c r="E53" t="s">
        <v>489</v>
      </c>
      <c r="F53" t="s">
        <v>526</v>
      </c>
      <c r="G53" t="s">
        <v>572</v>
      </c>
    </row>
    <row r="54" spans="1:7" x14ac:dyDescent="0.2">
      <c r="A54" t="s">
        <v>283</v>
      </c>
      <c r="B54" t="s">
        <v>376</v>
      </c>
      <c r="C54" t="s">
        <v>490</v>
      </c>
      <c r="E54" t="s">
        <v>478</v>
      </c>
      <c r="F54" t="s">
        <v>536</v>
      </c>
      <c r="G54" t="s">
        <v>575</v>
      </c>
    </row>
    <row r="55" spans="1:7" x14ac:dyDescent="0.2">
      <c r="A55" t="s">
        <v>275</v>
      </c>
      <c r="B55" t="s">
        <v>377</v>
      </c>
      <c r="C55" t="s">
        <v>478</v>
      </c>
      <c r="E55" t="s">
        <v>477</v>
      </c>
      <c r="F55" t="s">
        <v>537</v>
      </c>
      <c r="G55" t="s">
        <v>575</v>
      </c>
    </row>
    <row r="56" spans="1:7" x14ac:dyDescent="0.2">
      <c r="A56" t="s">
        <v>275</v>
      </c>
      <c r="B56" t="s">
        <v>378</v>
      </c>
      <c r="C56" t="s">
        <v>478</v>
      </c>
      <c r="E56" t="s">
        <v>477</v>
      </c>
      <c r="F56" t="s">
        <v>538</v>
      </c>
      <c r="G56" t="s">
        <v>575</v>
      </c>
    </row>
    <row r="57" spans="1:7" x14ac:dyDescent="0.2">
      <c r="A57" t="s">
        <v>275</v>
      </c>
      <c r="B57" t="s">
        <v>379</v>
      </c>
      <c r="C57" t="s">
        <v>478</v>
      </c>
      <c r="E57" t="s">
        <v>477</v>
      </c>
      <c r="F57" t="s">
        <v>538</v>
      </c>
      <c r="G57" t="s">
        <v>575</v>
      </c>
    </row>
    <row r="58" spans="1:7" x14ac:dyDescent="0.2">
      <c r="A58" t="s">
        <v>275</v>
      </c>
      <c r="B58" t="s">
        <v>380</v>
      </c>
      <c r="C58" t="s">
        <v>478</v>
      </c>
      <c r="E58" t="s">
        <v>477</v>
      </c>
      <c r="F58" t="s">
        <v>530</v>
      </c>
      <c r="G58" t="s">
        <v>575</v>
      </c>
    </row>
    <row r="59" spans="1:7" x14ac:dyDescent="0.2">
      <c r="A59" t="s">
        <v>275</v>
      </c>
      <c r="B59" t="s">
        <v>381</v>
      </c>
      <c r="C59" t="s">
        <v>478</v>
      </c>
      <c r="E59" t="s">
        <v>477</v>
      </c>
      <c r="F59" t="s">
        <v>530</v>
      </c>
      <c r="G59" t="s">
        <v>575</v>
      </c>
    </row>
    <row r="60" spans="1:7" x14ac:dyDescent="0.2">
      <c r="A60" t="s">
        <v>275</v>
      </c>
      <c r="B60" t="s">
        <v>382</v>
      </c>
      <c r="C60" t="s">
        <v>478</v>
      </c>
      <c r="E60" t="s">
        <v>477</v>
      </c>
      <c r="F60" t="s">
        <v>530</v>
      </c>
      <c r="G60" t="s">
        <v>575</v>
      </c>
    </row>
    <row r="61" spans="1:7" x14ac:dyDescent="0.2">
      <c r="A61" t="s">
        <v>275</v>
      </c>
      <c r="B61" t="s">
        <v>383</v>
      </c>
      <c r="C61" t="s">
        <v>478</v>
      </c>
      <c r="E61" t="s">
        <v>477</v>
      </c>
      <c r="F61" t="s">
        <v>530</v>
      </c>
      <c r="G61" t="s">
        <v>575</v>
      </c>
    </row>
    <row r="62" spans="1:7" x14ac:dyDescent="0.2">
      <c r="A62" t="s">
        <v>264</v>
      </c>
      <c r="B62" t="s">
        <v>384</v>
      </c>
      <c r="C62" t="s">
        <v>478</v>
      </c>
      <c r="E62" t="s">
        <v>477</v>
      </c>
      <c r="F62" t="s">
        <v>516</v>
      </c>
      <c r="G62" t="s">
        <v>575</v>
      </c>
    </row>
    <row r="63" spans="1:7" x14ac:dyDescent="0.2">
      <c r="A63" t="s">
        <v>284</v>
      </c>
      <c r="B63" t="s">
        <v>385</v>
      </c>
      <c r="C63" t="s">
        <v>477</v>
      </c>
      <c r="E63" t="s">
        <v>477</v>
      </c>
      <c r="F63" t="s">
        <v>539</v>
      </c>
      <c r="G63" t="s">
        <v>570</v>
      </c>
    </row>
    <row r="64" spans="1:7" x14ac:dyDescent="0.2">
      <c r="A64" t="s">
        <v>285</v>
      </c>
      <c r="B64" t="s">
        <v>386</v>
      </c>
      <c r="C64" t="s">
        <v>477</v>
      </c>
      <c r="E64" t="s">
        <v>477</v>
      </c>
      <c r="F64" t="s">
        <v>531</v>
      </c>
      <c r="G64" t="s">
        <v>570</v>
      </c>
    </row>
    <row r="65" spans="1:7" x14ac:dyDescent="0.2">
      <c r="A65" t="s">
        <v>286</v>
      </c>
      <c r="B65" t="s">
        <v>387</v>
      </c>
      <c r="C65" t="s">
        <v>486</v>
      </c>
      <c r="E65" t="s">
        <v>486</v>
      </c>
      <c r="F65" t="s">
        <v>540</v>
      </c>
      <c r="G65" t="s">
        <v>572</v>
      </c>
    </row>
    <row r="66" spans="1:7" x14ac:dyDescent="0.2">
      <c r="A66" t="s">
        <v>286</v>
      </c>
      <c r="B66" t="s">
        <v>388</v>
      </c>
      <c r="C66" t="s">
        <v>491</v>
      </c>
      <c r="E66" t="s">
        <v>491</v>
      </c>
      <c r="F66" t="s">
        <v>524</v>
      </c>
      <c r="G66" t="s">
        <v>573</v>
      </c>
    </row>
    <row r="67" spans="1:7" x14ac:dyDescent="0.2">
      <c r="A67" t="s">
        <v>286</v>
      </c>
      <c r="B67" t="s">
        <v>389</v>
      </c>
      <c r="C67" t="s">
        <v>491</v>
      </c>
      <c r="E67" t="s">
        <v>491</v>
      </c>
      <c r="F67" t="s">
        <v>524</v>
      </c>
      <c r="G67" t="s">
        <v>573</v>
      </c>
    </row>
    <row r="68" spans="1:7" x14ac:dyDescent="0.2">
      <c r="A68" t="s">
        <v>286</v>
      </c>
      <c r="B68" t="s">
        <v>390</v>
      </c>
      <c r="C68" t="s">
        <v>491</v>
      </c>
      <c r="E68" t="s">
        <v>491</v>
      </c>
      <c r="F68" t="s">
        <v>524</v>
      </c>
      <c r="G68" t="s">
        <v>573</v>
      </c>
    </row>
    <row r="69" spans="1:7" x14ac:dyDescent="0.2">
      <c r="A69" t="s">
        <v>286</v>
      </c>
      <c r="B69" t="s">
        <v>391</v>
      </c>
      <c r="C69" t="s">
        <v>491</v>
      </c>
      <c r="E69" t="s">
        <v>491</v>
      </c>
      <c r="F69" t="s">
        <v>524</v>
      </c>
      <c r="G69" t="s">
        <v>573</v>
      </c>
    </row>
    <row r="70" spans="1:7" x14ac:dyDescent="0.2">
      <c r="A70" t="s">
        <v>286</v>
      </c>
      <c r="B70" t="s">
        <v>392</v>
      </c>
      <c r="C70" t="s">
        <v>491</v>
      </c>
      <c r="E70" t="s">
        <v>491</v>
      </c>
      <c r="F70" t="s">
        <v>524</v>
      </c>
      <c r="G70" t="s">
        <v>573</v>
      </c>
    </row>
    <row r="71" spans="1:7" x14ac:dyDescent="0.2">
      <c r="A71" t="s">
        <v>286</v>
      </c>
      <c r="B71" t="s">
        <v>393</v>
      </c>
      <c r="C71" t="s">
        <v>491</v>
      </c>
      <c r="E71" t="s">
        <v>491</v>
      </c>
      <c r="F71" t="s">
        <v>524</v>
      </c>
      <c r="G71" t="s">
        <v>573</v>
      </c>
    </row>
    <row r="72" spans="1:7" x14ac:dyDescent="0.2">
      <c r="A72" t="s">
        <v>286</v>
      </c>
      <c r="B72" t="s">
        <v>394</v>
      </c>
      <c r="C72" t="s">
        <v>491</v>
      </c>
      <c r="E72" t="s">
        <v>491</v>
      </c>
      <c r="F72" t="s">
        <v>524</v>
      </c>
      <c r="G72" t="s">
        <v>573</v>
      </c>
    </row>
    <row r="73" spans="1:7" x14ac:dyDescent="0.2">
      <c r="A73" t="s">
        <v>286</v>
      </c>
      <c r="B73" t="s">
        <v>394</v>
      </c>
      <c r="C73" t="s">
        <v>491</v>
      </c>
      <c r="E73" t="s">
        <v>491</v>
      </c>
      <c r="F73" t="s">
        <v>524</v>
      </c>
      <c r="G73" t="s">
        <v>573</v>
      </c>
    </row>
    <row r="74" spans="1:7" x14ac:dyDescent="0.2">
      <c r="A74" t="s">
        <v>286</v>
      </c>
      <c r="B74" t="s">
        <v>395</v>
      </c>
      <c r="C74" t="s">
        <v>491</v>
      </c>
      <c r="E74" t="s">
        <v>491</v>
      </c>
      <c r="F74" t="s">
        <v>524</v>
      </c>
      <c r="G74" t="s">
        <v>573</v>
      </c>
    </row>
    <row r="75" spans="1:7" x14ac:dyDescent="0.2">
      <c r="A75" t="s">
        <v>286</v>
      </c>
      <c r="B75" t="s">
        <v>396</v>
      </c>
      <c r="C75" t="s">
        <v>486</v>
      </c>
      <c r="E75" t="s">
        <v>486</v>
      </c>
      <c r="F75" t="s">
        <v>541</v>
      </c>
      <c r="G75" t="s">
        <v>573</v>
      </c>
    </row>
    <row r="76" spans="1:7" x14ac:dyDescent="0.2">
      <c r="A76" t="s">
        <v>286</v>
      </c>
      <c r="B76" t="s">
        <v>397</v>
      </c>
      <c r="C76" t="s">
        <v>486</v>
      </c>
      <c r="E76" t="s">
        <v>486</v>
      </c>
      <c r="F76" t="s">
        <v>541</v>
      </c>
      <c r="G76" t="s">
        <v>573</v>
      </c>
    </row>
    <row r="77" spans="1:7" x14ac:dyDescent="0.2">
      <c r="A77" t="s">
        <v>286</v>
      </c>
      <c r="B77" t="s">
        <v>398</v>
      </c>
      <c r="C77" t="s">
        <v>486</v>
      </c>
      <c r="E77" t="s">
        <v>486</v>
      </c>
      <c r="F77" t="s">
        <v>541</v>
      </c>
      <c r="G77" t="s">
        <v>573</v>
      </c>
    </row>
    <row r="78" spans="1:7" x14ac:dyDescent="0.2">
      <c r="A78" t="s">
        <v>287</v>
      </c>
      <c r="B78" t="s">
        <v>399</v>
      </c>
      <c r="C78" t="s">
        <v>477</v>
      </c>
      <c r="E78" t="s">
        <v>477</v>
      </c>
      <c r="F78" t="s">
        <v>542</v>
      </c>
      <c r="G78" t="s">
        <v>573</v>
      </c>
    </row>
    <row r="79" spans="1:7" x14ac:dyDescent="0.2">
      <c r="A79" t="s">
        <v>288</v>
      </c>
      <c r="B79" t="s">
        <v>400</v>
      </c>
      <c r="C79" t="s">
        <v>477</v>
      </c>
      <c r="E79" t="s">
        <v>477</v>
      </c>
      <c r="F79" t="s">
        <v>543</v>
      </c>
      <c r="G79" t="s">
        <v>573</v>
      </c>
    </row>
    <row r="80" spans="1:7" x14ac:dyDescent="0.2">
      <c r="A80" t="s">
        <v>285</v>
      </c>
      <c r="B80" t="s">
        <v>401</v>
      </c>
      <c r="C80" t="s">
        <v>477</v>
      </c>
      <c r="E80" t="s">
        <v>477</v>
      </c>
      <c r="F80" t="s">
        <v>529</v>
      </c>
      <c r="G80" t="s">
        <v>570</v>
      </c>
    </row>
    <row r="81" spans="1:7" x14ac:dyDescent="0.2">
      <c r="A81" t="s">
        <v>289</v>
      </c>
      <c r="B81" t="s">
        <v>402</v>
      </c>
      <c r="C81" t="s">
        <v>492</v>
      </c>
      <c r="E81" t="s">
        <v>492</v>
      </c>
      <c r="F81" t="s">
        <v>529</v>
      </c>
      <c r="G81" t="s">
        <v>572</v>
      </c>
    </row>
    <row r="82" spans="1:7" x14ac:dyDescent="0.2">
      <c r="A82" t="s">
        <v>289</v>
      </c>
      <c r="B82" t="s">
        <v>403</v>
      </c>
      <c r="C82" t="s">
        <v>492</v>
      </c>
      <c r="E82" t="s">
        <v>492</v>
      </c>
      <c r="F82" t="s">
        <v>543</v>
      </c>
      <c r="G82" t="s">
        <v>572</v>
      </c>
    </row>
    <row r="83" spans="1:7" x14ac:dyDescent="0.2">
      <c r="A83" t="s">
        <v>289</v>
      </c>
      <c r="B83" t="s">
        <v>404</v>
      </c>
      <c r="C83" t="s">
        <v>492</v>
      </c>
      <c r="E83" t="s">
        <v>492</v>
      </c>
      <c r="F83" t="s">
        <v>529</v>
      </c>
      <c r="G83" t="s">
        <v>572</v>
      </c>
    </row>
    <row r="84" spans="1:7" x14ac:dyDescent="0.2">
      <c r="A84" t="s">
        <v>286</v>
      </c>
      <c r="B84" t="s">
        <v>405</v>
      </c>
      <c r="C84" t="s">
        <v>486</v>
      </c>
      <c r="E84" t="s">
        <v>486</v>
      </c>
      <c r="F84" t="s">
        <v>540</v>
      </c>
      <c r="G84" t="s">
        <v>572</v>
      </c>
    </row>
    <row r="85" spans="1:7" x14ac:dyDescent="0.2">
      <c r="A85" t="s">
        <v>286</v>
      </c>
      <c r="B85" t="s">
        <v>406</v>
      </c>
      <c r="C85" t="s">
        <v>486</v>
      </c>
      <c r="E85" t="s">
        <v>486</v>
      </c>
      <c r="F85" t="s">
        <v>536</v>
      </c>
      <c r="G85" t="s">
        <v>572</v>
      </c>
    </row>
    <row r="86" spans="1:7" x14ac:dyDescent="0.2">
      <c r="A86" t="s">
        <v>290</v>
      </c>
      <c r="B86" t="s">
        <v>407</v>
      </c>
      <c r="C86" t="s">
        <v>478</v>
      </c>
      <c r="E86" t="s">
        <v>478</v>
      </c>
      <c r="F86" t="s">
        <v>544</v>
      </c>
      <c r="G86" t="s">
        <v>569</v>
      </c>
    </row>
    <row r="87" spans="1:7" x14ac:dyDescent="0.2">
      <c r="A87" t="s">
        <v>291</v>
      </c>
      <c r="B87" t="s">
        <v>408</v>
      </c>
      <c r="C87" t="s">
        <v>478</v>
      </c>
      <c r="E87" t="s">
        <v>478</v>
      </c>
      <c r="F87" t="s">
        <v>545</v>
      </c>
      <c r="G87" t="s">
        <v>576</v>
      </c>
    </row>
    <row r="88" spans="1:7" x14ac:dyDescent="0.2">
      <c r="A88" t="s">
        <v>292</v>
      </c>
      <c r="B88" t="s">
        <v>409</v>
      </c>
      <c r="C88" t="s">
        <v>478</v>
      </c>
      <c r="E88" t="s">
        <v>478</v>
      </c>
      <c r="F88" t="s">
        <v>546</v>
      </c>
      <c r="G88" t="s">
        <v>576</v>
      </c>
    </row>
    <row r="89" spans="1:7" x14ac:dyDescent="0.2">
      <c r="A89" t="s">
        <v>292</v>
      </c>
      <c r="B89" t="s">
        <v>410</v>
      </c>
      <c r="C89" t="s">
        <v>478</v>
      </c>
      <c r="E89" t="s">
        <v>478</v>
      </c>
      <c r="F89" t="s">
        <v>547</v>
      </c>
      <c r="G89" t="s">
        <v>576</v>
      </c>
    </row>
    <row r="90" spans="1:7" x14ac:dyDescent="0.2">
      <c r="A90" t="s">
        <v>268</v>
      </c>
      <c r="B90" t="s">
        <v>411</v>
      </c>
      <c r="C90" t="s">
        <v>478</v>
      </c>
      <c r="E90" t="s">
        <v>478</v>
      </c>
      <c r="F90" t="s">
        <v>520</v>
      </c>
      <c r="G90" t="s">
        <v>576</v>
      </c>
    </row>
    <row r="91" spans="1:7" x14ac:dyDescent="0.2">
      <c r="A91" t="s">
        <v>293</v>
      </c>
      <c r="B91" t="s">
        <v>412</v>
      </c>
      <c r="C91" t="s">
        <v>478</v>
      </c>
      <c r="E91" t="s">
        <v>478</v>
      </c>
      <c r="F91" t="s">
        <v>536</v>
      </c>
      <c r="G91" t="s">
        <v>571</v>
      </c>
    </row>
    <row r="92" spans="1:7" x14ac:dyDescent="0.2">
      <c r="A92" t="s">
        <v>294</v>
      </c>
      <c r="B92" t="s">
        <v>413</v>
      </c>
      <c r="C92" t="s">
        <v>493</v>
      </c>
      <c r="E92" t="s">
        <v>493</v>
      </c>
      <c r="F92" t="s">
        <v>548</v>
      </c>
      <c r="G92" t="s">
        <v>577</v>
      </c>
    </row>
    <row r="93" spans="1:7" x14ac:dyDescent="0.2">
      <c r="A93" t="s">
        <v>295</v>
      </c>
      <c r="B93" t="s">
        <v>414</v>
      </c>
      <c r="C93" t="s">
        <v>494</v>
      </c>
      <c r="E93" t="s">
        <v>494</v>
      </c>
      <c r="F93" t="s">
        <v>549</v>
      </c>
      <c r="G93" t="s">
        <v>577</v>
      </c>
    </row>
    <row r="94" spans="1:7" x14ac:dyDescent="0.2">
      <c r="A94" t="s">
        <v>296</v>
      </c>
      <c r="B94" t="s">
        <v>415</v>
      </c>
      <c r="C94" t="s">
        <v>494</v>
      </c>
      <c r="E94" t="s">
        <v>494</v>
      </c>
      <c r="F94" t="s">
        <v>550</v>
      </c>
      <c r="G94" t="s">
        <v>577</v>
      </c>
    </row>
    <row r="95" spans="1:7" x14ac:dyDescent="0.2">
      <c r="A95" t="s">
        <v>297</v>
      </c>
      <c r="B95" t="s">
        <v>416</v>
      </c>
      <c r="C95" t="s">
        <v>488</v>
      </c>
      <c r="E95" t="s">
        <v>488</v>
      </c>
      <c r="F95" t="s">
        <v>551</v>
      </c>
      <c r="G95" t="s">
        <v>577</v>
      </c>
    </row>
    <row r="96" spans="1:7" x14ac:dyDescent="0.2">
      <c r="A96" t="s">
        <v>298</v>
      </c>
      <c r="B96" t="s">
        <v>417</v>
      </c>
      <c r="C96" t="s">
        <v>495</v>
      </c>
      <c r="E96" t="s">
        <v>495</v>
      </c>
      <c r="F96" t="s">
        <v>552</v>
      </c>
      <c r="G96" t="s">
        <v>577</v>
      </c>
    </row>
    <row r="97" spans="1:7" x14ac:dyDescent="0.2">
      <c r="A97" t="s">
        <v>299</v>
      </c>
      <c r="B97" t="s">
        <v>418</v>
      </c>
      <c r="C97" t="s">
        <v>496</v>
      </c>
      <c r="E97" t="s">
        <v>496</v>
      </c>
      <c r="F97" t="s">
        <v>516</v>
      </c>
      <c r="G97" t="s">
        <v>577</v>
      </c>
    </row>
    <row r="98" spans="1:7" x14ac:dyDescent="0.2">
      <c r="A98" t="s">
        <v>300</v>
      </c>
      <c r="B98" t="s">
        <v>419</v>
      </c>
      <c r="C98" t="s">
        <v>497</v>
      </c>
      <c r="E98" t="s">
        <v>497</v>
      </c>
      <c r="F98" t="s">
        <v>553</v>
      </c>
      <c r="G98" t="s">
        <v>577</v>
      </c>
    </row>
    <row r="99" spans="1:7" x14ac:dyDescent="0.2">
      <c r="A99" t="s">
        <v>301</v>
      </c>
      <c r="B99" t="s">
        <v>420</v>
      </c>
      <c r="C99" t="s">
        <v>478</v>
      </c>
      <c r="E99" t="s">
        <v>478</v>
      </c>
      <c r="F99" t="s">
        <v>516</v>
      </c>
      <c r="G99" t="s">
        <v>576</v>
      </c>
    </row>
    <row r="100" spans="1:7" x14ac:dyDescent="0.2">
      <c r="A100" t="s">
        <v>283</v>
      </c>
      <c r="B100" t="s">
        <v>421</v>
      </c>
      <c r="C100" t="s">
        <v>477</v>
      </c>
      <c r="E100" t="s">
        <v>477</v>
      </c>
      <c r="F100" t="s">
        <v>540</v>
      </c>
      <c r="G100" t="s">
        <v>578</v>
      </c>
    </row>
    <row r="101" spans="1:7" x14ac:dyDescent="0.2">
      <c r="A101" t="s">
        <v>264</v>
      </c>
      <c r="B101" t="s">
        <v>422</v>
      </c>
      <c r="C101" t="s">
        <v>477</v>
      </c>
      <c r="E101" t="s">
        <v>477</v>
      </c>
      <c r="F101" t="s">
        <v>541</v>
      </c>
      <c r="G101" t="s">
        <v>578</v>
      </c>
    </row>
    <row r="102" spans="1:7" x14ac:dyDescent="0.2">
      <c r="A102" t="s">
        <v>264</v>
      </c>
      <c r="B102" t="s">
        <v>423</v>
      </c>
      <c r="C102" t="s">
        <v>478</v>
      </c>
      <c r="E102" t="s">
        <v>478</v>
      </c>
      <c r="F102" t="s">
        <v>516</v>
      </c>
      <c r="G102" t="s">
        <v>578</v>
      </c>
    </row>
    <row r="103" spans="1:7" x14ac:dyDescent="0.2">
      <c r="A103" t="s">
        <v>301</v>
      </c>
      <c r="B103" t="s">
        <v>424</v>
      </c>
      <c r="C103" t="s">
        <v>478</v>
      </c>
      <c r="E103" t="s">
        <v>478</v>
      </c>
      <c r="F103" t="s">
        <v>537</v>
      </c>
      <c r="G103" t="s">
        <v>576</v>
      </c>
    </row>
    <row r="104" spans="1:7" x14ac:dyDescent="0.2">
      <c r="A104" t="s">
        <v>283</v>
      </c>
      <c r="B104" t="s">
        <v>425</v>
      </c>
      <c r="C104" t="s">
        <v>498</v>
      </c>
      <c r="E104" t="s">
        <v>498</v>
      </c>
      <c r="F104" t="s">
        <v>529</v>
      </c>
      <c r="G104" t="s">
        <v>578</v>
      </c>
    </row>
    <row r="105" spans="1:7" x14ac:dyDescent="0.2">
      <c r="A105" t="s">
        <v>302</v>
      </c>
      <c r="B105" t="s">
        <v>426</v>
      </c>
      <c r="C105" t="s">
        <v>478</v>
      </c>
      <c r="E105" t="s">
        <v>478</v>
      </c>
      <c r="F105" t="s">
        <v>529</v>
      </c>
      <c r="G105" t="s">
        <v>579</v>
      </c>
    </row>
    <row r="106" spans="1:7" x14ac:dyDescent="0.2">
      <c r="A106" t="s">
        <v>285</v>
      </c>
      <c r="B106" t="s">
        <v>427</v>
      </c>
      <c r="C106" t="s">
        <v>499</v>
      </c>
      <c r="E106" t="s">
        <v>499</v>
      </c>
      <c r="F106" t="s">
        <v>542</v>
      </c>
      <c r="G106" t="s">
        <v>577</v>
      </c>
    </row>
    <row r="107" spans="1:7" x14ac:dyDescent="0.2">
      <c r="A107" t="s">
        <v>303</v>
      </c>
      <c r="B107" t="s">
        <v>428</v>
      </c>
      <c r="C107" t="s">
        <v>500</v>
      </c>
      <c r="E107" t="s">
        <v>500</v>
      </c>
      <c r="F107" t="s">
        <v>546</v>
      </c>
      <c r="G107" t="s">
        <v>577</v>
      </c>
    </row>
    <row r="108" spans="1:7" x14ac:dyDescent="0.2">
      <c r="A108" t="s">
        <v>304</v>
      </c>
      <c r="B108" t="s">
        <v>429</v>
      </c>
      <c r="C108" t="s">
        <v>478</v>
      </c>
      <c r="E108" t="s">
        <v>478</v>
      </c>
      <c r="F108" t="s">
        <v>554</v>
      </c>
      <c r="G108" t="s">
        <v>569</v>
      </c>
    </row>
    <row r="109" spans="1:7" x14ac:dyDescent="0.2">
      <c r="A109" t="s">
        <v>277</v>
      </c>
      <c r="B109" t="s">
        <v>430</v>
      </c>
      <c r="C109" t="s">
        <v>478</v>
      </c>
      <c r="E109" t="s">
        <v>478</v>
      </c>
      <c r="F109" t="s">
        <v>539</v>
      </c>
      <c r="G109" t="s">
        <v>571</v>
      </c>
    </row>
    <row r="110" spans="1:7" x14ac:dyDescent="0.2">
      <c r="A110" t="s">
        <v>277</v>
      </c>
      <c r="B110" t="s">
        <v>431</v>
      </c>
      <c r="C110" t="s">
        <v>478</v>
      </c>
      <c r="E110" t="s">
        <v>478</v>
      </c>
      <c r="F110" t="s">
        <v>534</v>
      </c>
      <c r="G110" t="s">
        <v>571</v>
      </c>
    </row>
    <row r="111" spans="1:7" x14ac:dyDescent="0.2">
      <c r="A111" t="s">
        <v>277</v>
      </c>
      <c r="B111" t="s">
        <v>432</v>
      </c>
      <c r="C111" t="s">
        <v>501</v>
      </c>
      <c r="E111" t="s">
        <v>501</v>
      </c>
      <c r="F111" t="s">
        <v>555</v>
      </c>
      <c r="G111" t="s">
        <v>571</v>
      </c>
    </row>
    <row r="112" spans="1:7" x14ac:dyDescent="0.2">
      <c r="A112" t="s">
        <v>263</v>
      </c>
      <c r="B112" t="s">
        <v>433</v>
      </c>
      <c r="C112" t="s">
        <v>502</v>
      </c>
      <c r="E112" t="s">
        <v>502</v>
      </c>
      <c r="F112" t="s">
        <v>556</v>
      </c>
      <c r="G112" t="s">
        <v>580</v>
      </c>
    </row>
    <row r="113" spans="1:7" x14ac:dyDescent="0.2">
      <c r="A113" t="s">
        <v>268</v>
      </c>
      <c r="B113" t="s">
        <v>434</v>
      </c>
      <c r="C113" t="s">
        <v>478</v>
      </c>
      <c r="E113" t="s">
        <v>478</v>
      </c>
      <c r="F113" t="s">
        <v>520</v>
      </c>
      <c r="G113" t="s">
        <v>571</v>
      </c>
    </row>
    <row r="114" spans="1:7" x14ac:dyDescent="0.2">
      <c r="A114" t="s">
        <v>305</v>
      </c>
      <c r="B114" t="s">
        <v>435</v>
      </c>
      <c r="C114" t="s">
        <v>478</v>
      </c>
      <c r="E114" t="s">
        <v>478</v>
      </c>
      <c r="F114" t="s">
        <v>557</v>
      </c>
      <c r="G114" t="s">
        <v>569</v>
      </c>
    </row>
    <row r="115" spans="1:7" x14ac:dyDescent="0.2">
      <c r="A115" t="s">
        <v>306</v>
      </c>
      <c r="B115" t="s">
        <v>436</v>
      </c>
      <c r="C115" t="s">
        <v>478</v>
      </c>
      <c r="E115" t="s">
        <v>478</v>
      </c>
      <c r="F115" t="s">
        <v>558</v>
      </c>
      <c r="G115" t="s">
        <v>569</v>
      </c>
    </row>
    <row r="116" spans="1:7" x14ac:dyDescent="0.2">
      <c r="A116" t="s">
        <v>307</v>
      </c>
      <c r="B116" t="s">
        <v>437</v>
      </c>
      <c r="C116" t="s">
        <v>478</v>
      </c>
      <c r="E116" t="s">
        <v>478</v>
      </c>
      <c r="F116" t="s">
        <v>559</v>
      </c>
      <c r="G116" t="s">
        <v>574</v>
      </c>
    </row>
    <row r="117" spans="1:7" x14ac:dyDescent="0.2">
      <c r="A117" t="s">
        <v>308</v>
      </c>
      <c r="B117" t="s">
        <v>438</v>
      </c>
      <c r="C117" t="s">
        <v>478</v>
      </c>
      <c r="E117" t="s">
        <v>478</v>
      </c>
      <c r="F117" t="s">
        <v>560</v>
      </c>
      <c r="G117" t="s">
        <v>569</v>
      </c>
    </row>
    <row r="118" spans="1:7" x14ac:dyDescent="0.2">
      <c r="A118" t="s">
        <v>309</v>
      </c>
      <c r="B118" t="s">
        <v>439</v>
      </c>
      <c r="C118" t="s">
        <v>478</v>
      </c>
      <c r="E118" t="s">
        <v>478</v>
      </c>
      <c r="F118" t="s">
        <v>558</v>
      </c>
      <c r="G118" t="s">
        <v>574</v>
      </c>
    </row>
    <row r="119" spans="1:7" x14ac:dyDescent="0.2">
      <c r="A119" t="s">
        <v>310</v>
      </c>
      <c r="B119" t="s">
        <v>440</v>
      </c>
      <c r="C119" t="s">
        <v>478</v>
      </c>
      <c r="E119" t="s">
        <v>478</v>
      </c>
      <c r="F119" t="s">
        <v>561</v>
      </c>
      <c r="G119" t="s">
        <v>569</v>
      </c>
    </row>
    <row r="120" spans="1:7" x14ac:dyDescent="0.2">
      <c r="A120" t="s">
        <v>311</v>
      </c>
      <c r="B120" t="s">
        <v>441</v>
      </c>
      <c r="C120" t="s">
        <v>481</v>
      </c>
      <c r="E120" t="s">
        <v>481</v>
      </c>
      <c r="F120" t="s">
        <v>527</v>
      </c>
      <c r="G120" t="s">
        <v>580</v>
      </c>
    </row>
    <row r="121" spans="1:7" x14ac:dyDescent="0.2">
      <c r="A121" t="s">
        <v>311</v>
      </c>
      <c r="B121" t="s">
        <v>442</v>
      </c>
      <c r="C121" t="s">
        <v>482</v>
      </c>
      <c r="E121" t="s">
        <v>482</v>
      </c>
      <c r="F121" t="s">
        <v>562</v>
      </c>
      <c r="G121" t="s">
        <v>580</v>
      </c>
    </row>
    <row r="122" spans="1:7" x14ac:dyDescent="0.2">
      <c r="A122" t="s">
        <v>311</v>
      </c>
      <c r="B122" t="s">
        <v>443</v>
      </c>
      <c r="C122" t="s">
        <v>481</v>
      </c>
      <c r="E122" t="s">
        <v>481</v>
      </c>
      <c r="F122" t="s">
        <v>563</v>
      </c>
      <c r="G122" t="s">
        <v>580</v>
      </c>
    </row>
    <row r="123" spans="1:7" x14ac:dyDescent="0.2">
      <c r="A123" t="s">
        <v>312</v>
      </c>
      <c r="B123" t="s">
        <v>444</v>
      </c>
      <c r="C123" t="s">
        <v>481</v>
      </c>
      <c r="E123" t="s">
        <v>481</v>
      </c>
      <c r="F123" t="s">
        <v>526</v>
      </c>
      <c r="G123" t="s">
        <v>580</v>
      </c>
    </row>
    <row r="124" spans="1:7" x14ac:dyDescent="0.2">
      <c r="A124" t="s">
        <v>286</v>
      </c>
      <c r="B124" t="s">
        <v>445</v>
      </c>
      <c r="C124" t="s">
        <v>486</v>
      </c>
      <c r="E124" t="s">
        <v>486</v>
      </c>
      <c r="F124" t="s">
        <v>542</v>
      </c>
      <c r="G124" t="s">
        <v>580</v>
      </c>
    </row>
    <row r="125" spans="1:7" x14ac:dyDescent="0.2">
      <c r="A125" t="s">
        <v>286</v>
      </c>
      <c r="B125" t="s">
        <v>446</v>
      </c>
      <c r="C125" t="s">
        <v>486</v>
      </c>
      <c r="E125" t="s">
        <v>486</v>
      </c>
      <c r="F125" t="s">
        <v>541</v>
      </c>
      <c r="G125" t="s">
        <v>580</v>
      </c>
    </row>
    <row r="126" spans="1:7" x14ac:dyDescent="0.2">
      <c r="A126" t="s">
        <v>313</v>
      </c>
      <c r="B126" t="s">
        <v>447</v>
      </c>
      <c r="C126" t="s">
        <v>478</v>
      </c>
      <c r="E126" t="s">
        <v>478</v>
      </c>
      <c r="F126" t="s">
        <v>516</v>
      </c>
      <c r="G126" t="s">
        <v>569</v>
      </c>
    </row>
    <row r="127" spans="1:7" x14ac:dyDescent="0.2">
      <c r="A127" t="s">
        <v>314</v>
      </c>
      <c r="B127" t="s">
        <v>448</v>
      </c>
      <c r="C127" t="s">
        <v>478</v>
      </c>
      <c r="E127" t="s">
        <v>478</v>
      </c>
      <c r="F127" t="s">
        <v>516</v>
      </c>
      <c r="G127" t="s">
        <v>569</v>
      </c>
    </row>
    <row r="128" spans="1:7" x14ac:dyDescent="0.2">
      <c r="A128" t="s">
        <v>315</v>
      </c>
      <c r="B128" t="s">
        <v>449</v>
      </c>
      <c r="C128" t="s">
        <v>478</v>
      </c>
      <c r="E128" t="s">
        <v>478</v>
      </c>
      <c r="F128" t="s">
        <v>530</v>
      </c>
      <c r="G128" t="s">
        <v>569</v>
      </c>
    </row>
    <row r="129" spans="1:7" x14ac:dyDescent="0.2">
      <c r="A129" t="s">
        <v>315</v>
      </c>
      <c r="B129" t="s">
        <v>450</v>
      </c>
      <c r="C129" t="s">
        <v>478</v>
      </c>
      <c r="E129" t="s">
        <v>478</v>
      </c>
      <c r="F129" t="s">
        <v>530</v>
      </c>
      <c r="G129" t="s">
        <v>569</v>
      </c>
    </row>
    <row r="130" spans="1:7" x14ac:dyDescent="0.2">
      <c r="A130" t="s">
        <v>315</v>
      </c>
      <c r="B130" t="s">
        <v>451</v>
      </c>
      <c r="C130" t="s">
        <v>478</v>
      </c>
      <c r="E130" t="s">
        <v>478</v>
      </c>
      <c r="F130" t="s">
        <v>530</v>
      </c>
      <c r="G130" t="s">
        <v>569</v>
      </c>
    </row>
    <row r="131" spans="1:7" x14ac:dyDescent="0.2">
      <c r="A131" t="s">
        <v>313</v>
      </c>
      <c r="B131" t="s">
        <v>452</v>
      </c>
      <c r="C131" t="s">
        <v>478</v>
      </c>
      <c r="E131" t="s">
        <v>478</v>
      </c>
      <c r="F131" t="s">
        <v>524</v>
      </c>
      <c r="G131" t="s">
        <v>569</v>
      </c>
    </row>
    <row r="132" spans="1:7" x14ac:dyDescent="0.2">
      <c r="A132" t="s">
        <v>314</v>
      </c>
      <c r="B132" t="s">
        <v>453</v>
      </c>
      <c r="C132" t="s">
        <v>478</v>
      </c>
      <c r="E132" t="s">
        <v>478</v>
      </c>
      <c r="F132" t="s">
        <v>538</v>
      </c>
      <c r="G132" t="s">
        <v>569</v>
      </c>
    </row>
    <row r="133" spans="1:7" x14ac:dyDescent="0.2">
      <c r="A133" t="s">
        <v>314</v>
      </c>
      <c r="B133" t="s">
        <v>454</v>
      </c>
      <c r="C133" t="s">
        <v>478</v>
      </c>
      <c r="E133" t="s">
        <v>478</v>
      </c>
      <c r="F133" t="s">
        <v>530</v>
      </c>
      <c r="G133" t="s">
        <v>569</v>
      </c>
    </row>
    <row r="134" spans="1:7" x14ac:dyDescent="0.2">
      <c r="A134" t="s">
        <v>314</v>
      </c>
      <c r="B134" t="s">
        <v>455</v>
      </c>
      <c r="C134" t="s">
        <v>478</v>
      </c>
      <c r="E134" t="s">
        <v>478</v>
      </c>
      <c r="F134" t="s">
        <v>538</v>
      </c>
      <c r="G134" t="s">
        <v>569</v>
      </c>
    </row>
    <row r="135" spans="1:7" x14ac:dyDescent="0.2">
      <c r="A135" t="s">
        <v>314</v>
      </c>
      <c r="B135" t="s">
        <v>456</v>
      </c>
      <c r="C135" t="s">
        <v>478</v>
      </c>
      <c r="E135" t="s">
        <v>478</v>
      </c>
      <c r="F135" t="s">
        <v>530</v>
      </c>
      <c r="G135" t="s">
        <v>569</v>
      </c>
    </row>
    <row r="136" spans="1:7" x14ac:dyDescent="0.2">
      <c r="A136" t="s">
        <v>277</v>
      </c>
      <c r="B136" t="s">
        <v>457</v>
      </c>
      <c r="C136" t="s">
        <v>501</v>
      </c>
      <c r="E136" t="s">
        <v>501</v>
      </c>
      <c r="F136" t="s">
        <v>564</v>
      </c>
      <c r="G136" t="s">
        <v>571</v>
      </c>
    </row>
    <row r="137" spans="1:7" x14ac:dyDescent="0.2">
      <c r="A137" t="s">
        <v>263</v>
      </c>
      <c r="B137" t="s">
        <v>458</v>
      </c>
      <c r="C137" t="s">
        <v>476</v>
      </c>
      <c r="E137" t="s">
        <v>476</v>
      </c>
      <c r="F137" t="s">
        <v>565</v>
      </c>
      <c r="G137" t="s">
        <v>580</v>
      </c>
    </row>
    <row r="138" spans="1:7" x14ac:dyDescent="0.2">
      <c r="A138" t="s">
        <v>316</v>
      </c>
      <c r="B138" t="s">
        <v>459</v>
      </c>
      <c r="C138" t="s">
        <v>478</v>
      </c>
      <c r="E138" t="s">
        <v>478</v>
      </c>
      <c r="F138" t="s">
        <v>557</v>
      </c>
      <c r="G138" t="s">
        <v>569</v>
      </c>
    </row>
    <row r="139" spans="1:7" x14ac:dyDescent="0.2">
      <c r="A139" t="s">
        <v>317</v>
      </c>
      <c r="B139" t="s">
        <v>460</v>
      </c>
      <c r="C139" t="s">
        <v>478</v>
      </c>
      <c r="E139" t="s">
        <v>478</v>
      </c>
      <c r="F139" t="s">
        <v>560</v>
      </c>
      <c r="G139" t="s">
        <v>569</v>
      </c>
    </row>
    <row r="140" spans="1:7" x14ac:dyDescent="0.2">
      <c r="A140" t="s">
        <v>318</v>
      </c>
      <c r="B140" t="s">
        <v>461</v>
      </c>
      <c r="C140" t="s">
        <v>478</v>
      </c>
      <c r="E140" t="s">
        <v>478</v>
      </c>
      <c r="F140" t="s">
        <v>561</v>
      </c>
      <c r="G140" t="s">
        <v>574</v>
      </c>
    </row>
    <row r="141" spans="1:7" x14ac:dyDescent="0.2">
      <c r="A141" t="s">
        <v>319</v>
      </c>
      <c r="B141" t="s">
        <v>462</v>
      </c>
      <c r="C141" t="s">
        <v>482</v>
      </c>
      <c r="E141" t="s">
        <v>482</v>
      </c>
      <c r="F141" t="s">
        <v>526</v>
      </c>
      <c r="G141" t="s">
        <v>580</v>
      </c>
    </row>
    <row r="142" spans="1:7" x14ac:dyDescent="0.2">
      <c r="A142" t="s">
        <v>320</v>
      </c>
      <c r="B142" t="s">
        <v>463</v>
      </c>
      <c r="C142" t="s">
        <v>488</v>
      </c>
      <c r="E142" t="s">
        <v>488</v>
      </c>
      <c r="F142" t="s">
        <v>562</v>
      </c>
      <c r="G142" t="s">
        <v>580</v>
      </c>
    </row>
    <row r="143" spans="1:7" x14ac:dyDescent="0.2">
      <c r="A143" t="s">
        <v>319</v>
      </c>
      <c r="B143" t="s">
        <v>464</v>
      </c>
      <c r="C143" t="s">
        <v>482</v>
      </c>
      <c r="E143" t="s">
        <v>482</v>
      </c>
      <c r="F143" t="s">
        <v>563</v>
      </c>
      <c r="G143" t="s">
        <v>580</v>
      </c>
    </row>
    <row r="144" spans="1:7" x14ac:dyDescent="0.2">
      <c r="A144" t="s">
        <v>319</v>
      </c>
      <c r="B144" t="s">
        <v>465</v>
      </c>
      <c r="C144" t="s">
        <v>481</v>
      </c>
      <c r="E144" t="s">
        <v>481</v>
      </c>
      <c r="F144" t="s">
        <v>526</v>
      </c>
      <c r="G144" t="s">
        <v>580</v>
      </c>
    </row>
    <row r="145" spans="1:7" x14ac:dyDescent="0.2">
      <c r="A145" t="s">
        <v>321</v>
      </c>
      <c r="B145" t="s">
        <v>466</v>
      </c>
      <c r="C145" t="s">
        <v>488</v>
      </c>
      <c r="E145" t="s">
        <v>488</v>
      </c>
      <c r="F145" t="s">
        <v>547</v>
      </c>
      <c r="G145" t="s">
        <v>574</v>
      </c>
    </row>
    <row r="146" spans="1:7" x14ac:dyDescent="0.2">
      <c r="A146" t="s">
        <v>322</v>
      </c>
      <c r="B146" t="s">
        <v>467</v>
      </c>
      <c r="C146" t="s">
        <v>482</v>
      </c>
      <c r="E146" t="s">
        <v>482</v>
      </c>
      <c r="F146" t="s">
        <v>566</v>
      </c>
      <c r="G146" t="s">
        <v>574</v>
      </c>
    </row>
    <row r="147" spans="1:7" x14ac:dyDescent="0.2">
      <c r="A147" t="s">
        <v>283</v>
      </c>
      <c r="B147" t="s">
        <v>468</v>
      </c>
      <c r="C147" t="s">
        <v>478</v>
      </c>
      <c r="E147" t="s">
        <v>478</v>
      </c>
      <c r="F147" t="s">
        <v>524</v>
      </c>
      <c r="G147" t="s">
        <v>581</v>
      </c>
    </row>
    <row r="148" spans="1:7" x14ac:dyDescent="0.2">
      <c r="A148" t="s">
        <v>275</v>
      </c>
      <c r="B148" t="s">
        <v>469</v>
      </c>
      <c r="C148" t="s">
        <v>478</v>
      </c>
      <c r="E148" t="s">
        <v>478</v>
      </c>
      <c r="F148" t="s">
        <v>530</v>
      </c>
      <c r="G148" t="s">
        <v>581</v>
      </c>
    </row>
    <row r="149" spans="1:7" x14ac:dyDescent="0.2">
      <c r="A149" t="s">
        <v>275</v>
      </c>
      <c r="B149" t="s">
        <v>470</v>
      </c>
      <c r="C149" t="s">
        <v>478</v>
      </c>
      <c r="E149" t="s">
        <v>478</v>
      </c>
      <c r="F149" t="s">
        <v>530</v>
      </c>
      <c r="G149" t="s">
        <v>581</v>
      </c>
    </row>
    <row r="150" spans="1:7" x14ac:dyDescent="0.2">
      <c r="A150" t="s">
        <v>275</v>
      </c>
      <c r="B150" t="s">
        <v>471</v>
      </c>
      <c r="C150" t="s">
        <v>478</v>
      </c>
      <c r="E150" t="s">
        <v>478</v>
      </c>
      <c r="F150" t="s">
        <v>530</v>
      </c>
      <c r="G150" t="s">
        <v>581</v>
      </c>
    </row>
    <row r="151" spans="1:7" x14ac:dyDescent="0.2">
      <c r="A151" t="s">
        <v>275</v>
      </c>
      <c r="B151" t="s">
        <v>472</v>
      </c>
      <c r="C151" t="s">
        <v>478</v>
      </c>
      <c r="E151" t="s">
        <v>478</v>
      </c>
      <c r="F151" t="s">
        <v>530</v>
      </c>
      <c r="G151" t="s">
        <v>581</v>
      </c>
    </row>
    <row r="152" spans="1:7" x14ac:dyDescent="0.2">
      <c r="A152" t="s">
        <v>286</v>
      </c>
      <c r="B152" t="s">
        <v>473</v>
      </c>
      <c r="C152" t="s">
        <v>486</v>
      </c>
      <c r="E152" t="s">
        <v>486</v>
      </c>
      <c r="F152" t="s">
        <v>542</v>
      </c>
      <c r="G152" t="s">
        <v>580</v>
      </c>
    </row>
    <row r="153" spans="1:7" x14ac:dyDescent="0.2">
      <c r="A153" t="s">
        <v>286</v>
      </c>
      <c r="B153" t="s">
        <v>474</v>
      </c>
      <c r="C153" t="s">
        <v>486</v>
      </c>
      <c r="E153" t="s">
        <v>486</v>
      </c>
      <c r="F153" t="s">
        <v>542</v>
      </c>
      <c r="G153" t="s">
        <v>580</v>
      </c>
    </row>
    <row r="154" spans="1:7" x14ac:dyDescent="0.2">
      <c r="A154" t="s">
        <v>289</v>
      </c>
      <c r="B154" t="s">
        <v>475</v>
      </c>
      <c r="C154" t="s">
        <v>478</v>
      </c>
      <c r="E154" t="s">
        <v>478</v>
      </c>
      <c r="F154" t="s">
        <v>559</v>
      </c>
      <c r="G154" t="s">
        <v>574</v>
      </c>
    </row>
    <row r="155" spans="1:7" x14ac:dyDescent="0.2">
      <c r="A155" t="s">
        <v>302</v>
      </c>
      <c r="B155" t="s">
        <v>302</v>
      </c>
      <c r="C155" t="s">
        <v>478</v>
      </c>
      <c r="E155" t="s">
        <v>478</v>
      </c>
      <c r="F155" t="s">
        <v>567</v>
      </c>
      <c r="G155" t="s">
        <v>579</v>
      </c>
    </row>
    <row r="156" spans="1:7" x14ac:dyDescent="0.2">
      <c r="A156" t="s">
        <v>323</v>
      </c>
      <c r="B156" t="s">
        <v>302</v>
      </c>
      <c r="C156" t="s">
        <v>478</v>
      </c>
      <c r="E156" t="s">
        <v>478</v>
      </c>
      <c r="F156" t="s">
        <v>568</v>
      </c>
      <c r="G156" t="s">
        <v>569</v>
      </c>
    </row>
    <row r="157" spans="1:7" x14ac:dyDescent="0.2">
      <c r="A157" t="s">
        <v>263</v>
      </c>
      <c r="B157" t="s">
        <v>324</v>
      </c>
      <c r="C157" t="s">
        <v>476</v>
      </c>
      <c r="E157" t="s">
        <v>478</v>
      </c>
      <c r="F157" t="s">
        <v>515</v>
      </c>
      <c r="G157" t="s">
        <v>319</v>
      </c>
    </row>
    <row r="158" spans="1:7" x14ac:dyDescent="0.2">
      <c r="A158" t="s">
        <v>264</v>
      </c>
      <c r="B158" t="s">
        <v>325</v>
      </c>
      <c r="C158" t="s">
        <v>477</v>
      </c>
      <c r="E158" t="s">
        <v>477</v>
      </c>
      <c r="F158" t="s">
        <v>516</v>
      </c>
      <c r="G158" t="s">
        <v>569</v>
      </c>
    </row>
    <row r="159" spans="1:7" x14ac:dyDescent="0.2">
      <c r="A159" t="s">
        <v>265</v>
      </c>
      <c r="B159" t="s">
        <v>326</v>
      </c>
      <c r="C159" t="s">
        <v>478</v>
      </c>
      <c r="E159" t="s">
        <v>478</v>
      </c>
      <c r="F159" t="s">
        <v>517</v>
      </c>
      <c r="G159" t="s">
        <v>570</v>
      </c>
    </row>
    <row r="160" spans="1:7" x14ac:dyDescent="0.2">
      <c r="A160" t="s">
        <v>266</v>
      </c>
      <c r="B160" t="s">
        <v>327</v>
      </c>
      <c r="C160" t="s">
        <v>479</v>
      </c>
      <c r="E160" t="s">
        <v>479</v>
      </c>
      <c r="F160" t="s">
        <v>518</v>
      </c>
      <c r="G160" t="s">
        <v>571</v>
      </c>
    </row>
    <row r="161" spans="1:7" x14ac:dyDescent="0.2">
      <c r="A161" t="s">
        <v>267</v>
      </c>
      <c r="B161" t="s">
        <v>328</v>
      </c>
      <c r="C161" t="s">
        <v>480</v>
      </c>
      <c r="E161" t="s">
        <v>480</v>
      </c>
      <c r="F161" t="s">
        <v>519</v>
      </c>
      <c r="G161" t="s">
        <v>572</v>
      </c>
    </row>
    <row r="162" spans="1:7" x14ac:dyDescent="0.2">
      <c r="A162" t="s">
        <v>268</v>
      </c>
      <c r="B162" t="s">
        <v>329</v>
      </c>
      <c r="C162" t="s">
        <v>478</v>
      </c>
      <c r="E162" t="s">
        <v>478</v>
      </c>
      <c r="F162" t="s">
        <v>520</v>
      </c>
      <c r="G162" t="s">
        <v>571</v>
      </c>
    </row>
    <row r="163" spans="1:7" x14ac:dyDescent="0.2">
      <c r="A163" t="s">
        <v>268</v>
      </c>
      <c r="B163" t="s">
        <v>330</v>
      </c>
      <c r="C163" t="s">
        <v>478</v>
      </c>
      <c r="E163" t="s">
        <v>478</v>
      </c>
      <c r="F163" t="s">
        <v>516</v>
      </c>
      <c r="G163" t="s">
        <v>571</v>
      </c>
    </row>
    <row r="164" spans="1:7" x14ac:dyDescent="0.2">
      <c r="A164" t="s">
        <v>268</v>
      </c>
      <c r="B164" t="s">
        <v>331</v>
      </c>
      <c r="C164" t="s">
        <v>478</v>
      </c>
      <c r="E164" t="s">
        <v>478</v>
      </c>
      <c r="F164" t="s">
        <v>520</v>
      </c>
      <c r="G164" t="s">
        <v>571</v>
      </c>
    </row>
    <row r="165" spans="1:7" x14ac:dyDescent="0.2">
      <c r="A165" t="s">
        <v>269</v>
      </c>
      <c r="B165" t="s">
        <v>332</v>
      </c>
      <c r="C165" t="s">
        <v>481</v>
      </c>
      <c r="E165" t="s">
        <v>481</v>
      </c>
      <c r="F165" t="s">
        <v>521</v>
      </c>
      <c r="G165" t="s">
        <v>573</v>
      </c>
    </row>
    <row r="166" spans="1:7" x14ac:dyDescent="0.2">
      <c r="A166" t="s">
        <v>270</v>
      </c>
      <c r="B166" t="s">
        <v>333</v>
      </c>
      <c r="C166" t="s">
        <v>481</v>
      </c>
      <c r="E166" t="s">
        <v>481</v>
      </c>
      <c r="F166" t="s">
        <v>522</v>
      </c>
      <c r="G166" t="s">
        <v>573</v>
      </c>
    </row>
    <row r="167" spans="1:7" x14ac:dyDescent="0.2">
      <c r="A167" t="s">
        <v>270</v>
      </c>
      <c r="B167" t="s">
        <v>334</v>
      </c>
      <c r="C167" t="s">
        <v>481</v>
      </c>
      <c r="E167" t="s">
        <v>481</v>
      </c>
      <c r="F167" t="s">
        <v>523</v>
      </c>
      <c r="G167" t="s">
        <v>573</v>
      </c>
    </row>
    <row r="168" spans="1:7" x14ac:dyDescent="0.2">
      <c r="A168" t="s">
        <v>271</v>
      </c>
      <c r="B168" t="s">
        <v>335</v>
      </c>
      <c r="C168" t="s">
        <v>478</v>
      </c>
      <c r="E168" t="s">
        <v>478</v>
      </c>
      <c r="F168" t="s">
        <v>524</v>
      </c>
      <c r="G168" t="s">
        <v>574</v>
      </c>
    </row>
    <row r="169" spans="1:7" x14ac:dyDescent="0.2">
      <c r="A169" t="s">
        <v>269</v>
      </c>
      <c r="B169" t="s">
        <v>336</v>
      </c>
      <c r="C169" t="s">
        <v>481</v>
      </c>
      <c r="E169" t="s">
        <v>481</v>
      </c>
      <c r="F169" t="s">
        <v>525</v>
      </c>
      <c r="G169" t="s">
        <v>573</v>
      </c>
    </row>
    <row r="170" spans="1:7" x14ac:dyDescent="0.2">
      <c r="A170" t="s">
        <v>272</v>
      </c>
      <c r="B170" t="s">
        <v>337</v>
      </c>
      <c r="C170" t="s">
        <v>481</v>
      </c>
      <c r="E170" t="s">
        <v>481</v>
      </c>
      <c r="F170" t="s">
        <v>526</v>
      </c>
      <c r="G170" t="s">
        <v>572</v>
      </c>
    </row>
    <row r="171" spans="1:7" x14ac:dyDescent="0.2">
      <c r="A171" t="s">
        <v>272</v>
      </c>
      <c r="B171" t="s">
        <v>338</v>
      </c>
      <c r="C171" t="s">
        <v>481</v>
      </c>
      <c r="E171" t="s">
        <v>481</v>
      </c>
      <c r="F171" t="s">
        <v>527</v>
      </c>
      <c r="G171" t="s">
        <v>572</v>
      </c>
    </row>
    <row r="172" spans="1:7" x14ac:dyDescent="0.2">
      <c r="A172" t="s">
        <v>273</v>
      </c>
      <c r="B172" t="s">
        <v>339</v>
      </c>
      <c r="C172" t="s">
        <v>481</v>
      </c>
      <c r="E172" t="s">
        <v>481</v>
      </c>
      <c r="F172" t="s">
        <v>527</v>
      </c>
      <c r="G172" t="s">
        <v>572</v>
      </c>
    </row>
    <row r="173" spans="1:7" x14ac:dyDescent="0.2">
      <c r="A173" t="s">
        <v>273</v>
      </c>
      <c r="B173" t="s">
        <v>340</v>
      </c>
      <c r="C173" t="s">
        <v>482</v>
      </c>
      <c r="E173" t="s">
        <v>482</v>
      </c>
      <c r="F173" t="s">
        <v>528</v>
      </c>
      <c r="G173" t="s">
        <v>572</v>
      </c>
    </row>
    <row r="174" spans="1:7" x14ac:dyDescent="0.2">
      <c r="A174" t="s">
        <v>273</v>
      </c>
      <c r="B174" t="s">
        <v>341</v>
      </c>
      <c r="C174" t="s">
        <v>481</v>
      </c>
      <c r="E174" t="s">
        <v>481</v>
      </c>
      <c r="F174" t="s">
        <v>527</v>
      </c>
      <c r="G174" t="s">
        <v>572</v>
      </c>
    </row>
    <row r="175" spans="1:7" x14ac:dyDescent="0.2">
      <c r="A175" t="s">
        <v>273</v>
      </c>
      <c r="B175" t="s">
        <v>342</v>
      </c>
      <c r="C175" t="s">
        <v>481</v>
      </c>
      <c r="E175" t="s">
        <v>481</v>
      </c>
      <c r="F175" t="s">
        <v>526</v>
      </c>
      <c r="G175" t="s">
        <v>572</v>
      </c>
    </row>
    <row r="176" spans="1:7" x14ac:dyDescent="0.2">
      <c r="A176" t="s">
        <v>274</v>
      </c>
      <c r="B176" t="s">
        <v>343</v>
      </c>
      <c r="C176" t="s">
        <v>483</v>
      </c>
      <c r="E176" t="s">
        <v>483</v>
      </c>
      <c r="F176" t="s">
        <v>529</v>
      </c>
      <c r="G176" t="s">
        <v>575</v>
      </c>
    </row>
    <row r="177" spans="1:7" x14ac:dyDescent="0.2">
      <c r="A177" t="s">
        <v>275</v>
      </c>
      <c r="B177" t="s">
        <v>344</v>
      </c>
      <c r="C177" t="s">
        <v>478</v>
      </c>
      <c r="E177" t="s">
        <v>477</v>
      </c>
      <c r="F177" t="s">
        <v>530</v>
      </c>
      <c r="G177" t="s">
        <v>575</v>
      </c>
    </row>
    <row r="178" spans="1:7" x14ac:dyDescent="0.2">
      <c r="A178" t="s">
        <v>275</v>
      </c>
      <c r="B178" t="s">
        <v>345</v>
      </c>
      <c r="C178" t="s">
        <v>478</v>
      </c>
      <c r="E178" t="s">
        <v>477</v>
      </c>
      <c r="F178" t="s">
        <v>530</v>
      </c>
      <c r="G178" t="s">
        <v>575</v>
      </c>
    </row>
    <row r="179" spans="1:7" x14ac:dyDescent="0.2">
      <c r="A179" t="s">
        <v>275</v>
      </c>
      <c r="B179" t="s">
        <v>346</v>
      </c>
      <c r="C179" t="s">
        <v>478</v>
      </c>
      <c r="E179" t="s">
        <v>477</v>
      </c>
      <c r="F179" t="s">
        <v>530</v>
      </c>
      <c r="G179" t="s">
        <v>575</v>
      </c>
    </row>
    <row r="180" spans="1:7" x14ac:dyDescent="0.2">
      <c r="A180" t="s">
        <v>275</v>
      </c>
      <c r="B180" t="s">
        <v>347</v>
      </c>
      <c r="C180" t="s">
        <v>478</v>
      </c>
      <c r="E180" t="s">
        <v>477</v>
      </c>
      <c r="F180" t="s">
        <v>530</v>
      </c>
      <c r="G180" t="s">
        <v>575</v>
      </c>
    </row>
    <row r="181" spans="1:7" x14ac:dyDescent="0.2">
      <c r="A181" t="s">
        <v>275</v>
      </c>
      <c r="B181" t="s">
        <v>348</v>
      </c>
      <c r="C181" t="s">
        <v>478</v>
      </c>
      <c r="E181" t="s">
        <v>477</v>
      </c>
      <c r="F181" t="s">
        <v>530</v>
      </c>
      <c r="G181" t="s">
        <v>575</v>
      </c>
    </row>
    <row r="182" spans="1:7" x14ac:dyDescent="0.2">
      <c r="A182" t="s">
        <v>275</v>
      </c>
      <c r="B182" t="s">
        <v>349</v>
      </c>
      <c r="C182" t="s">
        <v>478</v>
      </c>
      <c r="E182" t="s">
        <v>477</v>
      </c>
      <c r="F182" t="s">
        <v>530</v>
      </c>
      <c r="G182" t="s">
        <v>575</v>
      </c>
    </row>
    <row r="183" spans="1:7" x14ac:dyDescent="0.2">
      <c r="A183" t="s">
        <v>275</v>
      </c>
      <c r="B183" t="s">
        <v>350</v>
      </c>
      <c r="C183" t="s">
        <v>478</v>
      </c>
      <c r="E183" t="s">
        <v>477</v>
      </c>
      <c r="F183" t="s">
        <v>530</v>
      </c>
      <c r="G183" t="s">
        <v>575</v>
      </c>
    </row>
    <row r="184" spans="1:7" x14ac:dyDescent="0.2">
      <c r="A184" t="s">
        <v>275</v>
      </c>
      <c r="B184" t="s">
        <v>351</v>
      </c>
      <c r="C184" t="s">
        <v>478</v>
      </c>
      <c r="E184" t="s">
        <v>477</v>
      </c>
      <c r="F184" t="s">
        <v>530</v>
      </c>
      <c r="G184" t="s">
        <v>575</v>
      </c>
    </row>
    <row r="185" spans="1:7" x14ac:dyDescent="0.2">
      <c r="A185" t="s">
        <v>275</v>
      </c>
      <c r="B185" t="s">
        <v>352</v>
      </c>
      <c r="C185" t="s">
        <v>478</v>
      </c>
      <c r="E185" t="s">
        <v>477</v>
      </c>
      <c r="F185" t="s">
        <v>530</v>
      </c>
      <c r="G185" t="s">
        <v>575</v>
      </c>
    </row>
    <row r="186" spans="1:7" x14ac:dyDescent="0.2">
      <c r="A186" t="s">
        <v>264</v>
      </c>
      <c r="B186" t="s">
        <v>353</v>
      </c>
      <c r="C186" t="s">
        <v>478</v>
      </c>
      <c r="E186" t="s">
        <v>477</v>
      </c>
      <c r="F186" t="s">
        <v>516</v>
      </c>
      <c r="G186" t="s">
        <v>575</v>
      </c>
    </row>
    <row r="187" spans="1:7" x14ac:dyDescent="0.2">
      <c r="A187" t="s">
        <v>276</v>
      </c>
      <c r="B187" t="s">
        <v>354</v>
      </c>
      <c r="C187" t="s">
        <v>484</v>
      </c>
      <c r="E187" t="s">
        <v>484</v>
      </c>
      <c r="F187" t="s">
        <v>531</v>
      </c>
      <c r="G187" t="s">
        <v>575</v>
      </c>
    </row>
    <row r="188" spans="1:7" x14ac:dyDescent="0.2">
      <c r="A188" t="s">
        <v>275</v>
      </c>
      <c r="B188" t="s">
        <v>355</v>
      </c>
      <c r="C188" t="s">
        <v>478</v>
      </c>
      <c r="E188" t="s">
        <v>477</v>
      </c>
      <c r="F188" t="s">
        <v>530</v>
      </c>
      <c r="G188" t="s">
        <v>575</v>
      </c>
    </row>
    <row r="189" spans="1:7" x14ac:dyDescent="0.2">
      <c r="A189" t="s">
        <v>275</v>
      </c>
      <c r="B189" t="s">
        <v>356</v>
      </c>
      <c r="C189" t="s">
        <v>478</v>
      </c>
      <c r="E189" t="s">
        <v>477</v>
      </c>
      <c r="F189" t="s">
        <v>530</v>
      </c>
      <c r="G189" t="s">
        <v>575</v>
      </c>
    </row>
    <row r="190" spans="1:7" x14ac:dyDescent="0.2">
      <c r="A190" t="s">
        <v>275</v>
      </c>
      <c r="B190" t="s">
        <v>357</v>
      </c>
      <c r="C190" t="s">
        <v>478</v>
      </c>
      <c r="E190" t="s">
        <v>477</v>
      </c>
      <c r="F190" t="s">
        <v>530</v>
      </c>
      <c r="G190" t="s">
        <v>575</v>
      </c>
    </row>
    <row r="191" spans="1:7" x14ac:dyDescent="0.2">
      <c r="A191" t="s">
        <v>275</v>
      </c>
      <c r="B191" t="s">
        <v>358</v>
      </c>
      <c r="C191" t="s">
        <v>478</v>
      </c>
      <c r="E191" t="s">
        <v>477</v>
      </c>
      <c r="F191" t="s">
        <v>530</v>
      </c>
      <c r="G191" t="s">
        <v>575</v>
      </c>
    </row>
    <row r="192" spans="1:7" x14ac:dyDescent="0.2">
      <c r="A192" t="s">
        <v>275</v>
      </c>
      <c r="B192" t="s">
        <v>359</v>
      </c>
      <c r="C192" t="s">
        <v>478</v>
      </c>
      <c r="E192" t="s">
        <v>477</v>
      </c>
      <c r="F192" t="s">
        <v>530</v>
      </c>
      <c r="G192" t="s">
        <v>575</v>
      </c>
    </row>
    <row r="193" spans="1:7" x14ac:dyDescent="0.2">
      <c r="A193" t="s">
        <v>275</v>
      </c>
      <c r="B193" t="s">
        <v>360</v>
      </c>
      <c r="C193" t="s">
        <v>478</v>
      </c>
      <c r="E193" t="s">
        <v>477</v>
      </c>
      <c r="F193" t="s">
        <v>530</v>
      </c>
      <c r="G193" t="s">
        <v>575</v>
      </c>
    </row>
    <row r="194" spans="1:7" x14ac:dyDescent="0.2">
      <c r="A194" t="s">
        <v>264</v>
      </c>
      <c r="B194" t="s">
        <v>361</v>
      </c>
      <c r="C194" t="s">
        <v>478</v>
      </c>
      <c r="E194" t="s">
        <v>477</v>
      </c>
      <c r="F194" t="s">
        <v>516</v>
      </c>
      <c r="G194" t="s">
        <v>575</v>
      </c>
    </row>
    <row r="195" spans="1:7" x14ac:dyDescent="0.2">
      <c r="A195" t="s">
        <v>265</v>
      </c>
      <c r="B195" t="s">
        <v>362</v>
      </c>
      <c r="C195" t="s">
        <v>478</v>
      </c>
      <c r="E195" t="s">
        <v>491</v>
      </c>
      <c r="F195" t="s">
        <v>532</v>
      </c>
      <c r="G195" t="s">
        <v>570</v>
      </c>
    </row>
    <row r="196" spans="1:7" x14ac:dyDescent="0.2">
      <c r="A196" t="s">
        <v>277</v>
      </c>
      <c r="B196" t="s">
        <v>363</v>
      </c>
      <c r="C196" t="s">
        <v>485</v>
      </c>
      <c r="E196" t="s">
        <v>485</v>
      </c>
      <c r="F196" t="s">
        <v>525</v>
      </c>
      <c r="G196" t="s">
        <v>571</v>
      </c>
    </row>
    <row r="197" spans="1:7" x14ac:dyDescent="0.2">
      <c r="A197" t="s">
        <v>267</v>
      </c>
      <c r="B197" t="s">
        <v>364</v>
      </c>
      <c r="C197" t="s">
        <v>480</v>
      </c>
      <c r="E197" t="s">
        <v>480</v>
      </c>
      <c r="F197" t="s">
        <v>533</v>
      </c>
      <c r="G197" t="s">
        <v>572</v>
      </c>
    </row>
    <row r="198" spans="1:7" x14ac:dyDescent="0.2">
      <c r="A198" t="s">
        <v>278</v>
      </c>
      <c r="B198" t="s">
        <v>365</v>
      </c>
      <c r="C198" t="s">
        <v>486</v>
      </c>
      <c r="E198" t="s">
        <v>486</v>
      </c>
      <c r="F198" t="s">
        <v>534</v>
      </c>
      <c r="G198" t="s">
        <v>573</v>
      </c>
    </row>
    <row r="199" spans="1:7" x14ac:dyDescent="0.2">
      <c r="A199" t="s">
        <v>278</v>
      </c>
      <c r="B199" t="s">
        <v>366</v>
      </c>
      <c r="C199" t="s">
        <v>486</v>
      </c>
      <c r="E199" t="s">
        <v>486</v>
      </c>
      <c r="F199" t="s">
        <v>534</v>
      </c>
      <c r="G199" t="s">
        <v>573</v>
      </c>
    </row>
    <row r="200" spans="1:7" x14ac:dyDescent="0.2">
      <c r="A200" t="s">
        <v>279</v>
      </c>
      <c r="B200" t="s">
        <v>367</v>
      </c>
      <c r="C200" t="s">
        <v>487</v>
      </c>
      <c r="E200" t="s">
        <v>487</v>
      </c>
      <c r="F200" t="s">
        <v>535</v>
      </c>
      <c r="G200" t="s">
        <v>573</v>
      </c>
    </row>
    <row r="201" spans="1:7" x14ac:dyDescent="0.2">
      <c r="A201" t="s">
        <v>279</v>
      </c>
      <c r="B201" t="s">
        <v>368</v>
      </c>
      <c r="C201" t="s">
        <v>487</v>
      </c>
      <c r="E201" t="s">
        <v>487</v>
      </c>
      <c r="F201" t="s">
        <v>527</v>
      </c>
      <c r="G201" t="s">
        <v>573</v>
      </c>
    </row>
    <row r="202" spans="1:7" x14ac:dyDescent="0.2">
      <c r="A202" t="s">
        <v>280</v>
      </c>
      <c r="B202" t="s">
        <v>369</v>
      </c>
      <c r="C202" t="s">
        <v>482</v>
      </c>
      <c r="E202" t="s">
        <v>482</v>
      </c>
      <c r="F202" t="s">
        <v>526</v>
      </c>
      <c r="G202" t="s">
        <v>572</v>
      </c>
    </row>
    <row r="203" spans="1:7" x14ac:dyDescent="0.2">
      <c r="A203" t="s">
        <v>280</v>
      </c>
      <c r="B203" t="s">
        <v>370</v>
      </c>
      <c r="C203" t="s">
        <v>482</v>
      </c>
      <c r="E203" t="s">
        <v>482</v>
      </c>
      <c r="F203" t="s">
        <v>527</v>
      </c>
      <c r="G203" t="s">
        <v>572</v>
      </c>
    </row>
    <row r="204" spans="1:7" x14ac:dyDescent="0.2">
      <c r="A204" t="s">
        <v>272</v>
      </c>
      <c r="B204" t="s">
        <v>371</v>
      </c>
      <c r="C204" t="s">
        <v>482</v>
      </c>
      <c r="E204" t="s">
        <v>482</v>
      </c>
      <c r="F204" t="s">
        <v>527</v>
      </c>
      <c r="G204" t="s">
        <v>572</v>
      </c>
    </row>
    <row r="205" spans="1:7" x14ac:dyDescent="0.2">
      <c r="A205" t="s">
        <v>272</v>
      </c>
      <c r="B205" t="s">
        <v>372</v>
      </c>
      <c r="C205" t="s">
        <v>488</v>
      </c>
      <c r="E205" t="s">
        <v>488</v>
      </c>
      <c r="F205" t="s">
        <v>528</v>
      </c>
      <c r="G205" t="s">
        <v>572</v>
      </c>
    </row>
    <row r="206" spans="1:7" x14ac:dyDescent="0.2">
      <c r="A206" t="s">
        <v>281</v>
      </c>
      <c r="B206" t="s">
        <v>373</v>
      </c>
      <c r="C206" t="s">
        <v>482</v>
      </c>
      <c r="E206" t="s">
        <v>482</v>
      </c>
      <c r="F206" t="s">
        <v>527</v>
      </c>
      <c r="G206" t="s">
        <v>572</v>
      </c>
    </row>
    <row r="207" spans="1:7" x14ac:dyDescent="0.2">
      <c r="A207" t="s">
        <v>273</v>
      </c>
      <c r="B207" t="s">
        <v>374</v>
      </c>
      <c r="C207" t="s">
        <v>481</v>
      </c>
      <c r="E207" t="s">
        <v>481</v>
      </c>
      <c r="F207" t="s">
        <v>526</v>
      </c>
      <c r="G207" t="s">
        <v>572</v>
      </c>
    </row>
    <row r="208" spans="1:7" x14ac:dyDescent="0.2">
      <c r="A208" t="s">
        <v>282</v>
      </c>
      <c r="B208" t="s">
        <v>375</v>
      </c>
      <c r="C208" t="s">
        <v>489</v>
      </c>
      <c r="E208" t="s">
        <v>489</v>
      </c>
      <c r="F208" t="s">
        <v>526</v>
      </c>
      <c r="G208" t="s">
        <v>572</v>
      </c>
    </row>
    <row r="209" spans="1:7" x14ac:dyDescent="0.2">
      <c r="A209" t="s">
        <v>283</v>
      </c>
      <c r="B209" t="s">
        <v>376</v>
      </c>
      <c r="C209" t="s">
        <v>490</v>
      </c>
      <c r="E209" t="s">
        <v>478</v>
      </c>
      <c r="F209" t="s">
        <v>536</v>
      </c>
      <c r="G209" t="s">
        <v>575</v>
      </c>
    </row>
    <row r="210" spans="1:7" x14ac:dyDescent="0.2">
      <c r="A210" t="s">
        <v>275</v>
      </c>
      <c r="B210" t="s">
        <v>377</v>
      </c>
      <c r="C210" t="s">
        <v>478</v>
      </c>
      <c r="E210" t="s">
        <v>477</v>
      </c>
      <c r="F210" t="s">
        <v>537</v>
      </c>
      <c r="G210" t="s">
        <v>575</v>
      </c>
    </row>
    <row r="211" spans="1:7" x14ac:dyDescent="0.2">
      <c r="A211" t="s">
        <v>275</v>
      </c>
      <c r="B211" t="s">
        <v>378</v>
      </c>
      <c r="C211" t="s">
        <v>478</v>
      </c>
      <c r="E211" t="s">
        <v>477</v>
      </c>
      <c r="F211" t="s">
        <v>538</v>
      </c>
      <c r="G211" t="s">
        <v>575</v>
      </c>
    </row>
    <row r="212" spans="1:7" x14ac:dyDescent="0.2">
      <c r="A212" t="s">
        <v>275</v>
      </c>
      <c r="B212" t="s">
        <v>379</v>
      </c>
      <c r="C212" t="s">
        <v>478</v>
      </c>
      <c r="E212" t="s">
        <v>477</v>
      </c>
      <c r="F212" t="s">
        <v>538</v>
      </c>
      <c r="G212" t="s">
        <v>575</v>
      </c>
    </row>
    <row r="213" spans="1:7" x14ac:dyDescent="0.2">
      <c r="A213" t="s">
        <v>275</v>
      </c>
      <c r="B213" t="s">
        <v>380</v>
      </c>
      <c r="C213" t="s">
        <v>478</v>
      </c>
      <c r="E213" t="s">
        <v>477</v>
      </c>
      <c r="F213" t="s">
        <v>530</v>
      </c>
      <c r="G213" t="s">
        <v>575</v>
      </c>
    </row>
    <row r="214" spans="1:7" x14ac:dyDescent="0.2">
      <c r="A214" t="s">
        <v>275</v>
      </c>
      <c r="B214" t="s">
        <v>381</v>
      </c>
      <c r="C214" t="s">
        <v>478</v>
      </c>
      <c r="E214" t="s">
        <v>477</v>
      </c>
      <c r="F214" t="s">
        <v>530</v>
      </c>
      <c r="G214" t="s">
        <v>575</v>
      </c>
    </row>
    <row r="215" spans="1:7" x14ac:dyDescent="0.2">
      <c r="A215" t="s">
        <v>275</v>
      </c>
      <c r="B215" t="s">
        <v>382</v>
      </c>
      <c r="C215" t="s">
        <v>478</v>
      </c>
      <c r="E215" t="s">
        <v>477</v>
      </c>
      <c r="F215" t="s">
        <v>530</v>
      </c>
      <c r="G215" t="s">
        <v>575</v>
      </c>
    </row>
    <row r="216" spans="1:7" x14ac:dyDescent="0.2">
      <c r="A216" t="s">
        <v>275</v>
      </c>
      <c r="B216" t="s">
        <v>383</v>
      </c>
      <c r="C216" t="s">
        <v>478</v>
      </c>
      <c r="E216" t="s">
        <v>477</v>
      </c>
      <c r="F216" t="s">
        <v>530</v>
      </c>
      <c r="G216" t="s">
        <v>575</v>
      </c>
    </row>
    <row r="217" spans="1:7" x14ac:dyDescent="0.2">
      <c r="A217" t="s">
        <v>264</v>
      </c>
      <c r="B217" t="s">
        <v>384</v>
      </c>
      <c r="C217" t="s">
        <v>478</v>
      </c>
      <c r="E217" t="s">
        <v>477</v>
      </c>
      <c r="F217" t="s">
        <v>516</v>
      </c>
      <c r="G217" t="s">
        <v>575</v>
      </c>
    </row>
    <row r="218" spans="1:7" x14ac:dyDescent="0.2">
      <c r="A218" t="s">
        <v>284</v>
      </c>
      <c r="B218" t="s">
        <v>385</v>
      </c>
      <c r="C218" t="s">
        <v>477</v>
      </c>
      <c r="E218" t="s">
        <v>477</v>
      </c>
      <c r="F218" t="s">
        <v>539</v>
      </c>
      <c r="G218" t="s">
        <v>570</v>
      </c>
    </row>
    <row r="219" spans="1:7" x14ac:dyDescent="0.2">
      <c r="A219" t="s">
        <v>285</v>
      </c>
      <c r="B219" t="s">
        <v>386</v>
      </c>
      <c r="C219" t="s">
        <v>477</v>
      </c>
      <c r="E219" t="s">
        <v>477</v>
      </c>
      <c r="F219" t="s">
        <v>531</v>
      </c>
      <c r="G219" t="s">
        <v>570</v>
      </c>
    </row>
    <row r="220" spans="1:7" x14ac:dyDescent="0.2">
      <c r="A220" t="s">
        <v>286</v>
      </c>
      <c r="B220" t="s">
        <v>387</v>
      </c>
      <c r="C220" t="s">
        <v>486</v>
      </c>
      <c r="E220" t="s">
        <v>486</v>
      </c>
      <c r="F220" t="s">
        <v>540</v>
      </c>
      <c r="G220" t="s">
        <v>572</v>
      </c>
    </row>
    <row r="221" spans="1:7" x14ac:dyDescent="0.2">
      <c r="A221" t="s">
        <v>286</v>
      </c>
      <c r="B221" t="s">
        <v>388</v>
      </c>
      <c r="C221" t="s">
        <v>491</v>
      </c>
      <c r="E221" t="s">
        <v>491</v>
      </c>
      <c r="F221" t="s">
        <v>524</v>
      </c>
      <c r="G221" t="s">
        <v>573</v>
      </c>
    </row>
    <row r="222" spans="1:7" x14ac:dyDescent="0.2">
      <c r="A222" t="s">
        <v>286</v>
      </c>
      <c r="B222" t="s">
        <v>389</v>
      </c>
      <c r="C222" t="s">
        <v>491</v>
      </c>
      <c r="E222" t="s">
        <v>491</v>
      </c>
      <c r="F222" t="s">
        <v>524</v>
      </c>
      <c r="G222" t="s">
        <v>573</v>
      </c>
    </row>
    <row r="223" spans="1:7" x14ac:dyDescent="0.2">
      <c r="A223" t="s">
        <v>286</v>
      </c>
      <c r="B223" t="s">
        <v>390</v>
      </c>
      <c r="C223" t="s">
        <v>491</v>
      </c>
      <c r="E223" t="s">
        <v>491</v>
      </c>
      <c r="F223" t="s">
        <v>524</v>
      </c>
      <c r="G223" t="s">
        <v>573</v>
      </c>
    </row>
    <row r="224" spans="1:7" x14ac:dyDescent="0.2">
      <c r="A224" t="s">
        <v>286</v>
      </c>
      <c r="B224" t="s">
        <v>391</v>
      </c>
      <c r="C224" t="s">
        <v>491</v>
      </c>
      <c r="E224" t="s">
        <v>491</v>
      </c>
      <c r="F224" t="s">
        <v>524</v>
      </c>
      <c r="G224" t="s">
        <v>573</v>
      </c>
    </row>
    <row r="225" spans="1:7" x14ac:dyDescent="0.2">
      <c r="A225" t="s">
        <v>286</v>
      </c>
      <c r="B225" t="s">
        <v>392</v>
      </c>
      <c r="C225" t="s">
        <v>491</v>
      </c>
      <c r="E225" t="s">
        <v>491</v>
      </c>
      <c r="F225" t="s">
        <v>524</v>
      </c>
      <c r="G225" t="s">
        <v>573</v>
      </c>
    </row>
    <row r="226" spans="1:7" x14ac:dyDescent="0.2">
      <c r="A226" t="s">
        <v>286</v>
      </c>
      <c r="B226" t="s">
        <v>393</v>
      </c>
      <c r="C226" t="s">
        <v>491</v>
      </c>
      <c r="E226" t="s">
        <v>491</v>
      </c>
      <c r="F226" t="s">
        <v>524</v>
      </c>
      <c r="G226" t="s">
        <v>573</v>
      </c>
    </row>
    <row r="227" spans="1:7" x14ac:dyDescent="0.2">
      <c r="A227" t="s">
        <v>286</v>
      </c>
      <c r="B227" t="s">
        <v>394</v>
      </c>
      <c r="C227" t="s">
        <v>491</v>
      </c>
      <c r="E227" t="s">
        <v>491</v>
      </c>
      <c r="F227" t="s">
        <v>524</v>
      </c>
      <c r="G227" t="s">
        <v>573</v>
      </c>
    </row>
    <row r="228" spans="1:7" x14ac:dyDescent="0.2">
      <c r="A228" t="s">
        <v>286</v>
      </c>
      <c r="B228" t="s">
        <v>394</v>
      </c>
      <c r="C228" t="s">
        <v>491</v>
      </c>
      <c r="E228" t="s">
        <v>491</v>
      </c>
      <c r="F228" t="s">
        <v>524</v>
      </c>
      <c r="G228" t="s">
        <v>573</v>
      </c>
    </row>
    <row r="229" spans="1:7" x14ac:dyDescent="0.2">
      <c r="A229" t="s">
        <v>286</v>
      </c>
      <c r="B229" t="s">
        <v>395</v>
      </c>
      <c r="C229" t="s">
        <v>491</v>
      </c>
      <c r="E229" t="s">
        <v>491</v>
      </c>
      <c r="F229" t="s">
        <v>524</v>
      </c>
      <c r="G229" t="s">
        <v>573</v>
      </c>
    </row>
    <row r="230" spans="1:7" x14ac:dyDescent="0.2">
      <c r="A230" t="s">
        <v>286</v>
      </c>
      <c r="B230" t="s">
        <v>396</v>
      </c>
      <c r="C230" t="s">
        <v>486</v>
      </c>
      <c r="E230" t="s">
        <v>486</v>
      </c>
      <c r="F230" t="s">
        <v>541</v>
      </c>
      <c r="G230" t="s">
        <v>573</v>
      </c>
    </row>
    <row r="231" spans="1:7" x14ac:dyDescent="0.2">
      <c r="A231" t="s">
        <v>286</v>
      </c>
      <c r="B231" t="s">
        <v>397</v>
      </c>
      <c r="C231" t="s">
        <v>486</v>
      </c>
      <c r="E231" t="s">
        <v>486</v>
      </c>
      <c r="F231" t="s">
        <v>541</v>
      </c>
      <c r="G231" t="s">
        <v>573</v>
      </c>
    </row>
    <row r="232" spans="1:7" x14ac:dyDescent="0.2">
      <c r="A232" t="s">
        <v>286</v>
      </c>
      <c r="B232" t="s">
        <v>398</v>
      </c>
      <c r="C232" t="s">
        <v>486</v>
      </c>
      <c r="E232" t="s">
        <v>486</v>
      </c>
      <c r="F232" t="s">
        <v>541</v>
      </c>
      <c r="G232" t="s">
        <v>573</v>
      </c>
    </row>
    <row r="233" spans="1:7" x14ac:dyDescent="0.2">
      <c r="A233" t="s">
        <v>287</v>
      </c>
      <c r="B233" t="s">
        <v>399</v>
      </c>
      <c r="C233" t="s">
        <v>477</v>
      </c>
      <c r="E233" t="s">
        <v>477</v>
      </c>
      <c r="F233" t="s">
        <v>542</v>
      </c>
      <c r="G233" t="s">
        <v>573</v>
      </c>
    </row>
    <row r="234" spans="1:7" x14ac:dyDescent="0.2">
      <c r="A234" t="s">
        <v>288</v>
      </c>
      <c r="B234" t="s">
        <v>400</v>
      </c>
      <c r="C234" t="s">
        <v>477</v>
      </c>
      <c r="E234" t="s">
        <v>477</v>
      </c>
      <c r="F234" t="s">
        <v>543</v>
      </c>
      <c r="G234" t="s">
        <v>573</v>
      </c>
    </row>
    <row r="235" spans="1:7" x14ac:dyDescent="0.2">
      <c r="A235" t="s">
        <v>285</v>
      </c>
      <c r="B235" t="s">
        <v>401</v>
      </c>
      <c r="C235" t="s">
        <v>477</v>
      </c>
      <c r="E235" t="s">
        <v>477</v>
      </c>
      <c r="F235" t="s">
        <v>529</v>
      </c>
      <c r="G235" t="s">
        <v>570</v>
      </c>
    </row>
    <row r="236" spans="1:7" x14ac:dyDescent="0.2">
      <c r="A236" t="s">
        <v>289</v>
      </c>
      <c r="B236" t="s">
        <v>402</v>
      </c>
      <c r="C236" t="s">
        <v>492</v>
      </c>
      <c r="E236" t="s">
        <v>492</v>
      </c>
      <c r="F236" t="s">
        <v>529</v>
      </c>
      <c r="G236" t="s">
        <v>572</v>
      </c>
    </row>
    <row r="237" spans="1:7" x14ac:dyDescent="0.2">
      <c r="A237" t="s">
        <v>289</v>
      </c>
      <c r="B237" t="s">
        <v>403</v>
      </c>
      <c r="C237" t="s">
        <v>492</v>
      </c>
      <c r="E237" t="s">
        <v>492</v>
      </c>
      <c r="F237" t="s">
        <v>543</v>
      </c>
      <c r="G237" t="s">
        <v>572</v>
      </c>
    </row>
    <row r="238" spans="1:7" x14ac:dyDescent="0.2">
      <c r="A238" t="s">
        <v>289</v>
      </c>
      <c r="B238" t="s">
        <v>404</v>
      </c>
      <c r="C238" t="s">
        <v>492</v>
      </c>
      <c r="E238" t="s">
        <v>492</v>
      </c>
      <c r="F238" t="s">
        <v>529</v>
      </c>
      <c r="G238" t="s">
        <v>572</v>
      </c>
    </row>
    <row r="239" spans="1:7" x14ac:dyDescent="0.2">
      <c r="A239" t="s">
        <v>286</v>
      </c>
      <c r="B239" t="s">
        <v>405</v>
      </c>
      <c r="C239" t="s">
        <v>486</v>
      </c>
      <c r="E239" t="s">
        <v>486</v>
      </c>
      <c r="F239" t="s">
        <v>540</v>
      </c>
      <c r="G239" t="s">
        <v>572</v>
      </c>
    </row>
    <row r="240" spans="1:7" x14ac:dyDescent="0.2">
      <c r="A240" t="s">
        <v>286</v>
      </c>
      <c r="B240" t="s">
        <v>406</v>
      </c>
      <c r="C240" t="s">
        <v>486</v>
      </c>
      <c r="E240" t="s">
        <v>486</v>
      </c>
      <c r="F240" t="s">
        <v>536</v>
      </c>
      <c r="G240" t="s">
        <v>572</v>
      </c>
    </row>
    <row r="241" spans="1:7" x14ac:dyDescent="0.2">
      <c r="A241" t="s">
        <v>290</v>
      </c>
      <c r="B241" t="s">
        <v>407</v>
      </c>
      <c r="C241" t="s">
        <v>478</v>
      </c>
      <c r="E241" t="s">
        <v>478</v>
      </c>
      <c r="F241" t="s">
        <v>544</v>
      </c>
      <c r="G241" t="s">
        <v>569</v>
      </c>
    </row>
    <row r="242" spans="1:7" x14ac:dyDescent="0.2">
      <c r="A242" t="s">
        <v>291</v>
      </c>
      <c r="B242" t="s">
        <v>408</v>
      </c>
      <c r="C242" t="s">
        <v>478</v>
      </c>
      <c r="E242" t="s">
        <v>478</v>
      </c>
      <c r="F242" t="s">
        <v>545</v>
      </c>
      <c r="G242" t="s">
        <v>576</v>
      </c>
    </row>
    <row r="243" spans="1:7" x14ac:dyDescent="0.2">
      <c r="A243" t="s">
        <v>292</v>
      </c>
      <c r="B243" t="s">
        <v>409</v>
      </c>
      <c r="C243" t="s">
        <v>478</v>
      </c>
      <c r="E243" t="s">
        <v>478</v>
      </c>
      <c r="F243" t="s">
        <v>546</v>
      </c>
      <c r="G243" t="s">
        <v>576</v>
      </c>
    </row>
    <row r="244" spans="1:7" x14ac:dyDescent="0.2">
      <c r="A244" t="s">
        <v>292</v>
      </c>
      <c r="B244" t="s">
        <v>410</v>
      </c>
      <c r="C244" t="s">
        <v>478</v>
      </c>
      <c r="E244" t="s">
        <v>478</v>
      </c>
      <c r="F244" t="s">
        <v>547</v>
      </c>
      <c r="G244" t="s">
        <v>576</v>
      </c>
    </row>
    <row r="245" spans="1:7" x14ac:dyDescent="0.2">
      <c r="A245" t="s">
        <v>268</v>
      </c>
      <c r="B245" t="s">
        <v>411</v>
      </c>
      <c r="C245" t="s">
        <v>478</v>
      </c>
      <c r="E245" t="s">
        <v>478</v>
      </c>
      <c r="F245" t="s">
        <v>520</v>
      </c>
      <c r="G245" t="s">
        <v>576</v>
      </c>
    </row>
    <row r="246" spans="1:7" x14ac:dyDescent="0.2">
      <c r="A246" t="s">
        <v>293</v>
      </c>
      <c r="B246" t="s">
        <v>412</v>
      </c>
      <c r="C246" t="s">
        <v>478</v>
      </c>
      <c r="E246" t="s">
        <v>478</v>
      </c>
      <c r="F246" t="s">
        <v>536</v>
      </c>
      <c r="G246" t="s">
        <v>571</v>
      </c>
    </row>
    <row r="247" spans="1:7" x14ac:dyDescent="0.2">
      <c r="A247" t="s">
        <v>294</v>
      </c>
      <c r="B247" t="s">
        <v>413</v>
      </c>
      <c r="C247" t="s">
        <v>493</v>
      </c>
      <c r="E247" t="s">
        <v>493</v>
      </c>
      <c r="F247" t="s">
        <v>548</v>
      </c>
      <c r="G247" t="s">
        <v>577</v>
      </c>
    </row>
    <row r="248" spans="1:7" x14ac:dyDescent="0.2">
      <c r="A248" t="s">
        <v>295</v>
      </c>
      <c r="B248" t="s">
        <v>414</v>
      </c>
      <c r="C248" t="s">
        <v>494</v>
      </c>
      <c r="E248" t="s">
        <v>494</v>
      </c>
      <c r="F248" t="s">
        <v>549</v>
      </c>
      <c r="G248" t="s">
        <v>577</v>
      </c>
    </row>
    <row r="249" spans="1:7" x14ac:dyDescent="0.2">
      <c r="A249" t="s">
        <v>296</v>
      </c>
      <c r="B249" t="s">
        <v>415</v>
      </c>
      <c r="C249" t="s">
        <v>494</v>
      </c>
      <c r="E249" t="s">
        <v>494</v>
      </c>
      <c r="F249" t="s">
        <v>550</v>
      </c>
      <c r="G249" t="s">
        <v>577</v>
      </c>
    </row>
    <row r="250" spans="1:7" x14ac:dyDescent="0.2">
      <c r="A250" t="s">
        <v>297</v>
      </c>
      <c r="B250" t="s">
        <v>416</v>
      </c>
      <c r="C250" t="s">
        <v>488</v>
      </c>
      <c r="E250" t="s">
        <v>488</v>
      </c>
      <c r="F250" t="s">
        <v>551</v>
      </c>
      <c r="G250" t="s">
        <v>577</v>
      </c>
    </row>
    <row r="251" spans="1:7" x14ac:dyDescent="0.2">
      <c r="A251" t="s">
        <v>298</v>
      </c>
      <c r="B251" t="s">
        <v>417</v>
      </c>
      <c r="C251" t="s">
        <v>495</v>
      </c>
      <c r="E251" t="s">
        <v>495</v>
      </c>
      <c r="F251" t="s">
        <v>552</v>
      </c>
      <c r="G251" t="s">
        <v>577</v>
      </c>
    </row>
    <row r="252" spans="1:7" x14ac:dyDescent="0.2">
      <c r="A252" t="s">
        <v>299</v>
      </c>
      <c r="B252" t="s">
        <v>418</v>
      </c>
      <c r="C252" t="s">
        <v>496</v>
      </c>
      <c r="E252" t="s">
        <v>496</v>
      </c>
      <c r="F252" t="s">
        <v>516</v>
      </c>
      <c r="G252" t="s">
        <v>577</v>
      </c>
    </row>
    <row r="253" spans="1:7" x14ac:dyDescent="0.2">
      <c r="A253" t="s">
        <v>300</v>
      </c>
      <c r="B253" t="s">
        <v>419</v>
      </c>
      <c r="C253" t="s">
        <v>497</v>
      </c>
      <c r="E253" t="s">
        <v>497</v>
      </c>
      <c r="F253" t="s">
        <v>553</v>
      </c>
      <c r="G253" t="s">
        <v>577</v>
      </c>
    </row>
    <row r="254" spans="1:7" x14ac:dyDescent="0.2">
      <c r="A254" t="s">
        <v>301</v>
      </c>
      <c r="B254" t="s">
        <v>420</v>
      </c>
      <c r="C254" t="s">
        <v>478</v>
      </c>
      <c r="E254" t="s">
        <v>478</v>
      </c>
      <c r="F254" t="s">
        <v>516</v>
      </c>
      <c r="G254" t="s">
        <v>576</v>
      </c>
    </row>
    <row r="255" spans="1:7" x14ac:dyDescent="0.2">
      <c r="A255" t="s">
        <v>283</v>
      </c>
      <c r="B255" t="s">
        <v>421</v>
      </c>
      <c r="C255" t="s">
        <v>477</v>
      </c>
      <c r="E255" t="s">
        <v>477</v>
      </c>
      <c r="F255" t="s">
        <v>540</v>
      </c>
      <c r="G255" t="s">
        <v>578</v>
      </c>
    </row>
    <row r="256" spans="1:7" x14ac:dyDescent="0.2">
      <c r="A256" t="s">
        <v>264</v>
      </c>
      <c r="B256" t="s">
        <v>422</v>
      </c>
      <c r="C256" t="s">
        <v>477</v>
      </c>
      <c r="E256" t="s">
        <v>477</v>
      </c>
      <c r="F256" t="s">
        <v>541</v>
      </c>
      <c r="G256" t="s">
        <v>578</v>
      </c>
    </row>
    <row r="257" spans="1:7" x14ac:dyDescent="0.2">
      <c r="A257" t="s">
        <v>264</v>
      </c>
      <c r="B257" t="s">
        <v>423</v>
      </c>
      <c r="C257" t="s">
        <v>478</v>
      </c>
      <c r="E257" t="s">
        <v>478</v>
      </c>
      <c r="F257" t="s">
        <v>516</v>
      </c>
      <c r="G257" t="s">
        <v>578</v>
      </c>
    </row>
    <row r="258" spans="1:7" x14ac:dyDescent="0.2">
      <c r="A258" t="s">
        <v>301</v>
      </c>
      <c r="B258" t="s">
        <v>424</v>
      </c>
      <c r="C258" t="s">
        <v>478</v>
      </c>
      <c r="E258" t="s">
        <v>478</v>
      </c>
      <c r="F258" t="s">
        <v>537</v>
      </c>
      <c r="G258" t="s">
        <v>576</v>
      </c>
    </row>
    <row r="259" spans="1:7" x14ac:dyDescent="0.2">
      <c r="A259" t="s">
        <v>283</v>
      </c>
      <c r="B259" t="s">
        <v>425</v>
      </c>
      <c r="C259" t="s">
        <v>498</v>
      </c>
      <c r="E259" t="s">
        <v>498</v>
      </c>
      <c r="F259" t="s">
        <v>529</v>
      </c>
      <c r="G259" t="s">
        <v>578</v>
      </c>
    </row>
    <row r="260" spans="1:7" x14ac:dyDescent="0.2">
      <c r="A260" t="s">
        <v>302</v>
      </c>
      <c r="B260" t="s">
        <v>426</v>
      </c>
      <c r="C260" t="s">
        <v>478</v>
      </c>
      <c r="E260" t="s">
        <v>478</v>
      </c>
      <c r="F260" t="s">
        <v>529</v>
      </c>
      <c r="G260" t="s">
        <v>579</v>
      </c>
    </row>
    <row r="261" spans="1:7" x14ac:dyDescent="0.2">
      <c r="A261" t="s">
        <v>285</v>
      </c>
      <c r="B261" t="s">
        <v>427</v>
      </c>
      <c r="C261" t="s">
        <v>499</v>
      </c>
      <c r="E261" t="s">
        <v>499</v>
      </c>
      <c r="F261" t="s">
        <v>542</v>
      </c>
      <c r="G261" t="s">
        <v>577</v>
      </c>
    </row>
    <row r="262" spans="1:7" x14ac:dyDescent="0.2">
      <c r="A262" t="s">
        <v>303</v>
      </c>
      <c r="B262" t="s">
        <v>428</v>
      </c>
      <c r="C262" t="s">
        <v>500</v>
      </c>
      <c r="E262" t="s">
        <v>500</v>
      </c>
      <c r="F262" t="s">
        <v>546</v>
      </c>
      <c r="G262" t="s">
        <v>577</v>
      </c>
    </row>
    <row r="263" spans="1:7" x14ac:dyDescent="0.2">
      <c r="A263" t="s">
        <v>304</v>
      </c>
      <c r="B263" t="s">
        <v>429</v>
      </c>
      <c r="C263" t="s">
        <v>478</v>
      </c>
      <c r="E263" t="s">
        <v>478</v>
      </c>
      <c r="F263" t="s">
        <v>554</v>
      </c>
      <c r="G263" t="s">
        <v>569</v>
      </c>
    </row>
    <row r="264" spans="1:7" x14ac:dyDescent="0.2">
      <c r="A264" t="s">
        <v>277</v>
      </c>
      <c r="B264" t="s">
        <v>430</v>
      </c>
      <c r="C264" t="s">
        <v>478</v>
      </c>
      <c r="E264" t="s">
        <v>478</v>
      </c>
      <c r="F264" t="s">
        <v>539</v>
      </c>
      <c r="G264" t="s">
        <v>571</v>
      </c>
    </row>
    <row r="265" spans="1:7" x14ac:dyDescent="0.2">
      <c r="A265" t="s">
        <v>277</v>
      </c>
      <c r="B265" t="s">
        <v>431</v>
      </c>
      <c r="C265" t="s">
        <v>478</v>
      </c>
      <c r="E265" t="s">
        <v>478</v>
      </c>
      <c r="F265" t="s">
        <v>534</v>
      </c>
      <c r="G265" t="s">
        <v>571</v>
      </c>
    </row>
    <row r="266" spans="1:7" x14ac:dyDescent="0.2">
      <c r="A266" t="s">
        <v>277</v>
      </c>
      <c r="B266" t="s">
        <v>432</v>
      </c>
      <c r="C266" t="s">
        <v>501</v>
      </c>
      <c r="E266" t="s">
        <v>501</v>
      </c>
      <c r="F266" t="s">
        <v>555</v>
      </c>
      <c r="G266" t="s">
        <v>571</v>
      </c>
    </row>
    <row r="267" spans="1:7" x14ac:dyDescent="0.2">
      <c r="A267" t="s">
        <v>263</v>
      </c>
      <c r="B267" t="s">
        <v>433</v>
      </c>
      <c r="C267" t="s">
        <v>502</v>
      </c>
      <c r="E267" t="s">
        <v>502</v>
      </c>
      <c r="F267" t="s">
        <v>556</v>
      </c>
      <c r="G267" t="s">
        <v>580</v>
      </c>
    </row>
    <row r="268" spans="1:7" x14ac:dyDescent="0.2">
      <c r="A268" t="s">
        <v>268</v>
      </c>
      <c r="B268" t="s">
        <v>434</v>
      </c>
      <c r="C268" t="s">
        <v>478</v>
      </c>
      <c r="E268" t="s">
        <v>478</v>
      </c>
      <c r="F268" t="s">
        <v>520</v>
      </c>
      <c r="G268" t="s">
        <v>571</v>
      </c>
    </row>
    <row r="269" spans="1:7" x14ac:dyDescent="0.2">
      <c r="A269" t="s">
        <v>305</v>
      </c>
      <c r="B269" t="s">
        <v>435</v>
      </c>
      <c r="C269" t="s">
        <v>478</v>
      </c>
      <c r="E269" t="s">
        <v>478</v>
      </c>
      <c r="F269" t="s">
        <v>557</v>
      </c>
      <c r="G269" t="s">
        <v>569</v>
      </c>
    </row>
    <row r="270" spans="1:7" x14ac:dyDescent="0.2">
      <c r="A270" t="s">
        <v>306</v>
      </c>
      <c r="B270" t="s">
        <v>436</v>
      </c>
      <c r="C270" t="s">
        <v>478</v>
      </c>
      <c r="E270" t="s">
        <v>478</v>
      </c>
      <c r="F270" t="s">
        <v>558</v>
      </c>
      <c r="G270" t="s">
        <v>569</v>
      </c>
    </row>
    <row r="271" spans="1:7" x14ac:dyDescent="0.2">
      <c r="A271" t="s">
        <v>307</v>
      </c>
      <c r="B271" t="s">
        <v>437</v>
      </c>
      <c r="C271" t="s">
        <v>478</v>
      </c>
      <c r="E271" t="s">
        <v>478</v>
      </c>
      <c r="F271" t="s">
        <v>559</v>
      </c>
      <c r="G271" t="s">
        <v>574</v>
      </c>
    </row>
    <row r="272" spans="1:7" x14ac:dyDescent="0.2">
      <c r="A272" t="s">
        <v>308</v>
      </c>
      <c r="B272" t="s">
        <v>438</v>
      </c>
      <c r="C272" t="s">
        <v>478</v>
      </c>
      <c r="E272" t="s">
        <v>478</v>
      </c>
      <c r="F272" t="s">
        <v>560</v>
      </c>
      <c r="G272" t="s">
        <v>569</v>
      </c>
    </row>
    <row r="273" spans="1:7" x14ac:dyDescent="0.2">
      <c r="A273" t="s">
        <v>309</v>
      </c>
      <c r="B273" t="s">
        <v>439</v>
      </c>
      <c r="C273" t="s">
        <v>478</v>
      </c>
      <c r="E273" t="s">
        <v>478</v>
      </c>
      <c r="F273" t="s">
        <v>558</v>
      </c>
      <c r="G273" t="s">
        <v>574</v>
      </c>
    </row>
    <row r="274" spans="1:7" x14ac:dyDescent="0.2">
      <c r="A274" t="s">
        <v>310</v>
      </c>
      <c r="B274" t="s">
        <v>440</v>
      </c>
      <c r="C274" t="s">
        <v>478</v>
      </c>
      <c r="E274" t="s">
        <v>478</v>
      </c>
      <c r="F274" t="s">
        <v>561</v>
      </c>
      <c r="G274" t="s">
        <v>569</v>
      </c>
    </row>
    <row r="275" spans="1:7" x14ac:dyDescent="0.2">
      <c r="A275" t="s">
        <v>311</v>
      </c>
      <c r="B275" t="s">
        <v>441</v>
      </c>
      <c r="C275" t="s">
        <v>481</v>
      </c>
      <c r="E275" t="s">
        <v>481</v>
      </c>
      <c r="F275" t="s">
        <v>527</v>
      </c>
      <c r="G275" t="s">
        <v>580</v>
      </c>
    </row>
    <row r="276" spans="1:7" x14ac:dyDescent="0.2">
      <c r="A276" t="s">
        <v>311</v>
      </c>
      <c r="B276" t="s">
        <v>442</v>
      </c>
      <c r="C276" t="s">
        <v>482</v>
      </c>
      <c r="E276" t="s">
        <v>482</v>
      </c>
      <c r="F276" t="s">
        <v>562</v>
      </c>
      <c r="G276" t="s">
        <v>580</v>
      </c>
    </row>
    <row r="277" spans="1:7" x14ac:dyDescent="0.2">
      <c r="A277" t="s">
        <v>311</v>
      </c>
      <c r="B277" t="s">
        <v>443</v>
      </c>
      <c r="C277" t="s">
        <v>481</v>
      </c>
      <c r="E277" t="s">
        <v>481</v>
      </c>
      <c r="F277" t="s">
        <v>563</v>
      </c>
      <c r="G277" t="s">
        <v>580</v>
      </c>
    </row>
    <row r="278" spans="1:7" x14ac:dyDescent="0.2">
      <c r="A278" t="s">
        <v>312</v>
      </c>
      <c r="B278" t="s">
        <v>444</v>
      </c>
      <c r="C278" t="s">
        <v>481</v>
      </c>
      <c r="E278" t="s">
        <v>481</v>
      </c>
      <c r="F278" t="s">
        <v>526</v>
      </c>
      <c r="G278" t="s">
        <v>580</v>
      </c>
    </row>
    <row r="279" spans="1:7" x14ac:dyDescent="0.2">
      <c r="A279" t="s">
        <v>286</v>
      </c>
      <c r="B279" t="s">
        <v>445</v>
      </c>
      <c r="C279" t="s">
        <v>486</v>
      </c>
      <c r="E279" t="s">
        <v>486</v>
      </c>
      <c r="F279" t="s">
        <v>542</v>
      </c>
      <c r="G279" t="s">
        <v>580</v>
      </c>
    </row>
    <row r="280" spans="1:7" x14ac:dyDescent="0.2">
      <c r="A280" t="s">
        <v>286</v>
      </c>
      <c r="B280" t="s">
        <v>446</v>
      </c>
      <c r="C280" t="s">
        <v>486</v>
      </c>
      <c r="E280" t="s">
        <v>486</v>
      </c>
      <c r="F280" t="s">
        <v>541</v>
      </c>
      <c r="G280" t="s">
        <v>580</v>
      </c>
    </row>
    <row r="281" spans="1:7" x14ac:dyDescent="0.2">
      <c r="A281" t="s">
        <v>313</v>
      </c>
      <c r="B281" t="s">
        <v>447</v>
      </c>
      <c r="C281" t="s">
        <v>478</v>
      </c>
      <c r="E281" t="s">
        <v>478</v>
      </c>
      <c r="F281" t="s">
        <v>516</v>
      </c>
      <c r="G281" t="s">
        <v>569</v>
      </c>
    </row>
    <row r="282" spans="1:7" x14ac:dyDescent="0.2">
      <c r="A282" t="s">
        <v>314</v>
      </c>
      <c r="B282" t="s">
        <v>448</v>
      </c>
      <c r="C282" t="s">
        <v>478</v>
      </c>
      <c r="E282" t="s">
        <v>478</v>
      </c>
      <c r="F282" t="s">
        <v>516</v>
      </c>
      <c r="G282" t="s">
        <v>569</v>
      </c>
    </row>
    <row r="283" spans="1:7" x14ac:dyDescent="0.2">
      <c r="A283" t="s">
        <v>315</v>
      </c>
      <c r="B283" t="s">
        <v>449</v>
      </c>
      <c r="C283" t="s">
        <v>478</v>
      </c>
      <c r="E283" t="s">
        <v>478</v>
      </c>
      <c r="F283" t="s">
        <v>530</v>
      </c>
      <c r="G283" t="s">
        <v>569</v>
      </c>
    </row>
    <row r="284" spans="1:7" x14ac:dyDescent="0.2">
      <c r="A284" t="s">
        <v>315</v>
      </c>
      <c r="B284" t="s">
        <v>450</v>
      </c>
      <c r="C284" t="s">
        <v>478</v>
      </c>
      <c r="E284" t="s">
        <v>478</v>
      </c>
      <c r="F284" t="s">
        <v>530</v>
      </c>
      <c r="G284" t="s">
        <v>569</v>
      </c>
    </row>
    <row r="285" spans="1:7" x14ac:dyDescent="0.2">
      <c r="A285" t="s">
        <v>315</v>
      </c>
      <c r="B285" t="s">
        <v>451</v>
      </c>
      <c r="C285" t="s">
        <v>478</v>
      </c>
      <c r="E285" t="s">
        <v>478</v>
      </c>
      <c r="F285" t="s">
        <v>530</v>
      </c>
      <c r="G285" t="s">
        <v>569</v>
      </c>
    </row>
    <row r="286" spans="1:7" x14ac:dyDescent="0.2">
      <c r="A286" t="s">
        <v>313</v>
      </c>
      <c r="B286" t="s">
        <v>452</v>
      </c>
      <c r="C286" t="s">
        <v>478</v>
      </c>
      <c r="E286" t="s">
        <v>478</v>
      </c>
      <c r="F286" t="s">
        <v>524</v>
      </c>
      <c r="G286" t="s">
        <v>569</v>
      </c>
    </row>
    <row r="287" spans="1:7" x14ac:dyDescent="0.2">
      <c r="A287" t="s">
        <v>314</v>
      </c>
      <c r="B287" t="s">
        <v>453</v>
      </c>
      <c r="C287" t="s">
        <v>478</v>
      </c>
      <c r="E287" t="s">
        <v>478</v>
      </c>
      <c r="F287" t="s">
        <v>538</v>
      </c>
      <c r="G287" t="s">
        <v>569</v>
      </c>
    </row>
    <row r="288" spans="1:7" x14ac:dyDescent="0.2">
      <c r="A288" t="s">
        <v>314</v>
      </c>
      <c r="B288" t="s">
        <v>454</v>
      </c>
      <c r="C288" t="s">
        <v>478</v>
      </c>
      <c r="E288" t="s">
        <v>478</v>
      </c>
      <c r="F288" t="s">
        <v>530</v>
      </c>
      <c r="G288" t="s">
        <v>569</v>
      </c>
    </row>
    <row r="289" spans="1:7" x14ac:dyDescent="0.2">
      <c r="A289" t="s">
        <v>314</v>
      </c>
      <c r="B289" t="s">
        <v>455</v>
      </c>
      <c r="C289" t="s">
        <v>478</v>
      </c>
      <c r="E289" t="s">
        <v>478</v>
      </c>
      <c r="F289" t="s">
        <v>538</v>
      </c>
      <c r="G289" t="s">
        <v>569</v>
      </c>
    </row>
    <row r="290" spans="1:7" x14ac:dyDescent="0.2">
      <c r="A290" t="s">
        <v>314</v>
      </c>
      <c r="B290" t="s">
        <v>456</v>
      </c>
      <c r="C290" t="s">
        <v>478</v>
      </c>
      <c r="E290" t="s">
        <v>478</v>
      </c>
      <c r="F290" t="s">
        <v>530</v>
      </c>
      <c r="G290" t="s">
        <v>569</v>
      </c>
    </row>
    <row r="291" spans="1:7" x14ac:dyDescent="0.2">
      <c r="A291" t="s">
        <v>277</v>
      </c>
      <c r="B291" t="s">
        <v>457</v>
      </c>
      <c r="C291" t="s">
        <v>501</v>
      </c>
      <c r="E291" t="s">
        <v>501</v>
      </c>
      <c r="F291" t="s">
        <v>564</v>
      </c>
      <c r="G291" t="s">
        <v>571</v>
      </c>
    </row>
    <row r="292" spans="1:7" x14ac:dyDescent="0.2">
      <c r="A292" t="s">
        <v>263</v>
      </c>
      <c r="B292" t="s">
        <v>458</v>
      </c>
      <c r="C292" t="s">
        <v>476</v>
      </c>
      <c r="E292" t="s">
        <v>476</v>
      </c>
      <c r="F292" t="s">
        <v>565</v>
      </c>
      <c r="G292" t="s">
        <v>580</v>
      </c>
    </row>
    <row r="293" spans="1:7" x14ac:dyDescent="0.2">
      <c r="A293" t="s">
        <v>316</v>
      </c>
      <c r="B293" t="s">
        <v>459</v>
      </c>
      <c r="C293" t="s">
        <v>478</v>
      </c>
      <c r="E293" t="s">
        <v>478</v>
      </c>
      <c r="F293" t="s">
        <v>557</v>
      </c>
      <c r="G293" t="s">
        <v>569</v>
      </c>
    </row>
    <row r="294" spans="1:7" x14ac:dyDescent="0.2">
      <c r="A294" t="s">
        <v>317</v>
      </c>
      <c r="B294" t="s">
        <v>460</v>
      </c>
      <c r="C294" t="s">
        <v>478</v>
      </c>
      <c r="E294" t="s">
        <v>478</v>
      </c>
      <c r="F294" t="s">
        <v>560</v>
      </c>
      <c r="G294" t="s">
        <v>569</v>
      </c>
    </row>
    <row r="295" spans="1:7" x14ac:dyDescent="0.2">
      <c r="A295" t="s">
        <v>318</v>
      </c>
      <c r="B295" t="s">
        <v>461</v>
      </c>
      <c r="C295" t="s">
        <v>478</v>
      </c>
      <c r="E295" t="s">
        <v>478</v>
      </c>
      <c r="F295" t="s">
        <v>561</v>
      </c>
      <c r="G295" t="s">
        <v>574</v>
      </c>
    </row>
    <row r="296" spans="1:7" x14ac:dyDescent="0.2">
      <c r="A296" t="s">
        <v>319</v>
      </c>
      <c r="B296" t="s">
        <v>462</v>
      </c>
      <c r="C296" t="s">
        <v>482</v>
      </c>
      <c r="E296" t="s">
        <v>482</v>
      </c>
      <c r="F296" t="s">
        <v>526</v>
      </c>
      <c r="G296" t="s">
        <v>580</v>
      </c>
    </row>
    <row r="297" spans="1:7" x14ac:dyDescent="0.2">
      <c r="A297" t="s">
        <v>320</v>
      </c>
      <c r="B297" t="s">
        <v>463</v>
      </c>
      <c r="C297" t="s">
        <v>488</v>
      </c>
      <c r="E297" t="s">
        <v>488</v>
      </c>
      <c r="F297" t="s">
        <v>562</v>
      </c>
      <c r="G297" t="s">
        <v>580</v>
      </c>
    </row>
    <row r="298" spans="1:7" x14ac:dyDescent="0.2">
      <c r="A298" t="s">
        <v>319</v>
      </c>
      <c r="B298" t="s">
        <v>464</v>
      </c>
      <c r="C298" t="s">
        <v>482</v>
      </c>
      <c r="E298" t="s">
        <v>482</v>
      </c>
      <c r="F298" t="s">
        <v>563</v>
      </c>
      <c r="G298" t="s">
        <v>580</v>
      </c>
    </row>
    <row r="299" spans="1:7" x14ac:dyDescent="0.2">
      <c r="A299" t="s">
        <v>319</v>
      </c>
      <c r="B299" t="s">
        <v>465</v>
      </c>
      <c r="C299" t="s">
        <v>481</v>
      </c>
      <c r="E299" t="s">
        <v>481</v>
      </c>
      <c r="F299" t="s">
        <v>526</v>
      </c>
      <c r="G299" t="s">
        <v>580</v>
      </c>
    </row>
    <row r="300" spans="1:7" x14ac:dyDescent="0.2">
      <c r="A300" t="s">
        <v>321</v>
      </c>
      <c r="B300" t="s">
        <v>466</v>
      </c>
      <c r="C300" t="s">
        <v>488</v>
      </c>
      <c r="E300" t="s">
        <v>488</v>
      </c>
      <c r="F300" t="s">
        <v>547</v>
      </c>
      <c r="G300" t="s">
        <v>574</v>
      </c>
    </row>
    <row r="301" spans="1:7" x14ac:dyDescent="0.2">
      <c r="A301" t="s">
        <v>322</v>
      </c>
      <c r="B301" t="s">
        <v>467</v>
      </c>
      <c r="C301" t="s">
        <v>482</v>
      </c>
      <c r="E301" t="s">
        <v>482</v>
      </c>
      <c r="F301" t="s">
        <v>566</v>
      </c>
      <c r="G301" t="s">
        <v>574</v>
      </c>
    </row>
    <row r="302" spans="1:7" x14ac:dyDescent="0.2">
      <c r="A302" t="s">
        <v>283</v>
      </c>
      <c r="B302" t="s">
        <v>468</v>
      </c>
      <c r="C302" t="s">
        <v>478</v>
      </c>
      <c r="E302" t="s">
        <v>478</v>
      </c>
      <c r="F302" t="s">
        <v>524</v>
      </c>
      <c r="G302" t="s">
        <v>581</v>
      </c>
    </row>
    <row r="303" spans="1:7" x14ac:dyDescent="0.2">
      <c r="A303" t="s">
        <v>275</v>
      </c>
      <c r="B303" t="s">
        <v>469</v>
      </c>
      <c r="C303" t="s">
        <v>478</v>
      </c>
      <c r="E303" t="s">
        <v>478</v>
      </c>
      <c r="F303" t="s">
        <v>530</v>
      </c>
      <c r="G303" t="s">
        <v>581</v>
      </c>
    </row>
    <row r="304" spans="1:7" x14ac:dyDescent="0.2">
      <c r="A304" t="s">
        <v>275</v>
      </c>
      <c r="B304" t="s">
        <v>470</v>
      </c>
      <c r="C304" t="s">
        <v>478</v>
      </c>
      <c r="E304" t="s">
        <v>478</v>
      </c>
      <c r="F304" t="s">
        <v>530</v>
      </c>
      <c r="G304" t="s">
        <v>581</v>
      </c>
    </row>
    <row r="305" spans="1:7" x14ac:dyDescent="0.2">
      <c r="A305" t="s">
        <v>275</v>
      </c>
      <c r="B305" t="s">
        <v>471</v>
      </c>
      <c r="C305" t="s">
        <v>478</v>
      </c>
      <c r="E305" t="s">
        <v>478</v>
      </c>
      <c r="F305" t="s">
        <v>530</v>
      </c>
      <c r="G305" t="s">
        <v>581</v>
      </c>
    </row>
    <row r="306" spans="1:7" x14ac:dyDescent="0.2">
      <c r="A306" t="s">
        <v>275</v>
      </c>
      <c r="B306" t="s">
        <v>472</v>
      </c>
      <c r="C306" t="s">
        <v>478</v>
      </c>
      <c r="E306" t="s">
        <v>478</v>
      </c>
      <c r="F306" t="s">
        <v>530</v>
      </c>
      <c r="G306" t="s">
        <v>581</v>
      </c>
    </row>
    <row r="307" spans="1:7" x14ac:dyDescent="0.2">
      <c r="A307" t="s">
        <v>286</v>
      </c>
      <c r="B307" t="s">
        <v>473</v>
      </c>
      <c r="C307" t="s">
        <v>486</v>
      </c>
      <c r="E307" t="s">
        <v>486</v>
      </c>
      <c r="F307" t="s">
        <v>542</v>
      </c>
      <c r="G307" t="s">
        <v>580</v>
      </c>
    </row>
    <row r="308" spans="1:7" x14ac:dyDescent="0.2">
      <c r="A308" t="s">
        <v>286</v>
      </c>
      <c r="B308" t="s">
        <v>474</v>
      </c>
      <c r="C308" t="s">
        <v>486</v>
      </c>
      <c r="E308" t="s">
        <v>486</v>
      </c>
      <c r="F308" t="s">
        <v>542</v>
      </c>
      <c r="G308" t="s">
        <v>580</v>
      </c>
    </row>
    <row r="309" spans="1:7" x14ac:dyDescent="0.2">
      <c r="A309" t="s">
        <v>289</v>
      </c>
      <c r="B309" t="s">
        <v>475</v>
      </c>
      <c r="C309" t="s">
        <v>478</v>
      </c>
      <c r="E309" t="s">
        <v>478</v>
      </c>
      <c r="F309" t="s">
        <v>559</v>
      </c>
      <c r="G309" t="s">
        <v>574</v>
      </c>
    </row>
    <row r="310" spans="1:7" x14ac:dyDescent="0.2">
      <c r="A310" t="s">
        <v>302</v>
      </c>
      <c r="B310" t="s">
        <v>302</v>
      </c>
      <c r="C310" t="s">
        <v>478</v>
      </c>
      <c r="E310" t="s">
        <v>478</v>
      </c>
      <c r="F310" t="s">
        <v>567</v>
      </c>
      <c r="G310" t="s">
        <v>579</v>
      </c>
    </row>
    <row r="311" spans="1:7" x14ac:dyDescent="0.2">
      <c r="A311" t="s">
        <v>323</v>
      </c>
      <c r="B311" t="s">
        <v>302</v>
      </c>
      <c r="C311" t="s">
        <v>478</v>
      </c>
      <c r="E311" t="s">
        <v>478</v>
      </c>
      <c r="F311" t="s">
        <v>568</v>
      </c>
      <c r="G311" t="s">
        <v>569</v>
      </c>
    </row>
    <row r="312" spans="1:7" x14ac:dyDescent="0.2">
      <c r="A312" t="s">
        <v>263</v>
      </c>
      <c r="B312" t="s">
        <v>324</v>
      </c>
      <c r="C312" t="s">
        <v>476</v>
      </c>
      <c r="E312" t="s">
        <v>478</v>
      </c>
      <c r="F312" t="s">
        <v>515</v>
      </c>
      <c r="G312" t="s">
        <v>319</v>
      </c>
    </row>
    <row r="313" spans="1:7" x14ac:dyDescent="0.2">
      <c r="A313" t="s">
        <v>264</v>
      </c>
      <c r="B313" t="s">
        <v>325</v>
      </c>
      <c r="C313" t="s">
        <v>477</v>
      </c>
      <c r="E313" t="s">
        <v>477</v>
      </c>
      <c r="F313" t="s">
        <v>516</v>
      </c>
      <c r="G313" t="s">
        <v>569</v>
      </c>
    </row>
    <row r="314" spans="1:7" x14ac:dyDescent="0.2">
      <c r="A314" t="s">
        <v>265</v>
      </c>
      <c r="B314" t="s">
        <v>326</v>
      </c>
      <c r="C314" t="s">
        <v>478</v>
      </c>
      <c r="E314" t="s">
        <v>478</v>
      </c>
      <c r="F314" t="s">
        <v>517</v>
      </c>
      <c r="G314" t="s">
        <v>570</v>
      </c>
    </row>
    <row r="315" spans="1:7" x14ac:dyDescent="0.2">
      <c r="A315" t="s">
        <v>266</v>
      </c>
      <c r="B315" t="s">
        <v>327</v>
      </c>
      <c r="C315" t="s">
        <v>479</v>
      </c>
      <c r="E315" t="s">
        <v>479</v>
      </c>
      <c r="F315" t="s">
        <v>518</v>
      </c>
      <c r="G315" t="s">
        <v>571</v>
      </c>
    </row>
    <row r="316" spans="1:7" x14ac:dyDescent="0.2">
      <c r="A316" t="s">
        <v>267</v>
      </c>
      <c r="B316" t="s">
        <v>328</v>
      </c>
      <c r="C316" t="s">
        <v>480</v>
      </c>
      <c r="E316" t="s">
        <v>480</v>
      </c>
      <c r="F316" t="s">
        <v>519</v>
      </c>
      <c r="G316" t="s">
        <v>572</v>
      </c>
    </row>
    <row r="317" spans="1:7" x14ac:dyDescent="0.2">
      <c r="A317" t="s">
        <v>268</v>
      </c>
      <c r="B317" t="s">
        <v>329</v>
      </c>
      <c r="C317" t="s">
        <v>478</v>
      </c>
      <c r="E317" t="s">
        <v>478</v>
      </c>
      <c r="F317" t="s">
        <v>520</v>
      </c>
      <c r="G317" t="s">
        <v>571</v>
      </c>
    </row>
    <row r="318" spans="1:7" x14ac:dyDescent="0.2">
      <c r="A318" t="s">
        <v>268</v>
      </c>
      <c r="B318" t="s">
        <v>330</v>
      </c>
      <c r="C318" t="s">
        <v>478</v>
      </c>
      <c r="E318" t="s">
        <v>478</v>
      </c>
      <c r="F318" t="s">
        <v>516</v>
      </c>
      <c r="G318" t="s">
        <v>571</v>
      </c>
    </row>
    <row r="319" spans="1:7" x14ac:dyDescent="0.2">
      <c r="A319" t="s">
        <v>268</v>
      </c>
      <c r="B319" t="s">
        <v>331</v>
      </c>
      <c r="C319" t="s">
        <v>478</v>
      </c>
      <c r="E319" t="s">
        <v>478</v>
      </c>
      <c r="F319" t="s">
        <v>520</v>
      </c>
      <c r="G319" t="s">
        <v>571</v>
      </c>
    </row>
    <row r="320" spans="1:7" x14ac:dyDescent="0.2">
      <c r="A320" t="s">
        <v>269</v>
      </c>
      <c r="B320" t="s">
        <v>332</v>
      </c>
      <c r="C320" t="s">
        <v>481</v>
      </c>
      <c r="E320" t="s">
        <v>481</v>
      </c>
      <c r="F320" t="s">
        <v>521</v>
      </c>
      <c r="G320" t="s">
        <v>573</v>
      </c>
    </row>
    <row r="321" spans="1:7" x14ac:dyDescent="0.2">
      <c r="A321" t="s">
        <v>270</v>
      </c>
      <c r="B321" t="s">
        <v>333</v>
      </c>
      <c r="C321" t="s">
        <v>481</v>
      </c>
      <c r="E321" t="s">
        <v>481</v>
      </c>
      <c r="F321" t="s">
        <v>522</v>
      </c>
      <c r="G321" t="s">
        <v>573</v>
      </c>
    </row>
    <row r="322" spans="1:7" x14ac:dyDescent="0.2">
      <c r="A322" t="s">
        <v>270</v>
      </c>
      <c r="B322" t="s">
        <v>334</v>
      </c>
      <c r="C322" t="s">
        <v>481</v>
      </c>
      <c r="E322" t="s">
        <v>481</v>
      </c>
      <c r="F322" t="s">
        <v>523</v>
      </c>
      <c r="G322" t="s">
        <v>573</v>
      </c>
    </row>
    <row r="323" spans="1:7" x14ac:dyDescent="0.2">
      <c r="A323" t="s">
        <v>271</v>
      </c>
      <c r="B323" t="s">
        <v>335</v>
      </c>
      <c r="C323" t="s">
        <v>478</v>
      </c>
      <c r="E323" t="s">
        <v>478</v>
      </c>
      <c r="F323" t="s">
        <v>524</v>
      </c>
      <c r="G323" t="s">
        <v>574</v>
      </c>
    </row>
    <row r="324" spans="1:7" x14ac:dyDescent="0.2">
      <c r="A324" t="s">
        <v>269</v>
      </c>
      <c r="B324" t="s">
        <v>336</v>
      </c>
      <c r="C324" t="s">
        <v>481</v>
      </c>
      <c r="E324" t="s">
        <v>481</v>
      </c>
      <c r="F324" t="s">
        <v>525</v>
      </c>
      <c r="G324" t="s">
        <v>573</v>
      </c>
    </row>
    <row r="325" spans="1:7" x14ac:dyDescent="0.2">
      <c r="A325" t="s">
        <v>272</v>
      </c>
      <c r="B325" t="s">
        <v>337</v>
      </c>
      <c r="C325" t="s">
        <v>481</v>
      </c>
      <c r="E325" t="s">
        <v>481</v>
      </c>
      <c r="F325" t="s">
        <v>526</v>
      </c>
      <c r="G325" t="s">
        <v>572</v>
      </c>
    </row>
    <row r="326" spans="1:7" x14ac:dyDescent="0.2">
      <c r="A326" t="s">
        <v>272</v>
      </c>
      <c r="B326" t="s">
        <v>338</v>
      </c>
      <c r="C326" t="s">
        <v>481</v>
      </c>
      <c r="E326" t="s">
        <v>481</v>
      </c>
      <c r="F326" t="s">
        <v>527</v>
      </c>
      <c r="G326" t="s">
        <v>572</v>
      </c>
    </row>
    <row r="327" spans="1:7" x14ac:dyDescent="0.2">
      <c r="A327" t="s">
        <v>273</v>
      </c>
      <c r="B327" t="s">
        <v>339</v>
      </c>
      <c r="C327" t="s">
        <v>481</v>
      </c>
      <c r="E327" t="s">
        <v>481</v>
      </c>
      <c r="F327" t="s">
        <v>527</v>
      </c>
      <c r="G327" t="s">
        <v>572</v>
      </c>
    </row>
    <row r="328" spans="1:7" x14ac:dyDescent="0.2">
      <c r="A328" t="s">
        <v>273</v>
      </c>
      <c r="B328" t="s">
        <v>340</v>
      </c>
      <c r="C328" t="s">
        <v>482</v>
      </c>
      <c r="E328" t="s">
        <v>482</v>
      </c>
      <c r="F328" t="s">
        <v>528</v>
      </c>
      <c r="G328" t="s">
        <v>572</v>
      </c>
    </row>
    <row r="329" spans="1:7" x14ac:dyDescent="0.2">
      <c r="A329" t="s">
        <v>273</v>
      </c>
      <c r="B329" t="s">
        <v>341</v>
      </c>
      <c r="C329" t="s">
        <v>481</v>
      </c>
      <c r="E329" t="s">
        <v>481</v>
      </c>
      <c r="F329" t="s">
        <v>527</v>
      </c>
      <c r="G329" t="s">
        <v>572</v>
      </c>
    </row>
    <row r="330" spans="1:7" x14ac:dyDescent="0.2">
      <c r="A330" t="s">
        <v>273</v>
      </c>
      <c r="B330" t="s">
        <v>342</v>
      </c>
      <c r="C330" t="s">
        <v>481</v>
      </c>
      <c r="E330" t="s">
        <v>481</v>
      </c>
      <c r="F330" t="s">
        <v>526</v>
      </c>
      <c r="G330" t="s">
        <v>572</v>
      </c>
    </row>
    <row r="331" spans="1:7" x14ac:dyDescent="0.2">
      <c r="A331" t="s">
        <v>274</v>
      </c>
      <c r="B331" t="s">
        <v>343</v>
      </c>
      <c r="C331" t="s">
        <v>483</v>
      </c>
      <c r="E331" t="s">
        <v>483</v>
      </c>
      <c r="F331" t="s">
        <v>529</v>
      </c>
      <c r="G331" t="s">
        <v>575</v>
      </c>
    </row>
    <row r="332" spans="1:7" x14ac:dyDescent="0.2">
      <c r="A332" t="s">
        <v>275</v>
      </c>
      <c r="B332" t="s">
        <v>344</v>
      </c>
      <c r="C332" t="s">
        <v>478</v>
      </c>
      <c r="E332" t="s">
        <v>477</v>
      </c>
      <c r="F332" t="s">
        <v>530</v>
      </c>
      <c r="G332" t="s">
        <v>575</v>
      </c>
    </row>
    <row r="333" spans="1:7" x14ac:dyDescent="0.2">
      <c r="A333" t="s">
        <v>275</v>
      </c>
      <c r="B333" t="s">
        <v>345</v>
      </c>
      <c r="C333" t="s">
        <v>478</v>
      </c>
      <c r="E333" t="s">
        <v>477</v>
      </c>
      <c r="F333" t="s">
        <v>530</v>
      </c>
      <c r="G333" t="s">
        <v>575</v>
      </c>
    </row>
    <row r="334" spans="1:7" x14ac:dyDescent="0.2">
      <c r="A334" t="s">
        <v>275</v>
      </c>
      <c r="B334" t="s">
        <v>346</v>
      </c>
      <c r="C334" t="s">
        <v>478</v>
      </c>
      <c r="E334" t="s">
        <v>477</v>
      </c>
      <c r="F334" t="s">
        <v>530</v>
      </c>
      <c r="G334" t="s">
        <v>575</v>
      </c>
    </row>
    <row r="335" spans="1:7" x14ac:dyDescent="0.2">
      <c r="A335" t="s">
        <v>275</v>
      </c>
      <c r="B335" t="s">
        <v>347</v>
      </c>
      <c r="C335" t="s">
        <v>478</v>
      </c>
      <c r="E335" t="s">
        <v>477</v>
      </c>
      <c r="F335" t="s">
        <v>530</v>
      </c>
      <c r="G335" t="s">
        <v>575</v>
      </c>
    </row>
    <row r="336" spans="1:7" x14ac:dyDescent="0.2">
      <c r="A336" t="s">
        <v>275</v>
      </c>
      <c r="B336" t="s">
        <v>348</v>
      </c>
      <c r="C336" t="s">
        <v>478</v>
      </c>
      <c r="E336" t="s">
        <v>477</v>
      </c>
      <c r="F336" t="s">
        <v>530</v>
      </c>
      <c r="G336" t="s">
        <v>575</v>
      </c>
    </row>
    <row r="337" spans="1:7" x14ac:dyDescent="0.2">
      <c r="A337" t="s">
        <v>275</v>
      </c>
      <c r="B337" t="s">
        <v>349</v>
      </c>
      <c r="C337" t="s">
        <v>478</v>
      </c>
      <c r="E337" t="s">
        <v>477</v>
      </c>
      <c r="F337" t="s">
        <v>530</v>
      </c>
      <c r="G337" t="s">
        <v>575</v>
      </c>
    </row>
    <row r="338" spans="1:7" x14ac:dyDescent="0.2">
      <c r="A338" t="s">
        <v>275</v>
      </c>
      <c r="B338" t="s">
        <v>350</v>
      </c>
      <c r="C338" t="s">
        <v>478</v>
      </c>
      <c r="E338" t="s">
        <v>477</v>
      </c>
      <c r="F338" t="s">
        <v>530</v>
      </c>
      <c r="G338" t="s">
        <v>575</v>
      </c>
    </row>
    <row r="339" spans="1:7" x14ac:dyDescent="0.2">
      <c r="A339" t="s">
        <v>275</v>
      </c>
      <c r="B339" t="s">
        <v>351</v>
      </c>
      <c r="C339" t="s">
        <v>478</v>
      </c>
      <c r="E339" t="s">
        <v>477</v>
      </c>
      <c r="F339" t="s">
        <v>530</v>
      </c>
      <c r="G339" t="s">
        <v>575</v>
      </c>
    </row>
    <row r="340" spans="1:7" x14ac:dyDescent="0.2">
      <c r="A340" t="s">
        <v>275</v>
      </c>
      <c r="B340" t="s">
        <v>352</v>
      </c>
      <c r="C340" t="s">
        <v>478</v>
      </c>
      <c r="E340" t="s">
        <v>477</v>
      </c>
      <c r="F340" t="s">
        <v>530</v>
      </c>
      <c r="G340" t="s">
        <v>575</v>
      </c>
    </row>
    <row r="341" spans="1:7" x14ac:dyDescent="0.2">
      <c r="A341" t="s">
        <v>264</v>
      </c>
      <c r="B341" t="s">
        <v>353</v>
      </c>
      <c r="C341" t="s">
        <v>478</v>
      </c>
      <c r="E341" t="s">
        <v>477</v>
      </c>
      <c r="F341" t="s">
        <v>516</v>
      </c>
      <c r="G341" t="s">
        <v>575</v>
      </c>
    </row>
    <row r="342" spans="1:7" x14ac:dyDescent="0.2">
      <c r="A342" t="s">
        <v>276</v>
      </c>
      <c r="B342" t="s">
        <v>354</v>
      </c>
      <c r="C342" t="s">
        <v>484</v>
      </c>
      <c r="E342" t="s">
        <v>484</v>
      </c>
      <c r="F342" t="s">
        <v>531</v>
      </c>
      <c r="G342" t="s">
        <v>575</v>
      </c>
    </row>
    <row r="343" spans="1:7" x14ac:dyDescent="0.2">
      <c r="A343" t="s">
        <v>275</v>
      </c>
      <c r="B343" t="s">
        <v>355</v>
      </c>
      <c r="C343" t="s">
        <v>478</v>
      </c>
      <c r="E343" t="s">
        <v>477</v>
      </c>
      <c r="F343" t="s">
        <v>530</v>
      </c>
      <c r="G343" t="s">
        <v>575</v>
      </c>
    </row>
    <row r="344" spans="1:7" x14ac:dyDescent="0.2">
      <c r="A344" t="s">
        <v>275</v>
      </c>
      <c r="B344" t="s">
        <v>356</v>
      </c>
      <c r="C344" t="s">
        <v>478</v>
      </c>
      <c r="E344" t="s">
        <v>477</v>
      </c>
      <c r="F344" t="s">
        <v>530</v>
      </c>
      <c r="G344" t="s">
        <v>575</v>
      </c>
    </row>
    <row r="345" spans="1:7" x14ac:dyDescent="0.2">
      <c r="A345" t="s">
        <v>275</v>
      </c>
      <c r="B345" t="s">
        <v>357</v>
      </c>
      <c r="C345" t="s">
        <v>478</v>
      </c>
      <c r="E345" t="s">
        <v>477</v>
      </c>
      <c r="F345" t="s">
        <v>530</v>
      </c>
      <c r="G345" t="s">
        <v>575</v>
      </c>
    </row>
    <row r="346" spans="1:7" x14ac:dyDescent="0.2">
      <c r="A346" t="s">
        <v>275</v>
      </c>
      <c r="B346" t="s">
        <v>358</v>
      </c>
      <c r="C346" t="s">
        <v>478</v>
      </c>
      <c r="E346" t="s">
        <v>477</v>
      </c>
      <c r="F346" t="s">
        <v>530</v>
      </c>
      <c r="G346" t="s">
        <v>575</v>
      </c>
    </row>
    <row r="347" spans="1:7" x14ac:dyDescent="0.2">
      <c r="A347" t="s">
        <v>275</v>
      </c>
      <c r="B347" t="s">
        <v>359</v>
      </c>
      <c r="C347" t="s">
        <v>478</v>
      </c>
      <c r="E347" t="s">
        <v>477</v>
      </c>
      <c r="F347" t="s">
        <v>530</v>
      </c>
      <c r="G347" t="s">
        <v>575</v>
      </c>
    </row>
    <row r="348" spans="1:7" x14ac:dyDescent="0.2">
      <c r="A348" t="s">
        <v>275</v>
      </c>
      <c r="B348" t="s">
        <v>360</v>
      </c>
      <c r="C348" t="s">
        <v>478</v>
      </c>
      <c r="E348" t="s">
        <v>477</v>
      </c>
      <c r="F348" t="s">
        <v>530</v>
      </c>
      <c r="G348" t="s">
        <v>575</v>
      </c>
    </row>
    <row r="349" spans="1:7" x14ac:dyDescent="0.2">
      <c r="A349" t="s">
        <v>264</v>
      </c>
      <c r="B349" t="s">
        <v>361</v>
      </c>
      <c r="C349" t="s">
        <v>478</v>
      </c>
      <c r="E349" t="s">
        <v>477</v>
      </c>
      <c r="F349" t="s">
        <v>516</v>
      </c>
      <c r="G349" t="s">
        <v>575</v>
      </c>
    </row>
    <row r="350" spans="1:7" x14ac:dyDescent="0.2">
      <c r="A350" t="s">
        <v>265</v>
      </c>
      <c r="B350" t="s">
        <v>362</v>
      </c>
      <c r="C350" t="s">
        <v>478</v>
      </c>
      <c r="E350" t="s">
        <v>491</v>
      </c>
      <c r="F350" t="s">
        <v>532</v>
      </c>
      <c r="G350" t="s">
        <v>570</v>
      </c>
    </row>
    <row r="351" spans="1:7" x14ac:dyDescent="0.2">
      <c r="A351" t="s">
        <v>277</v>
      </c>
      <c r="B351" t="s">
        <v>363</v>
      </c>
      <c r="C351" t="s">
        <v>485</v>
      </c>
      <c r="E351" t="s">
        <v>485</v>
      </c>
      <c r="F351" t="s">
        <v>525</v>
      </c>
      <c r="G351" t="s">
        <v>571</v>
      </c>
    </row>
    <row r="352" spans="1:7" x14ac:dyDescent="0.2">
      <c r="A352" t="s">
        <v>267</v>
      </c>
      <c r="B352" t="s">
        <v>364</v>
      </c>
      <c r="C352" t="s">
        <v>480</v>
      </c>
      <c r="E352" t="s">
        <v>480</v>
      </c>
      <c r="F352" t="s">
        <v>533</v>
      </c>
      <c r="G352" t="s">
        <v>572</v>
      </c>
    </row>
    <row r="353" spans="1:7" x14ac:dyDescent="0.2">
      <c r="A353" t="s">
        <v>278</v>
      </c>
      <c r="B353" t="s">
        <v>365</v>
      </c>
      <c r="C353" t="s">
        <v>486</v>
      </c>
      <c r="E353" t="s">
        <v>486</v>
      </c>
      <c r="F353" t="s">
        <v>534</v>
      </c>
      <c r="G353" t="s">
        <v>573</v>
      </c>
    </row>
    <row r="354" spans="1:7" x14ac:dyDescent="0.2">
      <c r="A354" t="s">
        <v>278</v>
      </c>
      <c r="B354" t="s">
        <v>366</v>
      </c>
      <c r="C354" t="s">
        <v>486</v>
      </c>
      <c r="E354" t="s">
        <v>486</v>
      </c>
      <c r="F354" t="s">
        <v>534</v>
      </c>
      <c r="G354" t="s">
        <v>573</v>
      </c>
    </row>
    <row r="355" spans="1:7" x14ac:dyDescent="0.2">
      <c r="A355" t="s">
        <v>279</v>
      </c>
      <c r="B355" t="s">
        <v>367</v>
      </c>
      <c r="C355" t="s">
        <v>487</v>
      </c>
      <c r="E355" t="s">
        <v>487</v>
      </c>
      <c r="F355" t="s">
        <v>535</v>
      </c>
      <c r="G355" t="s">
        <v>573</v>
      </c>
    </row>
    <row r="356" spans="1:7" x14ac:dyDescent="0.2">
      <c r="A356" t="s">
        <v>279</v>
      </c>
      <c r="B356" t="s">
        <v>368</v>
      </c>
      <c r="C356" t="s">
        <v>487</v>
      </c>
      <c r="E356" t="s">
        <v>487</v>
      </c>
      <c r="F356" t="s">
        <v>527</v>
      </c>
      <c r="G356" t="s">
        <v>573</v>
      </c>
    </row>
    <row r="357" spans="1:7" x14ac:dyDescent="0.2">
      <c r="A357" t="s">
        <v>280</v>
      </c>
      <c r="B357" t="s">
        <v>369</v>
      </c>
      <c r="C357" t="s">
        <v>482</v>
      </c>
      <c r="E357" t="s">
        <v>482</v>
      </c>
      <c r="F357" t="s">
        <v>526</v>
      </c>
      <c r="G357" t="s">
        <v>572</v>
      </c>
    </row>
    <row r="358" spans="1:7" x14ac:dyDescent="0.2">
      <c r="A358" t="s">
        <v>280</v>
      </c>
      <c r="B358" t="s">
        <v>370</v>
      </c>
      <c r="C358" t="s">
        <v>482</v>
      </c>
      <c r="E358" t="s">
        <v>482</v>
      </c>
      <c r="F358" t="s">
        <v>527</v>
      </c>
      <c r="G358" t="s">
        <v>572</v>
      </c>
    </row>
    <row r="359" spans="1:7" x14ac:dyDescent="0.2">
      <c r="A359" t="s">
        <v>272</v>
      </c>
      <c r="B359" t="s">
        <v>371</v>
      </c>
      <c r="C359" t="s">
        <v>482</v>
      </c>
      <c r="E359" t="s">
        <v>482</v>
      </c>
      <c r="F359" t="s">
        <v>527</v>
      </c>
      <c r="G359" t="s">
        <v>572</v>
      </c>
    </row>
    <row r="360" spans="1:7" x14ac:dyDescent="0.2">
      <c r="A360" t="s">
        <v>272</v>
      </c>
      <c r="B360" t="s">
        <v>372</v>
      </c>
      <c r="C360" t="s">
        <v>488</v>
      </c>
      <c r="E360" t="s">
        <v>488</v>
      </c>
      <c r="F360" t="s">
        <v>528</v>
      </c>
      <c r="G360" t="s">
        <v>572</v>
      </c>
    </row>
    <row r="361" spans="1:7" x14ac:dyDescent="0.2">
      <c r="A361" t="s">
        <v>281</v>
      </c>
      <c r="B361" t="s">
        <v>373</v>
      </c>
      <c r="C361" t="s">
        <v>482</v>
      </c>
      <c r="E361" t="s">
        <v>482</v>
      </c>
      <c r="F361" t="s">
        <v>527</v>
      </c>
      <c r="G361" t="s">
        <v>572</v>
      </c>
    </row>
    <row r="362" spans="1:7" x14ac:dyDescent="0.2">
      <c r="A362" t="s">
        <v>273</v>
      </c>
      <c r="B362" t="s">
        <v>374</v>
      </c>
      <c r="C362" t="s">
        <v>481</v>
      </c>
      <c r="E362" t="s">
        <v>481</v>
      </c>
      <c r="F362" t="s">
        <v>526</v>
      </c>
      <c r="G362" t="s">
        <v>572</v>
      </c>
    </row>
    <row r="363" spans="1:7" x14ac:dyDescent="0.2">
      <c r="A363" t="s">
        <v>282</v>
      </c>
      <c r="B363" t="s">
        <v>375</v>
      </c>
      <c r="C363" t="s">
        <v>489</v>
      </c>
      <c r="E363" t="s">
        <v>489</v>
      </c>
      <c r="F363" t="s">
        <v>526</v>
      </c>
      <c r="G363" t="s">
        <v>572</v>
      </c>
    </row>
    <row r="364" spans="1:7" x14ac:dyDescent="0.2">
      <c r="A364" t="s">
        <v>283</v>
      </c>
      <c r="B364" t="s">
        <v>376</v>
      </c>
      <c r="C364" t="s">
        <v>490</v>
      </c>
      <c r="E364" t="s">
        <v>478</v>
      </c>
      <c r="F364" t="s">
        <v>536</v>
      </c>
      <c r="G364" t="s">
        <v>575</v>
      </c>
    </row>
    <row r="365" spans="1:7" x14ac:dyDescent="0.2">
      <c r="A365" t="s">
        <v>275</v>
      </c>
      <c r="B365" t="s">
        <v>377</v>
      </c>
      <c r="C365" t="s">
        <v>478</v>
      </c>
      <c r="E365" t="s">
        <v>477</v>
      </c>
      <c r="F365" t="s">
        <v>537</v>
      </c>
      <c r="G365" t="s">
        <v>575</v>
      </c>
    </row>
    <row r="366" spans="1:7" x14ac:dyDescent="0.2">
      <c r="A366" t="s">
        <v>275</v>
      </c>
      <c r="B366" t="s">
        <v>378</v>
      </c>
      <c r="C366" t="s">
        <v>478</v>
      </c>
      <c r="E366" t="s">
        <v>477</v>
      </c>
      <c r="F366" t="s">
        <v>538</v>
      </c>
      <c r="G366" t="s">
        <v>575</v>
      </c>
    </row>
    <row r="367" spans="1:7" x14ac:dyDescent="0.2">
      <c r="A367" t="s">
        <v>275</v>
      </c>
      <c r="B367" t="s">
        <v>379</v>
      </c>
      <c r="C367" t="s">
        <v>478</v>
      </c>
      <c r="E367" t="s">
        <v>477</v>
      </c>
      <c r="F367" t="s">
        <v>538</v>
      </c>
      <c r="G367" t="s">
        <v>575</v>
      </c>
    </row>
    <row r="368" spans="1:7" x14ac:dyDescent="0.2">
      <c r="A368" t="s">
        <v>275</v>
      </c>
      <c r="B368" t="s">
        <v>380</v>
      </c>
      <c r="C368" t="s">
        <v>478</v>
      </c>
      <c r="E368" t="s">
        <v>477</v>
      </c>
      <c r="F368" t="s">
        <v>530</v>
      </c>
      <c r="G368" t="s">
        <v>575</v>
      </c>
    </row>
    <row r="369" spans="1:7" x14ac:dyDescent="0.2">
      <c r="A369" t="s">
        <v>275</v>
      </c>
      <c r="B369" t="s">
        <v>381</v>
      </c>
      <c r="C369" t="s">
        <v>478</v>
      </c>
      <c r="E369" t="s">
        <v>477</v>
      </c>
      <c r="F369" t="s">
        <v>530</v>
      </c>
      <c r="G369" t="s">
        <v>575</v>
      </c>
    </row>
    <row r="370" spans="1:7" x14ac:dyDescent="0.2">
      <c r="A370" t="s">
        <v>275</v>
      </c>
      <c r="B370" t="s">
        <v>382</v>
      </c>
      <c r="C370" t="s">
        <v>478</v>
      </c>
      <c r="E370" t="s">
        <v>477</v>
      </c>
      <c r="F370" t="s">
        <v>530</v>
      </c>
      <c r="G370" t="s">
        <v>575</v>
      </c>
    </row>
    <row r="371" spans="1:7" x14ac:dyDescent="0.2">
      <c r="A371" t="s">
        <v>275</v>
      </c>
      <c r="B371" t="s">
        <v>383</v>
      </c>
      <c r="C371" t="s">
        <v>478</v>
      </c>
      <c r="E371" t="s">
        <v>477</v>
      </c>
      <c r="F371" t="s">
        <v>530</v>
      </c>
      <c r="G371" t="s">
        <v>575</v>
      </c>
    </row>
    <row r="372" spans="1:7" x14ac:dyDescent="0.2">
      <c r="A372" t="s">
        <v>264</v>
      </c>
      <c r="B372" t="s">
        <v>384</v>
      </c>
      <c r="C372" t="s">
        <v>478</v>
      </c>
      <c r="E372" t="s">
        <v>477</v>
      </c>
      <c r="F372" t="s">
        <v>516</v>
      </c>
      <c r="G372" t="s">
        <v>575</v>
      </c>
    </row>
    <row r="373" spans="1:7" x14ac:dyDescent="0.2">
      <c r="A373" t="s">
        <v>284</v>
      </c>
      <c r="B373" t="s">
        <v>385</v>
      </c>
      <c r="C373" t="s">
        <v>477</v>
      </c>
      <c r="E373" t="s">
        <v>477</v>
      </c>
      <c r="F373" t="s">
        <v>539</v>
      </c>
      <c r="G373" t="s">
        <v>570</v>
      </c>
    </row>
    <row r="374" spans="1:7" x14ac:dyDescent="0.2">
      <c r="A374" t="s">
        <v>285</v>
      </c>
      <c r="B374" t="s">
        <v>386</v>
      </c>
      <c r="C374" t="s">
        <v>477</v>
      </c>
      <c r="E374" t="s">
        <v>477</v>
      </c>
      <c r="F374" t="s">
        <v>531</v>
      </c>
      <c r="G374" t="s">
        <v>570</v>
      </c>
    </row>
    <row r="375" spans="1:7" x14ac:dyDescent="0.2">
      <c r="A375" t="s">
        <v>286</v>
      </c>
      <c r="B375" t="s">
        <v>387</v>
      </c>
      <c r="C375" t="s">
        <v>486</v>
      </c>
      <c r="E375" t="s">
        <v>486</v>
      </c>
      <c r="F375" t="s">
        <v>540</v>
      </c>
      <c r="G375" t="s">
        <v>572</v>
      </c>
    </row>
    <row r="376" spans="1:7" x14ac:dyDescent="0.2">
      <c r="A376" t="s">
        <v>286</v>
      </c>
      <c r="B376" t="s">
        <v>388</v>
      </c>
      <c r="C376" t="s">
        <v>491</v>
      </c>
      <c r="E376" t="s">
        <v>491</v>
      </c>
      <c r="F376" t="s">
        <v>524</v>
      </c>
      <c r="G376" t="s">
        <v>573</v>
      </c>
    </row>
    <row r="377" spans="1:7" x14ac:dyDescent="0.2">
      <c r="A377" t="s">
        <v>286</v>
      </c>
      <c r="B377" t="s">
        <v>389</v>
      </c>
      <c r="C377" t="s">
        <v>491</v>
      </c>
      <c r="E377" t="s">
        <v>491</v>
      </c>
      <c r="F377" t="s">
        <v>524</v>
      </c>
      <c r="G377" t="s">
        <v>573</v>
      </c>
    </row>
    <row r="378" spans="1:7" x14ac:dyDescent="0.2">
      <c r="A378" t="s">
        <v>286</v>
      </c>
      <c r="B378" t="s">
        <v>390</v>
      </c>
      <c r="C378" t="s">
        <v>491</v>
      </c>
      <c r="E378" t="s">
        <v>491</v>
      </c>
      <c r="F378" t="s">
        <v>524</v>
      </c>
      <c r="G378" t="s">
        <v>573</v>
      </c>
    </row>
    <row r="379" spans="1:7" x14ac:dyDescent="0.2">
      <c r="A379" t="s">
        <v>286</v>
      </c>
      <c r="B379" t="s">
        <v>391</v>
      </c>
      <c r="C379" t="s">
        <v>491</v>
      </c>
      <c r="E379" t="s">
        <v>491</v>
      </c>
      <c r="F379" t="s">
        <v>524</v>
      </c>
      <c r="G379" t="s">
        <v>573</v>
      </c>
    </row>
    <row r="380" spans="1:7" x14ac:dyDescent="0.2">
      <c r="A380" t="s">
        <v>286</v>
      </c>
      <c r="B380" t="s">
        <v>392</v>
      </c>
      <c r="C380" t="s">
        <v>491</v>
      </c>
      <c r="E380" t="s">
        <v>491</v>
      </c>
      <c r="F380" t="s">
        <v>524</v>
      </c>
      <c r="G380" t="s">
        <v>573</v>
      </c>
    </row>
    <row r="381" spans="1:7" x14ac:dyDescent="0.2">
      <c r="A381" t="s">
        <v>286</v>
      </c>
      <c r="B381" t="s">
        <v>393</v>
      </c>
      <c r="C381" t="s">
        <v>491</v>
      </c>
      <c r="E381" t="s">
        <v>491</v>
      </c>
      <c r="F381" t="s">
        <v>524</v>
      </c>
      <c r="G381" t="s">
        <v>573</v>
      </c>
    </row>
    <row r="382" spans="1:7" x14ac:dyDescent="0.2">
      <c r="A382" t="s">
        <v>286</v>
      </c>
      <c r="B382" t="s">
        <v>394</v>
      </c>
      <c r="C382" t="s">
        <v>491</v>
      </c>
      <c r="E382" t="s">
        <v>491</v>
      </c>
      <c r="F382" t="s">
        <v>524</v>
      </c>
      <c r="G382" t="s">
        <v>573</v>
      </c>
    </row>
    <row r="383" spans="1:7" x14ac:dyDescent="0.2">
      <c r="A383" t="s">
        <v>286</v>
      </c>
      <c r="B383" t="s">
        <v>394</v>
      </c>
      <c r="C383" t="s">
        <v>491</v>
      </c>
      <c r="E383" t="s">
        <v>491</v>
      </c>
      <c r="F383" t="s">
        <v>524</v>
      </c>
      <c r="G383" t="s">
        <v>573</v>
      </c>
    </row>
    <row r="384" spans="1:7" x14ac:dyDescent="0.2">
      <c r="A384" t="s">
        <v>286</v>
      </c>
      <c r="B384" t="s">
        <v>395</v>
      </c>
      <c r="C384" t="s">
        <v>491</v>
      </c>
      <c r="E384" t="s">
        <v>491</v>
      </c>
      <c r="F384" t="s">
        <v>524</v>
      </c>
      <c r="G384" t="s">
        <v>573</v>
      </c>
    </row>
    <row r="385" spans="1:7" x14ac:dyDescent="0.2">
      <c r="A385" t="s">
        <v>286</v>
      </c>
      <c r="B385" t="s">
        <v>396</v>
      </c>
      <c r="C385" t="s">
        <v>486</v>
      </c>
      <c r="E385" t="s">
        <v>486</v>
      </c>
      <c r="F385" t="s">
        <v>541</v>
      </c>
      <c r="G385" t="s">
        <v>573</v>
      </c>
    </row>
    <row r="386" spans="1:7" x14ac:dyDescent="0.2">
      <c r="A386" t="s">
        <v>286</v>
      </c>
      <c r="B386" t="s">
        <v>397</v>
      </c>
      <c r="C386" t="s">
        <v>486</v>
      </c>
      <c r="E386" t="s">
        <v>486</v>
      </c>
      <c r="F386" t="s">
        <v>541</v>
      </c>
      <c r="G386" t="s">
        <v>573</v>
      </c>
    </row>
    <row r="387" spans="1:7" x14ac:dyDescent="0.2">
      <c r="A387" t="s">
        <v>286</v>
      </c>
      <c r="B387" t="s">
        <v>398</v>
      </c>
      <c r="C387" t="s">
        <v>486</v>
      </c>
      <c r="E387" t="s">
        <v>486</v>
      </c>
      <c r="F387" t="s">
        <v>541</v>
      </c>
      <c r="G387" t="s">
        <v>573</v>
      </c>
    </row>
    <row r="388" spans="1:7" x14ac:dyDescent="0.2">
      <c r="A388" t="s">
        <v>287</v>
      </c>
      <c r="B388" t="s">
        <v>399</v>
      </c>
      <c r="C388" t="s">
        <v>477</v>
      </c>
      <c r="E388" t="s">
        <v>477</v>
      </c>
      <c r="F388" t="s">
        <v>542</v>
      </c>
      <c r="G388" t="s">
        <v>573</v>
      </c>
    </row>
    <row r="389" spans="1:7" x14ac:dyDescent="0.2">
      <c r="A389" t="s">
        <v>288</v>
      </c>
      <c r="B389" t="s">
        <v>400</v>
      </c>
      <c r="C389" t="s">
        <v>477</v>
      </c>
      <c r="E389" t="s">
        <v>477</v>
      </c>
      <c r="F389" t="s">
        <v>543</v>
      </c>
      <c r="G389" t="s">
        <v>573</v>
      </c>
    </row>
    <row r="390" spans="1:7" x14ac:dyDescent="0.2">
      <c r="A390" t="s">
        <v>285</v>
      </c>
      <c r="B390" t="s">
        <v>401</v>
      </c>
      <c r="C390" t="s">
        <v>477</v>
      </c>
      <c r="E390" t="s">
        <v>477</v>
      </c>
      <c r="F390" t="s">
        <v>529</v>
      </c>
      <c r="G390" t="s">
        <v>570</v>
      </c>
    </row>
    <row r="391" spans="1:7" x14ac:dyDescent="0.2">
      <c r="A391" t="s">
        <v>289</v>
      </c>
      <c r="B391" t="s">
        <v>402</v>
      </c>
      <c r="C391" t="s">
        <v>492</v>
      </c>
      <c r="E391" t="s">
        <v>492</v>
      </c>
      <c r="F391" t="s">
        <v>529</v>
      </c>
      <c r="G391" t="s">
        <v>572</v>
      </c>
    </row>
    <row r="392" spans="1:7" x14ac:dyDescent="0.2">
      <c r="A392" t="s">
        <v>289</v>
      </c>
      <c r="B392" t="s">
        <v>403</v>
      </c>
      <c r="C392" t="s">
        <v>492</v>
      </c>
      <c r="E392" t="s">
        <v>492</v>
      </c>
      <c r="F392" t="s">
        <v>543</v>
      </c>
      <c r="G392" t="s">
        <v>572</v>
      </c>
    </row>
    <row r="393" spans="1:7" x14ac:dyDescent="0.2">
      <c r="A393" t="s">
        <v>289</v>
      </c>
      <c r="B393" t="s">
        <v>404</v>
      </c>
      <c r="C393" t="s">
        <v>492</v>
      </c>
      <c r="E393" t="s">
        <v>492</v>
      </c>
      <c r="F393" t="s">
        <v>529</v>
      </c>
      <c r="G393" t="s">
        <v>572</v>
      </c>
    </row>
    <row r="394" spans="1:7" x14ac:dyDescent="0.2">
      <c r="A394" t="s">
        <v>286</v>
      </c>
      <c r="B394" t="s">
        <v>405</v>
      </c>
      <c r="C394" t="s">
        <v>486</v>
      </c>
      <c r="E394" t="s">
        <v>486</v>
      </c>
      <c r="F394" t="s">
        <v>540</v>
      </c>
      <c r="G394" t="s">
        <v>572</v>
      </c>
    </row>
    <row r="395" spans="1:7" x14ac:dyDescent="0.2">
      <c r="A395" t="s">
        <v>286</v>
      </c>
      <c r="B395" t="s">
        <v>406</v>
      </c>
      <c r="C395" t="s">
        <v>486</v>
      </c>
      <c r="E395" t="s">
        <v>486</v>
      </c>
      <c r="F395" t="s">
        <v>536</v>
      </c>
      <c r="G395" t="s">
        <v>572</v>
      </c>
    </row>
    <row r="396" spans="1:7" x14ac:dyDescent="0.2">
      <c r="A396" t="s">
        <v>290</v>
      </c>
      <c r="B396" t="s">
        <v>407</v>
      </c>
      <c r="C396" t="s">
        <v>478</v>
      </c>
      <c r="E396" t="s">
        <v>478</v>
      </c>
      <c r="F396" t="s">
        <v>544</v>
      </c>
      <c r="G396" t="s">
        <v>569</v>
      </c>
    </row>
    <row r="397" spans="1:7" x14ac:dyDescent="0.2">
      <c r="A397" t="s">
        <v>291</v>
      </c>
      <c r="B397" t="s">
        <v>408</v>
      </c>
      <c r="C397" t="s">
        <v>478</v>
      </c>
      <c r="E397" t="s">
        <v>478</v>
      </c>
      <c r="F397" t="s">
        <v>545</v>
      </c>
      <c r="G397" t="s">
        <v>576</v>
      </c>
    </row>
    <row r="398" spans="1:7" x14ac:dyDescent="0.2">
      <c r="A398" t="s">
        <v>292</v>
      </c>
      <c r="B398" t="s">
        <v>409</v>
      </c>
      <c r="C398" t="s">
        <v>478</v>
      </c>
      <c r="E398" t="s">
        <v>478</v>
      </c>
      <c r="F398" t="s">
        <v>546</v>
      </c>
      <c r="G398" t="s">
        <v>576</v>
      </c>
    </row>
    <row r="399" spans="1:7" x14ac:dyDescent="0.2">
      <c r="A399" t="s">
        <v>292</v>
      </c>
      <c r="B399" t="s">
        <v>410</v>
      </c>
      <c r="C399" t="s">
        <v>478</v>
      </c>
      <c r="E399" t="s">
        <v>478</v>
      </c>
      <c r="F399" t="s">
        <v>547</v>
      </c>
      <c r="G399" t="s">
        <v>576</v>
      </c>
    </row>
    <row r="400" spans="1:7" x14ac:dyDescent="0.2">
      <c r="A400" t="s">
        <v>268</v>
      </c>
      <c r="B400" t="s">
        <v>411</v>
      </c>
      <c r="C400" t="s">
        <v>478</v>
      </c>
      <c r="E400" t="s">
        <v>478</v>
      </c>
      <c r="F400" t="s">
        <v>520</v>
      </c>
      <c r="G400" t="s">
        <v>576</v>
      </c>
    </row>
    <row r="401" spans="1:7" x14ac:dyDescent="0.2">
      <c r="A401" t="s">
        <v>293</v>
      </c>
      <c r="B401" t="s">
        <v>412</v>
      </c>
      <c r="C401" t="s">
        <v>478</v>
      </c>
      <c r="E401" t="s">
        <v>478</v>
      </c>
      <c r="F401" t="s">
        <v>536</v>
      </c>
      <c r="G401" t="s">
        <v>571</v>
      </c>
    </row>
    <row r="402" spans="1:7" x14ac:dyDescent="0.2">
      <c r="A402" t="s">
        <v>294</v>
      </c>
      <c r="B402" t="s">
        <v>413</v>
      </c>
      <c r="C402" t="s">
        <v>493</v>
      </c>
      <c r="E402" t="s">
        <v>493</v>
      </c>
      <c r="F402" t="s">
        <v>548</v>
      </c>
      <c r="G402" t="s">
        <v>577</v>
      </c>
    </row>
    <row r="403" spans="1:7" x14ac:dyDescent="0.2">
      <c r="A403" t="s">
        <v>295</v>
      </c>
      <c r="B403" t="s">
        <v>414</v>
      </c>
      <c r="C403" t="s">
        <v>494</v>
      </c>
      <c r="E403" t="s">
        <v>494</v>
      </c>
      <c r="F403" t="s">
        <v>549</v>
      </c>
      <c r="G403" t="s">
        <v>577</v>
      </c>
    </row>
    <row r="404" spans="1:7" x14ac:dyDescent="0.2">
      <c r="A404" t="s">
        <v>296</v>
      </c>
      <c r="B404" t="s">
        <v>415</v>
      </c>
      <c r="C404" t="s">
        <v>494</v>
      </c>
      <c r="E404" t="s">
        <v>494</v>
      </c>
      <c r="F404" t="s">
        <v>550</v>
      </c>
      <c r="G404" t="s">
        <v>577</v>
      </c>
    </row>
    <row r="405" spans="1:7" x14ac:dyDescent="0.2">
      <c r="A405" t="s">
        <v>297</v>
      </c>
      <c r="B405" t="s">
        <v>416</v>
      </c>
      <c r="C405" t="s">
        <v>488</v>
      </c>
      <c r="E405" t="s">
        <v>488</v>
      </c>
      <c r="F405" t="s">
        <v>551</v>
      </c>
      <c r="G405" t="s">
        <v>577</v>
      </c>
    </row>
    <row r="406" spans="1:7" x14ac:dyDescent="0.2">
      <c r="A406" t="s">
        <v>298</v>
      </c>
      <c r="B406" t="s">
        <v>417</v>
      </c>
      <c r="C406" t="s">
        <v>495</v>
      </c>
      <c r="E406" t="s">
        <v>495</v>
      </c>
      <c r="F406" t="s">
        <v>552</v>
      </c>
      <c r="G406" t="s">
        <v>577</v>
      </c>
    </row>
    <row r="407" spans="1:7" x14ac:dyDescent="0.2">
      <c r="A407" t="s">
        <v>299</v>
      </c>
      <c r="B407" t="s">
        <v>418</v>
      </c>
      <c r="C407" t="s">
        <v>496</v>
      </c>
      <c r="E407" t="s">
        <v>496</v>
      </c>
      <c r="F407" t="s">
        <v>516</v>
      </c>
      <c r="G407" t="s">
        <v>577</v>
      </c>
    </row>
    <row r="408" spans="1:7" x14ac:dyDescent="0.2">
      <c r="A408" t="s">
        <v>300</v>
      </c>
      <c r="B408" t="s">
        <v>419</v>
      </c>
      <c r="C408" t="s">
        <v>497</v>
      </c>
      <c r="E408" t="s">
        <v>497</v>
      </c>
      <c r="F408" t="s">
        <v>553</v>
      </c>
      <c r="G408" t="s">
        <v>577</v>
      </c>
    </row>
    <row r="409" spans="1:7" x14ac:dyDescent="0.2">
      <c r="A409" t="s">
        <v>301</v>
      </c>
      <c r="B409" t="s">
        <v>420</v>
      </c>
      <c r="C409" t="s">
        <v>478</v>
      </c>
      <c r="E409" t="s">
        <v>478</v>
      </c>
      <c r="F409" t="s">
        <v>516</v>
      </c>
      <c r="G409" t="s">
        <v>576</v>
      </c>
    </row>
    <row r="410" spans="1:7" x14ac:dyDescent="0.2">
      <c r="A410" t="s">
        <v>283</v>
      </c>
      <c r="B410" t="s">
        <v>421</v>
      </c>
      <c r="C410" t="s">
        <v>477</v>
      </c>
      <c r="E410" t="s">
        <v>477</v>
      </c>
      <c r="F410" t="s">
        <v>540</v>
      </c>
      <c r="G410" t="s">
        <v>578</v>
      </c>
    </row>
    <row r="411" spans="1:7" x14ac:dyDescent="0.2">
      <c r="A411" t="s">
        <v>264</v>
      </c>
      <c r="B411" t="s">
        <v>422</v>
      </c>
      <c r="C411" t="s">
        <v>477</v>
      </c>
      <c r="E411" t="s">
        <v>477</v>
      </c>
      <c r="F411" t="s">
        <v>541</v>
      </c>
      <c r="G411" t="s">
        <v>578</v>
      </c>
    </row>
    <row r="412" spans="1:7" x14ac:dyDescent="0.2">
      <c r="A412" t="s">
        <v>264</v>
      </c>
      <c r="B412" t="s">
        <v>423</v>
      </c>
      <c r="C412" t="s">
        <v>478</v>
      </c>
      <c r="E412" t="s">
        <v>478</v>
      </c>
      <c r="F412" t="s">
        <v>516</v>
      </c>
      <c r="G412" t="s">
        <v>578</v>
      </c>
    </row>
    <row r="413" spans="1:7" x14ac:dyDescent="0.2">
      <c r="A413" t="s">
        <v>301</v>
      </c>
      <c r="B413" t="s">
        <v>424</v>
      </c>
      <c r="C413" t="s">
        <v>478</v>
      </c>
      <c r="E413" t="s">
        <v>478</v>
      </c>
      <c r="F413" t="s">
        <v>537</v>
      </c>
      <c r="G413" t="s">
        <v>576</v>
      </c>
    </row>
    <row r="414" spans="1:7" x14ac:dyDescent="0.2">
      <c r="A414" t="s">
        <v>283</v>
      </c>
      <c r="B414" t="s">
        <v>425</v>
      </c>
      <c r="C414" t="s">
        <v>498</v>
      </c>
      <c r="E414" t="s">
        <v>498</v>
      </c>
      <c r="F414" t="s">
        <v>529</v>
      </c>
      <c r="G414" t="s">
        <v>578</v>
      </c>
    </row>
    <row r="415" spans="1:7" x14ac:dyDescent="0.2">
      <c r="A415" t="s">
        <v>302</v>
      </c>
      <c r="B415" t="s">
        <v>426</v>
      </c>
      <c r="C415" t="s">
        <v>478</v>
      </c>
      <c r="E415" t="s">
        <v>478</v>
      </c>
      <c r="F415" t="s">
        <v>529</v>
      </c>
      <c r="G415" t="s">
        <v>579</v>
      </c>
    </row>
    <row r="416" spans="1:7" x14ac:dyDescent="0.2">
      <c r="A416" t="s">
        <v>285</v>
      </c>
      <c r="B416" t="s">
        <v>427</v>
      </c>
      <c r="C416" t="s">
        <v>499</v>
      </c>
      <c r="E416" t="s">
        <v>499</v>
      </c>
      <c r="F416" t="s">
        <v>542</v>
      </c>
      <c r="G416" t="s">
        <v>577</v>
      </c>
    </row>
    <row r="417" spans="1:7" x14ac:dyDescent="0.2">
      <c r="A417" t="s">
        <v>303</v>
      </c>
      <c r="B417" t="s">
        <v>428</v>
      </c>
      <c r="C417" t="s">
        <v>500</v>
      </c>
      <c r="E417" t="s">
        <v>500</v>
      </c>
      <c r="F417" t="s">
        <v>546</v>
      </c>
      <c r="G417" t="s">
        <v>577</v>
      </c>
    </row>
    <row r="418" spans="1:7" x14ac:dyDescent="0.2">
      <c r="A418" t="s">
        <v>304</v>
      </c>
      <c r="B418" t="s">
        <v>429</v>
      </c>
      <c r="C418" t="s">
        <v>478</v>
      </c>
      <c r="E418" t="s">
        <v>478</v>
      </c>
      <c r="F418" t="s">
        <v>554</v>
      </c>
      <c r="G418" t="s">
        <v>569</v>
      </c>
    </row>
    <row r="419" spans="1:7" x14ac:dyDescent="0.2">
      <c r="A419" t="s">
        <v>277</v>
      </c>
      <c r="B419" t="s">
        <v>430</v>
      </c>
      <c r="C419" t="s">
        <v>478</v>
      </c>
      <c r="E419" t="s">
        <v>478</v>
      </c>
      <c r="F419" t="s">
        <v>539</v>
      </c>
      <c r="G419" t="s">
        <v>571</v>
      </c>
    </row>
    <row r="420" spans="1:7" x14ac:dyDescent="0.2">
      <c r="A420" t="s">
        <v>277</v>
      </c>
      <c r="B420" t="s">
        <v>431</v>
      </c>
      <c r="C420" t="s">
        <v>478</v>
      </c>
      <c r="E420" t="s">
        <v>478</v>
      </c>
      <c r="F420" t="s">
        <v>534</v>
      </c>
      <c r="G420" t="s">
        <v>571</v>
      </c>
    </row>
    <row r="421" spans="1:7" x14ac:dyDescent="0.2">
      <c r="A421" t="s">
        <v>277</v>
      </c>
      <c r="B421" t="s">
        <v>432</v>
      </c>
      <c r="C421" t="s">
        <v>501</v>
      </c>
      <c r="E421" t="s">
        <v>501</v>
      </c>
      <c r="F421" t="s">
        <v>555</v>
      </c>
      <c r="G421" t="s">
        <v>571</v>
      </c>
    </row>
    <row r="422" spans="1:7" x14ac:dyDescent="0.2">
      <c r="A422" t="s">
        <v>263</v>
      </c>
      <c r="B422" t="s">
        <v>433</v>
      </c>
      <c r="C422" t="s">
        <v>502</v>
      </c>
      <c r="E422" t="s">
        <v>502</v>
      </c>
      <c r="F422" t="s">
        <v>556</v>
      </c>
      <c r="G422" t="s">
        <v>580</v>
      </c>
    </row>
    <row r="423" spans="1:7" x14ac:dyDescent="0.2">
      <c r="A423" t="s">
        <v>268</v>
      </c>
      <c r="B423" t="s">
        <v>434</v>
      </c>
      <c r="C423" t="s">
        <v>478</v>
      </c>
      <c r="E423" t="s">
        <v>478</v>
      </c>
      <c r="F423" t="s">
        <v>520</v>
      </c>
      <c r="G423" t="s">
        <v>571</v>
      </c>
    </row>
    <row r="424" spans="1:7" x14ac:dyDescent="0.2">
      <c r="A424" t="s">
        <v>305</v>
      </c>
      <c r="B424" t="s">
        <v>435</v>
      </c>
      <c r="C424" t="s">
        <v>478</v>
      </c>
      <c r="E424" t="s">
        <v>478</v>
      </c>
      <c r="F424" t="s">
        <v>557</v>
      </c>
      <c r="G424" t="s">
        <v>569</v>
      </c>
    </row>
    <row r="425" spans="1:7" x14ac:dyDescent="0.2">
      <c r="A425" t="s">
        <v>306</v>
      </c>
      <c r="B425" t="s">
        <v>436</v>
      </c>
      <c r="C425" t="s">
        <v>478</v>
      </c>
      <c r="E425" t="s">
        <v>478</v>
      </c>
      <c r="F425" t="s">
        <v>558</v>
      </c>
      <c r="G425" t="s">
        <v>569</v>
      </c>
    </row>
    <row r="426" spans="1:7" x14ac:dyDescent="0.2">
      <c r="A426" t="s">
        <v>307</v>
      </c>
      <c r="B426" t="s">
        <v>437</v>
      </c>
      <c r="C426" t="s">
        <v>478</v>
      </c>
      <c r="E426" t="s">
        <v>478</v>
      </c>
      <c r="F426" t="s">
        <v>559</v>
      </c>
      <c r="G426" t="s">
        <v>574</v>
      </c>
    </row>
    <row r="427" spans="1:7" x14ac:dyDescent="0.2">
      <c r="A427" t="s">
        <v>308</v>
      </c>
      <c r="B427" t="s">
        <v>438</v>
      </c>
      <c r="C427" t="s">
        <v>478</v>
      </c>
      <c r="E427" t="s">
        <v>478</v>
      </c>
      <c r="F427" t="s">
        <v>560</v>
      </c>
      <c r="G427" t="s">
        <v>569</v>
      </c>
    </row>
    <row r="428" spans="1:7" x14ac:dyDescent="0.2">
      <c r="A428" t="s">
        <v>309</v>
      </c>
      <c r="B428" t="s">
        <v>439</v>
      </c>
      <c r="C428" t="s">
        <v>478</v>
      </c>
      <c r="E428" t="s">
        <v>478</v>
      </c>
      <c r="F428" t="s">
        <v>558</v>
      </c>
      <c r="G428" t="s">
        <v>574</v>
      </c>
    </row>
    <row r="429" spans="1:7" x14ac:dyDescent="0.2">
      <c r="A429" t="s">
        <v>310</v>
      </c>
      <c r="B429" t="s">
        <v>440</v>
      </c>
      <c r="C429" t="s">
        <v>478</v>
      </c>
      <c r="E429" t="s">
        <v>478</v>
      </c>
      <c r="F429" t="s">
        <v>561</v>
      </c>
      <c r="G429" t="s">
        <v>569</v>
      </c>
    </row>
    <row r="430" spans="1:7" x14ac:dyDescent="0.2">
      <c r="A430" t="s">
        <v>311</v>
      </c>
      <c r="B430" t="s">
        <v>441</v>
      </c>
      <c r="C430" t="s">
        <v>481</v>
      </c>
      <c r="E430" t="s">
        <v>481</v>
      </c>
      <c r="F430" t="s">
        <v>527</v>
      </c>
      <c r="G430" t="s">
        <v>580</v>
      </c>
    </row>
    <row r="431" spans="1:7" x14ac:dyDescent="0.2">
      <c r="A431" t="s">
        <v>311</v>
      </c>
      <c r="B431" t="s">
        <v>442</v>
      </c>
      <c r="C431" t="s">
        <v>482</v>
      </c>
      <c r="E431" t="s">
        <v>482</v>
      </c>
      <c r="F431" t="s">
        <v>562</v>
      </c>
      <c r="G431" t="s">
        <v>580</v>
      </c>
    </row>
    <row r="432" spans="1:7" x14ac:dyDescent="0.2">
      <c r="A432" t="s">
        <v>311</v>
      </c>
      <c r="B432" t="s">
        <v>443</v>
      </c>
      <c r="C432" t="s">
        <v>481</v>
      </c>
      <c r="E432" t="s">
        <v>481</v>
      </c>
      <c r="F432" t="s">
        <v>563</v>
      </c>
      <c r="G432" t="s">
        <v>580</v>
      </c>
    </row>
    <row r="433" spans="1:7" x14ac:dyDescent="0.2">
      <c r="A433" t="s">
        <v>312</v>
      </c>
      <c r="B433" t="s">
        <v>444</v>
      </c>
      <c r="C433" t="s">
        <v>481</v>
      </c>
      <c r="E433" t="s">
        <v>481</v>
      </c>
      <c r="F433" t="s">
        <v>526</v>
      </c>
      <c r="G433" t="s">
        <v>580</v>
      </c>
    </row>
    <row r="434" spans="1:7" x14ac:dyDescent="0.2">
      <c r="A434" t="s">
        <v>286</v>
      </c>
      <c r="B434" t="s">
        <v>445</v>
      </c>
      <c r="C434" t="s">
        <v>486</v>
      </c>
      <c r="E434" t="s">
        <v>486</v>
      </c>
      <c r="F434" t="s">
        <v>542</v>
      </c>
      <c r="G434" t="s">
        <v>580</v>
      </c>
    </row>
    <row r="435" spans="1:7" x14ac:dyDescent="0.2">
      <c r="A435" t="s">
        <v>286</v>
      </c>
      <c r="B435" t="s">
        <v>446</v>
      </c>
      <c r="C435" t="s">
        <v>486</v>
      </c>
      <c r="E435" t="s">
        <v>486</v>
      </c>
      <c r="F435" t="s">
        <v>541</v>
      </c>
      <c r="G435" t="s">
        <v>580</v>
      </c>
    </row>
    <row r="436" spans="1:7" x14ac:dyDescent="0.2">
      <c r="A436" t="s">
        <v>313</v>
      </c>
      <c r="B436" t="s">
        <v>447</v>
      </c>
      <c r="C436" t="s">
        <v>478</v>
      </c>
      <c r="E436" t="s">
        <v>478</v>
      </c>
      <c r="F436" t="s">
        <v>516</v>
      </c>
      <c r="G436" t="s">
        <v>569</v>
      </c>
    </row>
    <row r="437" spans="1:7" x14ac:dyDescent="0.2">
      <c r="A437" t="s">
        <v>314</v>
      </c>
      <c r="B437" t="s">
        <v>448</v>
      </c>
      <c r="C437" t="s">
        <v>478</v>
      </c>
      <c r="E437" t="s">
        <v>478</v>
      </c>
      <c r="F437" t="s">
        <v>516</v>
      </c>
      <c r="G437" t="s">
        <v>569</v>
      </c>
    </row>
    <row r="438" spans="1:7" x14ac:dyDescent="0.2">
      <c r="A438" t="s">
        <v>315</v>
      </c>
      <c r="B438" t="s">
        <v>449</v>
      </c>
      <c r="C438" t="s">
        <v>478</v>
      </c>
      <c r="E438" t="s">
        <v>478</v>
      </c>
      <c r="F438" t="s">
        <v>530</v>
      </c>
      <c r="G438" t="s">
        <v>569</v>
      </c>
    </row>
    <row r="439" spans="1:7" x14ac:dyDescent="0.2">
      <c r="A439" t="s">
        <v>315</v>
      </c>
      <c r="B439" t="s">
        <v>450</v>
      </c>
      <c r="C439" t="s">
        <v>478</v>
      </c>
      <c r="E439" t="s">
        <v>478</v>
      </c>
      <c r="F439" t="s">
        <v>530</v>
      </c>
      <c r="G439" t="s">
        <v>569</v>
      </c>
    </row>
    <row r="440" spans="1:7" x14ac:dyDescent="0.2">
      <c r="A440" t="s">
        <v>315</v>
      </c>
      <c r="B440" t="s">
        <v>451</v>
      </c>
      <c r="C440" t="s">
        <v>478</v>
      </c>
      <c r="E440" t="s">
        <v>478</v>
      </c>
      <c r="F440" t="s">
        <v>530</v>
      </c>
      <c r="G440" t="s">
        <v>569</v>
      </c>
    </row>
    <row r="441" spans="1:7" x14ac:dyDescent="0.2">
      <c r="A441" t="s">
        <v>313</v>
      </c>
      <c r="B441" t="s">
        <v>452</v>
      </c>
      <c r="C441" t="s">
        <v>478</v>
      </c>
      <c r="E441" t="s">
        <v>478</v>
      </c>
      <c r="F441" t="s">
        <v>524</v>
      </c>
      <c r="G441" t="s">
        <v>569</v>
      </c>
    </row>
    <row r="442" spans="1:7" x14ac:dyDescent="0.2">
      <c r="A442" t="s">
        <v>314</v>
      </c>
      <c r="B442" t="s">
        <v>453</v>
      </c>
      <c r="C442" t="s">
        <v>478</v>
      </c>
      <c r="E442" t="s">
        <v>478</v>
      </c>
      <c r="F442" t="s">
        <v>538</v>
      </c>
      <c r="G442" t="s">
        <v>569</v>
      </c>
    </row>
    <row r="443" spans="1:7" x14ac:dyDescent="0.2">
      <c r="A443" t="s">
        <v>314</v>
      </c>
      <c r="B443" t="s">
        <v>454</v>
      </c>
      <c r="C443" t="s">
        <v>478</v>
      </c>
      <c r="E443" t="s">
        <v>478</v>
      </c>
      <c r="F443" t="s">
        <v>530</v>
      </c>
      <c r="G443" t="s">
        <v>569</v>
      </c>
    </row>
    <row r="444" spans="1:7" x14ac:dyDescent="0.2">
      <c r="A444" t="s">
        <v>314</v>
      </c>
      <c r="B444" t="s">
        <v>455</v>
      </c>
      <c r="C444" t="s">
        <v>478</v>
      </c>
      <c r="E444" t="s">
        <v>478</v>
      </c>
      <c r="F444" t="s">
        <v>538</v>
      </c>
      <c r="G444" t="s">
        <v>569</v>
      </c>
    </row>
    <row r="445" spans="1:7" x14ac:dyDescent="0.2">
      <c r="A445" t="s">
        <v>314</v>
      </c>
      <c r="B445" t="s">
        <v>456</v>
      </c>
      <c r="C445" t="s">
        <v>478</v>
      </c>
      <c r="E445" t="s">
        <v>478</v>
      </c>
      <c r="F445" t="s">
        <v>530</v>
      </c>
      <c r="G445" t="s">
        <v>569</v>
      </c>
    </row>
    <row r="446" spans="1:7" x14ac:dyDescent="0.2">
      <c r="A446" t="s">
        <v>277</v>
      </c>
      <c r="B446" t="s">
        <v>457</v>
      </c>
      <c r="C446" t="s">
        <v>501</v>
      </c>
      <c r="E446" t="s">
        <v>501</v>
      </c>
      <c r="F446" t="s">
        <v>564</v>
      </c>
      <c r="G446" t="s">
        <v>571</v>
      </c>
    </row>
    <row r="447" spans="1:7" x14ac:dyDescent="0.2">
      <c r="A447" t="s">
        <v>263</v>
      </c>
      <c r="B447" t="s">
        <v>458</v>
      </c>
      <c r="C447" t="s">
        <v>476</v>
      </c>
      <c r="E447" t="s">
        <v>476</v>
      </c>
      <c r="F447" t="s">
        <v>565</v>
      </c>
      <c r="G447" t="s">
        <v>580</v>
      </c>
    </row>
    <row r="448" spans="1:7" x14ac:dyDescent="0.2">
      <c r="A448" t="s">
        <v>316</v>
      </c>
      <c r="B448" t="s">
        <v>459</v>
      </c>
      <c r="C448" t="s">
        <v>478</v>
      </c>
      <c r="E448" t="s">
        <v>478</v>
      </c>
      <c r="F448" t="s">
        <v>557</v>
      </c>
      <c r="G448" t="s">
        <v>569</v>
      </c>
    </row>
    <row r="449" spans="1:7" x14ac:dyDescent="0.2">
      <c r="A449" t="s">
        <v>317</v>
      </c>
      <c r="B449" t="s">
        <v>460</v>
      </c>
      <c r="C449" t="s">
        <v>478</v>
      </c>
      <c r="E449" t="s">
        <v>478</v>
      </c>
      <c r="F449" t="s">
        <v>560</v>
      </c>
      <c r="G449" t="s">
        <v>569</v>
      </c>
    </row>
    <row r="450" spans="1:7" x14ac:dyDescent="0.2">
      <c r="A450" t="s">
        <v>318</v>
      </c>
      <c r="B450" t="s">
        <v>461</v>
      </c>
      <c r="C450" t="s">
        <v>478</v>
      </c>
      <c r="E450" t="s">
        <v>478</v>
      </c>
      <c r="F450" t="s">
        <v>561</v>
      </c>
      <c r="G450" t="s">
        <v>574</v>
      </c>
    </row>
    <row r="451" spans="1:7" x14ac:dyDescent="0.2">
      <c r="A451" t="s">
        <v>319</v>
      </c>
      <c r="B451" t="s">
        <v>462</v>
      </c>
      <c r="C451" t="s">
        <v>482</v>
      </c>
      <c r="E451" t="s">
        <v>482</v>
      </c>
      <c r="F451" t="s">
        <v>526</v>
      </c>
      <c r="G451" t="s">
        <v>580</v>
      </c>
    </row>
    <row r="452" spans="1:7" x14ac:dyDescent="0.2">
      <c r="A452" t="s">
        <v>320</v>
      </c>
      <c r="B452" t="s">
        <v>463</v>
      </c>
      <c r="C452" t="s">
        <v>488</v>
      </c>
      <c r="E452" t="s">
        <v>488</v>
      </c>
      <c r="F452" t="s">
        <v>562</v>
      </c>
      <c r="G452" t="s">
        <v>580</v>
      </c>
    </row>
    <row r="453" spans="1:7" x14ac:dyDescent="0.2">
      <c r="A453" t="s">
        <v>319</v>
      </c>
      <c r="B453" t="s">
        <v>464</v>
      </c>
      <c r="C453" t="s">
        <v>482</v>
      </c>
      <c r="E453" t="s">
        <v>482</v>
      </c>
      <c r="F453" t="s">
        <v>563</v>
      </c>
      <c r="G453" t="s">
        <v>580</v>
      </c>
    </row>
    <row r="454" spans="1:7" x14ac:dyDescent="0.2">
      <c r="A454" t="s">
        <v>319</v>
      </c>
      <c r="B454" t="s">
        <v>465</v>
      </c>
      <c r="C454" t="s">
        <v>481</v>
      </c>
      <c r="E454" t="s">
        <v>481</v>
      </c>
      <c r="F454" t="s">
        <v>526</v>
      </c>
      <c r="G454" t="s">
        <v>580</v>
      </c>
    </row>
    <row r="455" spans="1:7" x14ac:dyDescent="0.2">
      <c r="A455" t="s">
        <v>321</v>
      </c>
      <c r="B455" t="s">
        <v>466</v>
      </c>
      <c r="C455" t="s">
        <v>488</v>
      </c>
      <c r="E455" t="s">
        <v>488</v>
      </c>
      <c r="F455" t="s">
        <v>547</v>
      </c>
      <c r="G455" t="s">
        <v>574</v>
      </c>
    </row>
    <row r="456" spans="1:7" x14ac:dyDescent="0.2">
      <c r="A456" t="s">
        <v>322</v>
      </c>
      <c r="B456" t="s">
        <v>467</v>
      </c>
      <c r="C456" t="s">
        <v>482</v>
      </c>
      <c r="E456" t="s">
        <v>482</v>
      </c>
      <c r="F456" t="s">
        <v>566</v>
      </c>
      <c r="G456" t="s">
        <v>574</v>
      </c>
    </row>
    <row r="457" spans="1:7" x14ac:dyDescent="0.2">
      <c r="A457" t="s">
        <v>283</v>
      </c>
      <c r="B457" t="s">
        <v>468</v>
      </c>
      <c r="C457" t="s">
        <v>478</v>
      </c>
      <c r="E457" t="s">
        <v>478</v>
      </c>
      <c r="F457" t="s">
        <v>524</v>
      </c>
      <c r="G457" t="s">
        <v>581</v>
      </c>
    </row>
    <row r="458" spans="1:7" x14ac:dyDescent="0.2">
      <c r="A458" t="s">
        <v>275</v>
      </c>
      <c r="B458" t="s">
        <v>469</v>
      </c>
      <c r="C458" t="s">
        <v>478</v>
      </c>
      <c r="E458" t="s">
        <v>478</v>
      </c>
      <c r="F458" t="s">
        <v>530</v>
      </c>
      <c r="G458" t="s">
        <v>581</v>
      </c>
    </row>
    <row r="459" spans="1:7" x14ac:dyDescent="0.2">
      <c r="A459" t="s">
        <v>275</v>
      </c>
      <c r="B459" t="s">
        <v>470</v>
      </c>
      <c r="C459" t="s">
        <v>478</v>
      </c>
      <c r="E459" t="s">
        <v>478</v>
      </c>
      <c r="F459" t="s">
        <v>530</v>
      </c>
      <c r="G459" t="s">
        <v>581</v>
      </c>
    </row>
    <row r="460" spans="1:7" x14ac:dyDescent="0.2">
      <c r="A460" t="s">
        <v>275</v>
      </c>
      <c r="B460" t="s">
        <v>471</v>
      </c>
      <c r="C460" t="s">
        <v>478</v>
      </c>
      <c r="E460" t="s">
        <v>478</v>
      </c>
      <c r="F460" t="s">
        <v>530</v>
      </c>
      <c r="G460" t="s">
        <v>581</v>
      </c>
    </row>
    <row r="461" spans="1:7" x14ac:dyDescent="0.2">
      <c r="A461" t="s">
        <v>275</v>
      </c>
      <c r="B461" t="s">
        <v>472</v>
      </c>
      <c r="C461" t="s">
        <v>478</v>
      </c>
      <c r="E461" t="s">
        <v>478</v>
      </c>
      <c r="F461" t="s">
        <v>530</v>
      </c>
      <c r="G461" t="s">
        <v>581</v>
      </c>
    </row>
    <row r="462" spans="1:7" x14ac:dyDescent="0.2">
      <c r="A462" t="s">
        <v>286</v>
      </c>
      <c r="B462" t="s">
        <v>473</v>
      </c>
      <c r="C462" t="s">
        <v>486</v>
      </c>
      <c r="E462" t="s">
        <v>486</v>
      </c>
      <c r="F462" t="s">
        <v>542</v>
      </c>
      <c r="G462" t="s">
        <v>580</v>
      </c>
    </row>
    <row r="463" spans="1:7" x14ac:dyDescent="0.2">
      <c r="A463" t="s">
        <v>286</v>
      </c>
      <c r="B463" t="s">
        <v>474</v>
      </c>
      <c r="C463" t="s">
        <v>486</v>
      </c>
      <c r="E463" t="s">
        <v>486</v>
      </c>
      <c r="F463" t="s">
        <v>542</v>
      </c>
      <c r="G463" t="s">
        <v>580</v>
      </c>
    </row>
    <row r="464" spans="1:7" x14ac:dyDescent="0.2">
      <c r="A464" t="s">
        <v>289</v>
      </c>
      <c r="B464" t="s">
        <v>475</v>
      </c>
      <c r="C464" t="s">
        <v>478</v>
      </c>
      <c r="E464" t="s">
        <v>478</v>
      </c>
      <c r="F464" t="s">
        <v>559</v>
      </c>
      <c r="G464" t="s">
        <v>574</v>
      </c>
    </row>
    <row r="465" spans="1:7" x14ac:dyDescent="0.2">
      <c r="A465" t="s">
        <v>302</v>
      </c>
      <c r="B465" t="s">
        <v>302</v>
      </c>
      <c r="C465" t="s">
        <v>478</v>
      </c>
      <c r="E465" t="s">
        <v>478</v>
      </c>
      <c r="F465" t="s">
        <v>567</v>
      </c>
      <c r="G465" t="s">
        <v>579</v>
      </c>
    </row>
    <row r="466" spans="1:7" x14ac:dyDescent="0.2">
      <c r="A466" t="s">
        <v>323</v>
      </c>
      <c r="B466" t="s">
        <v>302</v>
      </c>
      <c r="C466" t="s">
        <v>478</v>
      </c>
      <c r="E466" t="s">
        <v>478</v>
      </c>
      <c r="F466" t="s">
        <v>568</v>
      </c>
      <c r="G466" t="s">
        <v>569</v>
      </c>
    </row>
    <row r="467" spans="1:7" x14ac:dyDescent="0.2">
      <c r="A467" t="s">
        <v>263</v>
      </c>
      <c r="B467" t="s">
        <v>324</v>
      </c>
      <c r="C467" t="s">
        <v>476</v>
      </c>
      <c r="E467" t="s">
        <v>478</v>
      </c>
      <c r="F467" t="s">
        <v>515</v>
      </c>
      <c r="G467" t="s">
        <v>319</v>
      </c>
    </row>
    <row r="468" spans="1:7" x14ac:dyDescent="0.2">
      <c r="A468" t="s">
        <v>264</v>
      </c>
      <c r="B468" t="s">
        <v>325</v>
      </c>
      <c r="C468" t="s">
        <v>477</v>
      </c>
      <c r="E468" t="s">
        <v>477</v>
      </c>
      <c r="F468" t="s">
        <v>516</v>
      </c>
      <c r="G468" t="s">
        <v>569</v>
      </c>
    </row>
    <row r="469" spans="1:7" x14ac:dyDescent="0.2">
      <c r="A469" t="s">
        <v>265</v>
      </c>
      <c r="B469" t="s">
        <v>326</v>
      </c>
      <c r="C469" t="s">
        <v>478</v>
      </c>
      <c r="E469" t="s">
        <v>478</v>
      </c>
      <c r="F469" t="s">
        <v>517</v>
      </c>
      <c r="G469" t="s">
        <v>570</v>
      </c>
    </row>
    <row r="470" spans="1:7" x14ac:dyDescent="0.2">
      <c r="A470" t="s">
        <v>266</v>
      </c>
      <c r="B470" t="s">
        <v>327</v>
      </c>
      <c r="C470" t="s">
        <v>479</v>
      </c>
      <c r="E470" t="s">
        <v>479</v>
      </c>
      <c r="F470" t="s">
        <v>518</v>
      </c>
      <c r="G470" t="s">
        <v>571</v>
      </c>
    </row>
    <row r="471" spans="1:7" x14ac:dyDescent="0.2">
      <c r="A471" t="s">
        <v>267</v>
      </c>
      <c r="B471" t="s">
        <v>328</v>
      </c>
      <c r="C471" t="s">
        <v>480</v>
      </c>
      <c r="E471" t="s">
        <v>480</v>
      </c>
      <c r="F471" t="s">
        <v>519</v>
      </c>
      <c r="G471" t="s">
        <v>572</v>
      </c>
    </row>
    <row r="472" spans="1:7" x14ac:dyDescent="0.2">
      <c r="A472" t="s">
        <v>268</v>
      </c>
      <c r="B472" t="s">
        <v>329</v>
      </c>
      <c r="C472" t="s">
        <v>478</v>
      </c>
      <c r="E472" t="s">
        <v>478</v>
      </c>
      <c r="F472" t="s">
        <v>520</v>
      </c>
      <c r="G472" t="s">
        <v>571</v>
      </c>
    </row>
    <row r="473" spans="1:7" x14ac:dyDescent="0.2">
      <c r="A473" t="s">
        <v>268</v>
      </c>
      <c r="B473" t="s">
        <v>330</v>
      </c>
      <c r="C473" t="s">
        <v>478</v>
      </c>
      <c r="E473" t="s">
        <v>478</v>
      </c>
      <c r="F473" t="s">
        <v>516</v>
      </c>
      <c r="G473" t="s">
        <v>571</v>
      </c>
    </row>
    <row r="474" spans="1:7" x14ac:dyDescent="0.2">
      <c r="A474" t="s">
        <v>268</v>
      </c>
      <c r="B474" t="s">
        <v>331</v>
      </c>
      <c r="C474" t="s">
        <v>478</v>
      </c>
      <c r="E474" t="s">
        <v>478</v>
      </c>
      <c r="F474" t="s">
        <v>520</v>
      </c>
      <c r="G474" t="s">
        <v>571</v>
      </c>
    </row>
    <row r="475" spans="1:7" x14ac:dyDescent="0.2">
      <c r="A475" t="s">
        <v>269</v>
      </c>
      <c r="B475" t="s">
        <v>332</v>
      </c>
      <c r="C475" t="s">
        <v>481</v>
      </c>
      <c r="E475" t="s">
        <v>481</v>
      </c>
      <c r="F475" t="s">
        <v>521</v>
      </c>
      <c r="G475" t="s">
        <v>573</v>
      </c>
    </row>
    <row r="476" spans="1:7" x14ac:dyDescent="0.2">
      <c r="A476" t="s">
        <v>270</v>
      </c>
      <c r="B476" t="s">
        <v>333</v>
      </c>
      <c r="C476" t="s">
        <v>481</v>
      </c>
      <c r="E476" t="s">
        <v>481</v>
      </c>
      <c r="F476" t="s">
        <v>522</v>
      </c>
      <c r="G476" t="s">
        <v>573</v>
      </c>
    </row>
    <row r="477" spans="1:7" x14ac:dyDescent="0.2">
      <c r="A477" t="s">
        <v>270</v>
      </c>
      <c r="B477" t="s">
        <v>334</v>
      </c>
      <c r="C477" t="s">
        <v>481</v>
      </c>
      <c r="E477" t="s">
        <v>481</v>
      </c>
      <c r="F477" t="s">
        <v>523</v>
      </c>
      <c r="G477" t="s">
        <v>573</v>
      </c>
    </row>
    <row r="478" spans="1:7" x14ac:dyDescent="0.2">
      <c r="A478" t="s">
        <v>271</v>
      </c>
      <c r="B478" t="s">
        <v>335</v>
      </c>
      <c r="C478" t="s">
        <v>478</v>
      </c>
      <c r="E478" t="s">
        <v>478</v>
      </c>
      <c r="F478" t="s">
        <v>524</v>
      </c>
      <c r="G478" t="s">
        <v>574</v>
      </c>
    </row>
    <row r="479" spans="1:7" x14ac:dyDescent="0.2">
      <c r="A479" t="s">
        <v>269</v>
      </c>
      <c r="B479" t="s">
        <v>336</v>
      </c>
      <c r="C479" t="s">
        <v>481</v>
      </c>
      <c r="E479" t="s">
        <v>481</v>
      </c>
      <c r="F479" t="s">
        <v>525</v>
      </c>
      <c r="G479" t="s">
        <v>573</v>
      </c>
    </row>
    <row r="480" spans="1:7" x14ac:dyDescent="0.2">
      <c r="A480" t="s">
        <v>272</v>
      </c>
      <c r="B480" t="s">
        <v>337</v>
      </c>
      <c r="C480" t="s">
        <v>481</v>
      </c>
      <c r="E480" t="s">
        <v>481</v>
      </c>
      <c r="F480" t="s">
        <v>526</v>
      </c>
      <c r="G480" t="s">
        <v>572</v>
      </c>
    </row>
    <row r="481" spans="1:7" x14ac:dyDescent="0.2">
      <c r="A481" t="s">
        <v>272</v>
      </c>
      <c r="B481" t="s">
        <v>338</v>
      </c>
      <c r="C481" t="s">
        <v>481</v>
      </c>
      <c r="E481" t="s">
        <v>481</v>
      </c>
      <c r="F481" t="s">
        <v>527</v>
      </c>
      <c r="G481" t="s">
        <v>572</v>
      </c>
    </row>
    <row r="482" spans="1:7" x14ac:dyDescent="0.2">
      <c r="A482" t="s">
        <v>273</v>
      </c>
      <c r="B482" t="s">
        <v>339</v>
      </c>
      <c r="C482" t="s">
        <v>481</v>
      </c>
      <c r="E482" t="s">
        <v>481</v>
      </c>
      <c r="F482" t="s">
        <v>527</v>
      </c>
      <c r="G482" t="s">
        <v>572</v>
      </c>
    </row>
    <row r="483" spans="1:7" x14ac:dyDescent="0.2">
      <c r="A483" t="s">
        <v>273</v>
      </c>
      <c r="B483" t="s">
        <v>340</v>
      </c>
      <c r="C483" t="s">
        <v>482</v>
      </c>
      <c r="E483" t="s">
        <v>482</v>
      </c>
      <c r="F483" t="s">
        <v>528</v>
      </c>
      <c r="G483" t="s">
        <v>572</v>
      </c>
    </row>
    <row r="484" spans="1:7" x14ac:dyDescent="0.2">
      <c r="A484" t="s">
        <v>273</v>
      </c>
      <c r="B484" t="s">
        <v>341</v>
      </c>
      <c r="C484" t="s">
        <v>481</v>
      </c>
      <c r="E484" t="s">
        <v>481</v>
      </c>
      <c r="F484" t="s">
        <v>527</v>
      </c>
      <c r="G484" t="s">
        <v>572</v>
      </c>
    </row>
    <row r="485" spans="1:7" x14ac:dyDescent="0.2">
      <c r="A485" t="s">
        <v>273</v>
      </c>
      <c r="B485" t="s">
        <v>342</v>
      </c>
      <c r="C485" t="s">
        <v>481</v>
      </c>
      <c r="E485" t="s">
        <v>481</v>
      </c>
      <c r="F485" t="s">
        <v>526</v>
      </c>
      <c r="G485" t="s">
        <v>572</v>
      </c>
    </row>
    <row r="486" spans="1:7" x14ac:dyDescent="0.2">
      <c r="A486" t="s">
        <v>274</v>
      </c>
      <c r="B486" t="s">
        <v>343</v>
      </c>
      <c r="C486" t="s">
        <v>483</v>
      </c>
      <c r="E486" t="s">
        <v>483</v>
      </c>
      <c r="F486" t="s">
        <v>529</v>
      </c>
      <c r="G486" t="s">
        <v>575</v>
      </c>
    </row>
    <row r="487" spans="1:7" x14ac:dyDescent="0.2">
      <c r="A487" t="s">
        <v>275</v>
      </c>
      <c r="B487" t="s">
        <v>344</v>
      </c>
      <c r="C487" t="s">
        <v>478</v>
      </c>
      <c r="E487" t="s">
        <v>477</v>
      </c>
      <c r="F487" t="s">
        <v>530</v>
      </c>
      <c r="G487" t="s">
        <v>575</v>
      </c>
    </row>
    <row r="488" spans="1:7" x14ac:dyDescent="0.2">
      <c r="A488" t="s">
        <v>275</v>
      </c>
      <c r="B488" t="s">
        <v>345</v>
      </c>
      <c r="C488" t="s">
        <v>478</v>
      </c>
      <c r="E488" t="s">
        <v>477</v>
      </c>
      <c r="F488" t="s">
        <v>530</v>
      </c>
      <c r="G488" t="s">
        <v>575</v>
      </c>
    </row>
    <row r="489" spans="1:7" x14ac:dyDescent="0.2">
      <c r="A489" t="s">
        <v>275</v>
      </c>
      <c r="B489" t="s">
        <v>346</v>
      </c>
      <c r="C489" t="s">
        <v>478</v>
      </c>
      <c r="E489" t="s">
        <v>477</v>
      </c>
      <c r="F489" t="s">
        <v>530</v>
      </c>
      <c r="G489" t="s">
        <v>575</v>
      </c>
    </row>
    <row r="490" spans="1:7" x14ac:dyDescent="0.2">
      <c r="A490" t="s">
        <v>275</v>
      </c>
      <c r="B490" t="s">
        <v>347</v>
      </c>
      <c r="C490" t="s">
        <v>478</v>
      </c>
      <c r="E490" t="s">
        <v>477</v>
      </c>
      <c r="F490" t="s">
        <v>530</v>
      </c>
      <c r="G490" t="s">
        <v>575</v>
      </c>
    </row>
    <row r="491" spans="1:7" x14ac:dyDescent="0.2">
      <c r="A491" t="s">
        <v>275</v>
      </c>
      <c r="B491" t="s">
        <v>348</v>
      </c>
      <c r="C491" t="s">
        <v>478</v>
      </c>
      <c r="E491" t="s">
        <v>477</v>
      </c>
      <c r="F491" t="s">
        <v>530</v>
      </c>
      <c r="G491" t="s">
        <v>575</v>
      </c>
    </row>
    <row r="492" spans="1:7" x14ac:dyDescent="0.2">
      <c r="A492" t="s">
        <v>275</v>
      </c>
      <c r="B492" t="s">
        <v>349</v>
      </c>
      <c r="C492" t="s">
        <v>478</v>
      </c>
      <c r="E492" t="s">
        <v>477</v>
      </c>
      <c r="F492" t="s">
        <v>530</v>
      </c>
      <c r="G492" t="s">
        <v>575</v>
      </c>
    </row>
    <row r="493" spans="1:7" x14ac:dyDescent="0.2">
      <c r="A493" t="s">
        <v>275</v>
      </c>
      <c r="B493" t="s">
        <v>350</v>
      </c>
      <c r="C493" t="s">
        <v>478</v>
      </c>
      <c r="E493" t="s">
        <v>477</v>
      </c>
      <c r="F493" t="s">
        <v>530</v>
      </c>
      <c r="G493" t="s">
        <v>575</v>
      </c>
    </row>
    <row r="494" spans="1:7" x14ac:dyDescent="0.2">
      <c r="A494" t="s">
        <v>275</v>
      </c>
      <c r="B494" t="s">
        <v>351</v>
      </c>
      <c r="C494" t="s">
        <v>478</v>
      </c>
      <c r="E494" t="s">
        <v>477</v>
      </c>
      <c r="F494" t="s">
        <v>530</v>
      </c>
      <c r="G494" t="s">
        <v>575</v>
      </c>
    </row>
    <row r="495" spans="1:7" x14ac:dyDescent="0.2">
      <c r="A495" t="s">
        <v>275</v>
      </c>
      <c r="B495" t="s">
        <v>352</v>
      </c>
      <c r="C495" t="s">
        <v>478</v>
      </c>
      <c r="E495" t="s">
        <v>477</v>
      </c>
      <c r="F495" t="s">
        <v>530</v>
      </c>
      <c r="G495" t="s">
        <v>575</v>
      </c>
    </row>
    <row r="496" spans="1:7" x14ac:dyDescent="0.2">
      <c r="A496" t="s">
        <v>264</v>
      </c>
      <c r="B496" t="s">
        <v>353</v>
      </c>
      <c r="C496" t="s">
        <v>478</v>
      </c>
      <c r="E496" t="s">
        <v>477</v>
      </c>
      <c r="F496" t="s">
        <v>516</v>
      </c>
      <c r="G496" t="s">
        <v>575</v>
      </c>
    </row>
    <row r="497" spans="1:7" x14ac:dyDescent="0.2">
      <c r="A497" t="s">
        <v>276</v>
      </c>
      <c r="B497" t="s">
        <v>354</v>
      </c>
      <c r="C497" t="s">
        <v>484</v>
      </c>
      <c r="E497" t="s">
        <v>484</v>
      </c>
      <c r="F497" t="s">
        <v>531</v>
      </c>
      <c r="G497" t="s">
        <v>575</v>
      </c>
    </row>
    <row r="498" spans="1:7" x14ac:dyDescent="0.2">
      <c r="A498" t="s">
        <v>275</v>
      </c>
      <c r="B498" t="s">
        <v>355</v>
      </c>
      <c r="C498" t="s">
        <v>478</v>
      </c>
      <c r="E498" t="s">
        <v>477</v>
      </c>
      <c r="F498" t="s">
        <v>530</v>
      </c>
      <c r="G498" t="s">
        <v>575</v>
      </c>
    </row>
    <row r="499" spans="1:7" x14ac:dyDescent="0.2">
      <c r="A499" t="s">
        <v>275</v>
      </c>
      <c r="B499" t="s">
        <v>356</v>
      </c>
      <c r="C499" t="s">
        <v>478</v>
      </c>
      <c r="E499" t="s">
        <v>477</v>
      </c>
      <c r="F499" t="s">
        <v>530</v>
      </c>
      <c r="G499" t="s">
        <v>575</v>
      </c>
    </row>
    <row r="500" spans="1:7" x14ac:dyDescent="0.2">
      <c r="A500" t="s">
        <v>275</v>
      </c>
      <c r="B500" t="s">
        <v>357</v>
      </c>
      <c r="C500" t="s">
        <v>478</v>
      </c>
      <c r="E500" t="s">
        <v>477</v>
      </c>
      <c r="F500" t="s">
        <v>530</v>
      </c>
      <c r="G500" t="s">
        <v>575</v>
      </c>
    </row>
    <row r="501" spans="1:7" x14ac:dyDescent="0.2">
      <c r="A501" t="s">
        <v>275</v>
      </c>
      <c r="B501" t="s">
        <v>358</v>
      </c>
      <c r="C501" t="s">
        <v>478</v>
      </c>
      <c r="E501" t="s">
        <v>477</v>
      </c>
      <c r="F501" t="s">
        <v>530</v>
      </c>
      <c r="G501" t="s">
        <v>575</v>
      </c>
    </row>
    <row r="502" spans="1:7" x14ac:dyDescent="0.2">
      <c r="A502" t="s">
        <v>275</v>
      </c>
      <c r="B502" t="s">
        <v>359</v>
      </c>
      <c r="C502" t="s">
        <v>478</v>
      </c>
      <c r="E502" t="s">
        <v>477</v>
      </c>
      <c r="F502" t="s">
        <v>530</v>
      </c>
      <c r="G502" t="s">
        <v>575</v>
      </c>
    </row>
    <row r="503" spans="1:7" x14ac:dyDescent="0.2">
      <c r="A503" t="s">
        <v>275</v>
      </c>
      <c r="B503" t="s">
        <v>360</v>
      </c>
      <c r="C503" t="s">
        <v>478</v>
      </c>
      <c r="E503" t="s">
        <v>477</v>
      </c>
      <c r="F503" t="s">
        <v>530</v>
      </c>
      <c r="G503" t="s">
        <v>575</v>
      </c>
    </row>
    <row r="504" spans="1:7" x14ac:dyDescent="0.2">
      <c r="A504" t="s">
        <v>264</v>
      </c>
      <c r="B504" t="s">
        <v>361</v>
      </c>
      <c r="C504" t="s">
        <v>478</v>
      </c>
      <c r="E504" t="s">
        <v>477</v>
      </c>
      <c r="F504" t="s">
        <v>516</v>
      </c>
      <c r="G504" t="s">
        <v>575</v>
      </c>
    </row>
    <row r="505" spans="1:7" x14ac:dyDescent="0.2">
      <c r="A505" t="s">
        <v>265</v>
      </c>
      <c r="B505" t="s">
        <v>362</v>
      </c>
      <c r="C505" t="s">
        <v>478</v>
      </c>
      <c r="E505" t="s">
        <v>491</v>
      </c>
      <c r="F505" t="s">
        <v>532</v>
      </c>
      <c r="G505" t="s">
        <v>570</v>
      </c>
    </row>
    <row r="506" spans="1:7" x14ac:dyDescent="0.2">
      <c r="A506" t="s">
        <v>277</v>
      </c>
      <c r="B506" t="s">
        <v>363</v>
      </c>
      <c r="C506" t="s">
        <v>485</v>
      </c>
      <c r="E506" t="s">
        <v>485</v>
      </c>
      <c r="F506" t="s">
        <v>525</v>
      </c>
      <c r="G506" t="s">
        <v>571</v>
      </c>
    </row>
    <row r="507" spans="1:7" x14ac:dyDescent="0.2">
      <c r="A507" t="s">
        <v>267</v>
      </c>
      <c r="B507" t="s">
        <v>364</v>
      </c>
      <c r="C507" t="s">
        <v>480</v>
      </c>
      <c r="E507" t="s">
        <v>480</v>
      </c>
      <c r="F507" t="s">
        <v>533</v>
      </c>
      <c r="G507" t="s">
        <v>572</v>
      </c>
    </row>
    <row r="508" spans="1:7" x14ac:dyDescent="0.2">
      <c r="A508" t="s">
        <v>278</v>
      </c>
      <c r="B508" t="s">
        <v>365</v>
      </c>
      <c r="C508" t="s">
        <v>486</v>
      </c>
      <c r="E508" t="s">
        <v>486</v>
      </c>
      <c r="F508" t="s">
        <v>534</v>
      </c>
      <c r="G508" t="s">
        <v>573</v>
      </c>
    </row>
    <row r="509" spans="1:7" x14ac:dyDescent="0.2">
      <c r="A509" t="s">
        <v>278</v>
      </c>
      <c r="B509" t="s">
        <v>366</v>
      </c>
      <c r="C509" t="s">
        <v>486</v>
      </c>
      <c r="E509" t="s">
        <v>486</v>
      </c>
      <c r="F509" t="s">
        <v>534</v>
      </c>
      <c r="G509" t="s">
        <v>573</v>
      </c>
    </row>
    <row r="510" spans="1:7" x14ac:dyDescent="0.2">
      <c r="A510" t="s">
        <v>279</v>
      </c>
      <c r="B510" t="s">
        <v>367</v>
      </c>
      <c r="C510" t="s">
        <v>487</v>
      </c>
      <c r="E510" t="s">
        <v>487</v>
      </c>
      <c r="F510" t="s">
        <v>535</v>
      </c>
      <c r="G510" t="s">
        <v>573</v>
      </c>
    </row>
    <row r="511" spans="1:7" x14ac:dyDescent="0.2">
      <c r="A511" t="s">
        <v>279</v>
      </c>
      <c r="B511" t="s">
        <v>368</v>
      </c>
      <c r="C511" t="s">
        <v>487</v>
      </c>
      <c r="E511" t="s">
        <v>487</v>
      </c>
      <c r="F511" t="s">
        <v>527</v>
      </c>
      <c r="G511" t="s">
        <v>573</v>
      </c>
    </row>
    <row r="512" spans="1:7" x14ac:dyDescent="0.2">
      <c r="A512" t="s">
        <v>280</v>
      </c>
      <c r="B512" t="s">
        <v>369</v>
      </c>
      <c r="C512" t="s">
        <v>482</v>
      </c>
      <c r="E512" t="s">
        <v>482</v>
      </c>
      <c r="F512" t="s">
        <v>526</v>
      </c>
      <c r="G512" t="s">
        <v>572</v>
      </c>
    </row>
    <row r="513" spans="1:7" x14ac:dyDescent="0.2">
      <c r="A513" t="s">
        <v>280</v>
      </c>
      <c r="B513" t="s">
        <v>370</v>
      </c>
      <c r="C513" t="s">
        <v>482</v>
      </c>
      <c r="E513" t="s">
        <v>482</v>
      </c>
      <c r="F513" t="s">
        <v>527</v>
      </c>
      <c r="G513" t="s">
        <v>572</v>
      </c>
    </row>
    <row r="514" spans="1:7" x14ac:dyDescent="0.2">
      <c r="A514" t="s">
        <v>272</v>
      </c>
      <c r="B514" t="s">
        <v>371</v>
      </c>
      <c r="C514" t="s">
        <v>482</v>
      </c>
      <c r="E514" t="s">
        <v>482</v>
      </c>
      <c r="F514" t="s">
        <v>527</v>
      </c>
      <c r="G514" t="s">
        <v>572</v>
      </c>
    </row>
    <row r="515" spans="1:7" x14ac:dyDescent="0.2">
      <c r="A515" t="s">
        <v>272</v>
      </c>
      <c r="B515" t="s">
        <v>372</v>
      </c>
      <c r="C515" t="s">
        <v>488</v>
      </c>
      <c r="E515" t="s">
        <v>488</v>
      </c>
      <c r="F515" t="s">
        <v>528</v>
      </c>
      <c r="G515" t="s">
        <v>572</v>
      </c>
    </row>
    <row r="516" spans="1:7" x14ac:dyDescent="0.2">
      <c r="A516" t="s">
        <v>281</v>
      </c>
      <c r="B516" t="s">
        <v>373</v>
      </c>
      <c r="C516" t="s">
        <v>482</v>
      </c>
      <c r="E516" t="s">
        <v>482</v>
      </c>
      <c r="F516" t="s">
        <v>527</v>
      </c>
      <c r="G516" t="s">
        <v>572</v>
      </c>
    </row>
    <row r="517" spans="1:7" x14ac:dyDescent="0.2">
      <c r="A517" t="s">
        <v>273</v>
      </c>
      <c r="B517" t="s">
        <v>374</v>
      </c>
      <c r="C517" t="s">
        <v>481</v>
      </c>
      <c r="E517" t="s">
        <v>481</v>
      </c>
      <c r="F517" t="s">
        <v>526</v>
      </c>
      <c r="G517" t="s">
        <v>572</v>
      </c>
    </row>
    <row r="518" spans="1:7" x14ac:dyDescent="0.2">
      <c r="A518" t="s">
        <v>282</v>
      </c>
      <c r="B518" t="s">
        <v>375</v>
      </c>
      <c r="C518" t="s">
        <v>489</v>
      </c>
      <c r="E518" t="s">
        <v>489</v>
      </c>
      <c r="F518" t="s">
        <v>526</v>
      </c>
      <c r="G518" t="s">
        <v>572</v>
      </c>
    </row>
    <row r="519" spans="1:7" x14ac:dyDescent="0.2">
      <c r="A519" t="s">
        <v>283</v>
      </c>
      <c r="B519" t="s">
        <v>376</v>
      </c>
      <c r="C519" t="s">
        <v>490</v>
      </c>
      <c r="E519" t="s">
        <v>478</v>
      </c>
      <c r="F519" t="s">
        <v>536</v>
      </c>
      <c r="G519" t="s">
        <v>575</v>
      </c>
    </row>
    <row r="520" spans="1:7" x14ac:dyDescent="0.2">
      <c r="A520" t="s">
        <v>275</v>
      </c>
      <c r="B520" t="s">
        <v>377</v>
      </c>
      <c r="C520" t="s">
        <v>478</v>
      </c>
      <c r="E520" t="s">
        <v>477</v>
      </c>
      <c r="F520" t="s">
        <v>537</v>
      </c>
      <c r="G520" t="s">
        <v>575</v>
      </c>
    </row>
    <row r="521" spans="1:7" x14ac:dyDescent="0.2">
      <c r="A521" t="s">
        <v>275</v>
      </c>
      <c r="B521" t="s">
        <v>378</v>
      </c>
      <c r="C521" t="s">
        <v>478</v>
      </c>
      <c r="E521" t="s">
        <v>477</v>
      </c>
      <c r="F521" t="s">
        <v>538</v>
      </c>
      <c r="G521" t="s">
        <v>575</v>
      </c>
    </row>
    <row r="522" spans="1:7" x14ac:dyDescent="0.2">
      <c r="A522" t="s">
        <v>275</v>
      </c>
      <c r="B522" t="s">
        <v>379</v>
      </c>
      <c r="C522" t="s">
        <v>478</v>
      </c>
      <c r="E522" t="s">
        <v>477</v>
      </c>
      <c r="F522" t="s">
        <v>538</v>
      </c>
      <c r="G522" t="s">
        <v>575</v>
      </c>
    </row>
    <row r="523" spans="1:7" x14ac:dyDescent="0.2">
      <c r="A523" t="s">
        <v>275</v>
      </c>
      <c r="B523" t="s">
        <v>380</v>
      </c>
      <c r="C523" t="s">
        <v>478</v>
      </c>
      <c r="E523" t="s">
        <v>477</v>
      </c>
      <c r="F523" t="s">
        <v>530</v>
      </c>
      <c r="G523" t="s">
        <v>575</v>
      </c>
    </row>
    <row r="524" spans="1:7" x14ac:dyDescent="0.2">
      <c r="A524" t="s">
        <v>275</v>
      </c>
      <c r="B524" t="s">
        <v>381</v>
      </c>
      <c r="C524" t="s">
        <v>478</v>
      </c>
      <c r="E524" t="s">
        <v>477</v>
      </c>
      <c r="F524" t="s">
        <v>530</v>
      </c>
      <c r="G524" t="s">
        <v>575</v>
      </c>
    </row>
    <row r="525" spans="1:7" x14ac:dyDescent="0.2">
      <c r="A525" t="s">
        <v>275</v>
      </c>
      <c r="B525" t="s">
        <v>382</v>
      </c>
      <c r="C525" t="s">
        <v>478</v>
      </c>
      <c r="E525" t="s">
        <v>477</v>
      </c>
      <c r="F525" t="s">
        <v>530</v>
      </c>
      <c r="G525" t="s">
        <v>575</v>
      </c>
    </row>
    <row r="526" spans="1:7" x14ac:dyDescent="0.2">
      <c r="A526" t="s">
        <v>275</v>
      </c>
      <c r="B526" t="s">
        <v>383</v>
      </c>
      <c r="C526" t="s">
        <v>478</v>
      </c>
      <c r="E526" t="s">
        <v>477</v>
      </c>
      <c r="F526" t="s">
        <v>530</v>
      </c>
      <c r="G526" t="s">
        <v>575</v>
      </c>
    </row>
    <row r="527" spans="1:7" x14ac:dyDescent="0.2">
      <c r="A527" t="s">
        <v>264</v>
      </c>
      <c r="B527" t="s">
        <v>384</v>
      </c>
      <c r="C527" t="s">
        <v>478</v>
      </c>
      <c r="E527" t="s">
        <v>477</v>
      </c>
      <c r="F527" t="s">
        <v>516</v>
      </c>
      <c r="G527" t="s">
        <v>575</v>
      </c>
    </row>
    <row r="528" spans="1:7" x14ac:dyDescent="0.2">
      <c r="A528" t="s">
        <v>284</v>
      </c>
      <c r="B528" t="s">
        <v>385</v>
      </c>
      <c r="C528" t="s">
        <v>477</v>
      </c>
      <c r="E528" t="s">
        <v>477</v>
      </c>
      <c r="F528" t="s">
        <v>539</v>
      </c>
      <c r="G528" t="s">
        <v>570</v>
      </c>
    </row>
    <row r="529" spans="1:7" x14ac:dyDescent="0.2">
      <c r="A529" t="s">
        <v>285</v>
      </c>
      <c r="B529" t="s">
        <v>386</v>
      </c>
      <c r="C529" t="s">
        <v>477</v>
      </c>
      <c r="E529" t="s">
        <v>477</v>
      </c>
      <c r="F529" t="s">
        <v>531</v>
      </c>
      <c r="G529" t="s">
        <v>570</v>
      </c>
    </row>
    <row r="530" spans="1:7" x14ac:dyDescent="0.2">
      <c r="A530" t="s">
        <v>286</v>
      </c>
      <c r="B530" t="s">
        <v>387</v>
      </c>
      <c r="C530" t="s">
        <v>486</v>
      </c>
      <c r="E530" t="s">
        <v>486</v>
      </c>
      <c r="F530" t="s">
        <v>540</v>
      </c>
      <c r="G530" t="s">
        <v>572</v>
      </c>
    </row>
    <row r="531" spans="1:7" x14ac:dyDescent="0.2">
      <c r="A531" t="s">
        <v>286</v>
      </c>
      <c r="B531" t="s">
        <v>388</v>
      </c>
      <c r="C531" t="s">
        <v>491</v>
      </c>
      <c r="E531" t="s">
        <v>491</v>
      </c>
      <c r="F531" t="s">
        <v>524</v>
      </c>
      <c r="G531" t="s">
        <v>573</v>
      </c>
    </row>
    <row r="532" spans="1:7" x14ac:dyDescent="0.2">
      <c r="A532" t="s">
        <v>286</v>
      </c>
      <c r="B532" t="s">
        <v>389</v>
      </c>
      <c r="C532" t="s">
        <v>491</v>
      </c>
      <c r="E532" t="s">
        <v>491</v>
      </c>
      <c r="F532" t="s">
        <v>524</v>
      </c>
      <c r="G532" t="s">
        <v>573</v>
      </c>
    </row>
    <row r="533" spans="1:7" x14ac:dyDescent="0.2">
      <c r="A533" t="s">
        <v>286</v>
      </c>
      <c r="B533" t="s">
        <v>390</v>
      </c>
      <c r="C533" t="s">
        <v>491</v>
      </c>
      <c r="E533" t="s">
        <v>491</v>
      </c>
      <c r="F533" t="s">
        <v>524</v>
      </c>
      <c r="G533" t="s">
        <v>573</v>
      </c>
    </row>
    <row r="534" spans="1:7" x14ac:dyDescent="0.2">
      <c r="A534" t="s">
        <v>286</v>
      </c>
      <c r="B534" t="s">
        <v>391</v>
      </c>
      <c r="C534" t="s">
        <v>491</v>
      </c>
      <c r="E534" t="s">
        <v>491</v>
      </c>
      <c r="F534" t="s">
        <v>524</v>
      </c>
      <c r="G534" t="s">
        <v>573</v>
      </c>
    </row>
    <row r="535" spans="1:7" x14ac:dyDescent="0.2">
      <c r="A535" t="s">
        <v>286</v>
      </c>
      <c r="B535" t="s">
        <v>392</v>
      </c>
      <c r="C535" t="s">
        <v>491</v>
      </c>
      <c r="E535" t="s">
        <v>491</v>
      </c>
      <c r="F535" t="s">
        <v>524</v>
      </c>
      <c r="G535" t="s">
        <v>573</v>
      </c>
    </row>
    <row r="536" spans="1:7" x14ac:dyDescent="0.2">
      <c r="A536" t="s">
        <v>286</v>
      </c>
      <c r="B536" t="s">
        <v>393</v>
      </c>
      <c r="C536" t="s">
        <v>491</v>
      </c>
      <c r="E536" t="s">
        <v>491</v>
      </c>
      <c r="F536" t="s">
        <v>524</v>
      </c>
      <c r="G536" t="s">
        <v>573</v>
      </c>
    </row>
    <row r="537" spans="1:7" x14ac:dyDescent="0.2">
      <c r="A537" t="s">
        <v>286</v>
      </c>
      <c r="B537" t="s">
        <v>394</v>
      </c>
      <c r="C537" t="s">
        <v>491</v>
      </c>
      <c r="E537" t="s">
        <v>491</v>
      </c>
      <c r="F537" t="s">
        <v>524</v>
      </c>
      <c r="G537" t="s">
        <v>573</v>
      </c>
    </row>
    <row r="538" spans="1:7" x14ac:dyDescent="0.2">
      <c r="A538" t="s">
        <v>286</v>
      </c>
      <c r="B538" t="s">
        <v>394</v>
      </c>
      <c r="C538" t="s">
        <v>491</v>
      </c>
      <c r="E538" t="s">
        <v>491</v>
      </c>
      <c r="F538" t="s">
        <v>524</v>
      </c>
      <c r="G538" t="s">
        <v>573</v>
      </c>
    </row>
    <row r="539" spans="1:7" x14ac:dyDescent="0.2">
      <c r="A539" t="s">
        <v>286</v>
      </c>
      <c r="B539" t="s">
        <v>395</v>
      </c>
      <c r="C539" t="s">
        <v>491</v>
      </c>
      <c r="E539" t="s">
        <v>491</v>
      </c>
      <c r="F539" t="s">
        <v>524</v>
      </c>
      <c r="G539" t="s">
        <v>573</v>
      </c>
    </row>
    <row r="540" spans="1:7" x14ac:dyDescent="0.2">
      <c r="A540" t="s">
        <v>286</v>
      </c>
      <c r="B540" t="s">
        <v>396</v>
      </c>
      <c r="C540" t="s">
        <v>486</v>
      </c>
      <c r="E540" t="s">
        <v>486</v>
      </c>
      <c r="F540" t="s">
        <v>541</v>
      </c>
      <c r="G540" t="s">
        <v>573</v>
      </c>
    </row>
    <row r="541" spans="1:7" x14ac:dyDescent="0.2">
      <c r="A541" t="s">
        <v>286</v>
      </c>
      <c r="B541" t="s">
        <v>397</v>
      </c>
      <c r="C541" t="s">
        <v>486</v>
      </c>
      <c r="E541" t="s">
        <v>486</v>
      </c>
      <c r="F541" t="s">
        <v>541</v>
      </c>
      <c r="G541" t="s">
        <v>573</v>
      </c>
    </row>
    <row r="542" spans="1:7" x14ac:dyDescent="0.2">
      <c r="A542" t="s">
        <v>286</v>
      </c>
      <c r="B542" t="s">
        <v>398</v>
      </c>
      <c r="C542" t="s">
        <v>486</v>
      </c>
      <c r="E542" t="s">
        <v>486</v>
      </c>
      <c r="F542" t="s">
        <v>541</v>
      </c>
      <c r="G542" t="s">
        <v>573</v>
      </c>
    </row>
    <row r="543" spans="1:7" x14ac:dyDescent="0.2">
      <c r="A543" t="s">
        <v>287</v>
      </c>
      <c r="B543" t="s">
        <v>399</v>
      </c>
      <c r="C543" t="s">
        <v>477</v>
      </c>
      <c r="E543" t="s">
        <v>477</v>
      </c>
      <c r="F543" t="s">
        <v>542</v>
      </c>
      <c r="G543" t="s">
        <v>573</v>
      </c>
    </row>
    <row r="544" spans="1:7" x14ac:dyDescent="0.2">
      <c r="A544" t="s">
        <v>288</v>
      </c>
      <c r="B544" t="s">
        <v>400</v>
      </c>
      <c r="C544" t="s">
        <v>477</v>
      </c>
      <c r="E544" t="s">
        <v>477</v>
      </c>
      <c r="F544" t="s">
        <v>543</v>
      </c>
      <c r="G544" t="s">
        <v>573</v>
      </c>
    </row>
    <row r="545" spans="1:7" x14ac:dyDescent="0.2">
      <c r="A545" t="s">
        <v>285</v>
      </c>
      <c r="B545" t="s">
        <v>401</v>
      </c>
      <c r="C545" t="s">
        <v>477</v>
      </c>
      <c r="E545" t="s">
        <v>477</v>
      </c>
      <c r="F545" t="s">
        <v>529</v>
      </c>
      <c r="G545" t="s">
        <v>570</v>
      </c>
    </row>
    <row r="546" spans="1:7" x14ac:dyDescent="0.2">
      <c r="A546" t="s">
        <v>289</v>
      </c>
      <c r="B546" t="s">
        <v>402</v>
      </c>
      <c r="C546" t="s">
        <v>492</v>
      </c>
      <c r="E546" t="s">
        <v>492</v>
      </c>
      <c r="F546" t="s">
        <v>529</v>
      </c>
      <c r="G546" t="s">
        <v>572</v>
      </c>
    </row>
    <row r="547" spans="1:7" x14ac:dyDescent="0.2">
      <c r="A547" t="s">
        <v>289</v>
      </c>
      <c r="B547" t="s">
        <v>403</v>
      </c>
      <c r="C547" t="s">
        <v>492</v>
      </c>
      <c r="E547" t="s">
        <v>492</v>
      </c>
      <c r="F547" t="s">
        <v>543</v>
      </c>
      <c r="G547" t="s">
        <v>572</v>
      </c>
    </row>
    <row r="548" spans="1:7" x14ac:dyDescent="0.2">
      <c r="A548" t="s">
        <v>289</v>
      </c>
      <c r="B548" t="s">
        <v>404</v>
      </c>
      <c r="C548" t="s">
        <v>492</v>
      </c>
      <c r="E548" t="s">
        <v>492</v>
      </c>
      <c r="F548" t="s">
        <v>529</v>
      </c>
      <c r="G548" t="s">
        <v>572</v>
      </c>
    </row>
    <row r="549" spans="1:7" x14ac:dyDescent="0.2">
      <c r="A549" t="s">
        <v>286</v>
      </c>
      <c r="B549" t="s">
        <v>405</v>
      </c>
      <c r="C549" t="s">
        <v>486</v>
      </c>
      <c r="E549" t="s">
        <v>486</v>
      </c>
      <c r="F549" t="s">
        <v>540</v>
      </c>
      <c r="G549" t="s">
        <v>572</v>
      </c>
    </row>
    <row r="550" spans="1:7" x14ac:dyDescent="0.2">
      <c r="A550" t="s">
        <v>286</v>
      </c>
      <c r="B550" t="s">
        <v>406</v>
      </c>
      <c r="C550" t="s">
        <v>486</v>
      </c>
      <c r="E550" t="s">
        <v>486</v>
      </c>
      <c r="F550" t="s">
        <v>536</v>
      </c>
      <c r="G550" t="s">
        <v>572</v>
      </c>
    </row>
    <row r="551" spans="1:7" x14ac:dyDescent="0.2">
      <c r="A551" t="s">
        <v>290</v>
      </c>
      <c r="B551" t="s">
        <v>407</v>
      </c>
      <c r="C551" t="s">
        <v>478</v>
      </c>
      <c r="E551" t="s">
        <v>478</v>
      </c>
      <c r="F551" t="s">
        <v>544</v>
      </c>
      <c r="G551" t="s">
        <v>569</v>
      </c>
    </row>
    <row r="552" spans="1:7" x14ac:dyDescent="0.2">
      <c r="A552" t="s">
        <v>291</v>
      </c>
      <c r="B552" t="s">
        <v>408</v>
      </c>
      <c r="C552" t="s">
        <v>478</v>
      </c>
      <c r="E552" t="s">
        <v>478</v>
      </c>
      <c r="F552" t="s">
        <v>545</v>
      </c>
      <c r="G552" t="s">
        <v>576</v>
      </c>
    </row>
    <row r="553" spans="1:7" x14ac:dyDescent="0.2">
      <c r="A553" t="s">
        <v>292</v>
      </c>
      <c r="B553" t="s">
        <v>409</v>
      </c>
      <c r="C553" t="s">
        <v>478</v>
      </c>
      <c r="E553" t="s">
        <v>478</v>
      </c>
      <c r="F553" t="s">
        <v>546</v>
      </c>
      <c r="G553" t="s">
        <v>576</v>
      </c>
    </row>
    <row r="554" spans="1:7" x14ac:dyDescent="0.2">
      <c r="A554" t="s">
        <v>292</v>
      </c>
      <c r="B554" t="s">
        <v>410</v>
      </c>
      <c r="C554" t="s">
        <v>478</v>
      </c>
      <c r="E554" t="s">
        <v>478</v>
      </c>
      <c r="F554" t="s">
        <v>547</v>
      </c>
      <c r="G554" t="s">
        <v>576</v>
      </c>
    </row>
    <row r="555" spans="1:7" x14ac:dyDescent="0.2">
      <c r="A555" t="s">
        <v>268</v>
      </c>
      <c r="B555" t="s">
        <v>411</v>
      </c>
      <c r="C555" t="s">
        <v>478</v>
      </c>
      <c r="E555" t="s">
        <v>478</v>
      </c>
      <c r="F555" t="s">
        <v>520</v>
      </c>
      <c r="G555" t="s">
        <v>576</v>
      </c>
    </row>
    <row r="556" spans="1:7" x14ac:dyDescent="0.2">
      <c r="A556" t="s">
        <v>293</v>
      </c>
      <c r="B556" t="s">
        <v>412</v>
      </c>
      <c r="C556" t="s">
        <v>478</v>
      </c>
      <c r="E556" t="s">
        <v>478</v>
      </c>
      <c r="F556" t="s">
        <v>536</v>
      </c>
      <c r="G556" t="s">
        <v>571</v>
      </c>
    </row>
    <row r="557" spans="1:7" x14ac:dyDescent="0.2">
      <c r="A557" t="s">
        <v>294</v>
      </c>
      <c r="B557" t="s">
        <v>413</v>
      </c>
      <c r="C557" t="s">
        <v>493</v>
      </c>
      <c r="E557" t="s">
        <v>493</v>
      </c>
      <c r="F557" t="s">
        <v>548</v>
      </c>
      <c r="G557" t="s">
        <v>577</v>
      </c>
    </row>
    <row r="558" spans="1:7" x14ac:dyDescent="0.2">
      <c r="A558" t="s">
        <v>295</v>
      </c>
      <c r="B558" t="s">
        <v>414</v>
      </c>
      <c r="C558" t="s">
        <v>494</v>
      </c>
      <c r="E558" t="s">
        <v>494</v>
      </c>
      <c r="F558" t="s">
        <v>549</v>
      </c>
      <c r="G558" t="s">
        <v>577</v>
      </c>
    </row>
    <row r="559" spans="1:7" x14ac:dyDescent="0.2">
      <c r="A559" t="s">
        <v>296</v>
      </c>
      <c r="B559" t="s">
        <v>415</v>
      </c>
      <c r="C559" t="s">
        <v>494</v>
      </c>
      <c r="E559" t="s">
        <v>494</v>
      </c>
      <c r="F559" t="s">
        <v>550</v>
      </c>
      <c r="G559" t="s">
        <v>577</v>
      </c>
    </row>
    <row r="560" spans="1:7" x14ac:dyDescent="0.2">
      <c r="A560" t="s">
        <v>297</v>
      </c>
      <c r="B560" t="s">
        <v>416</v>
      </c>
      <c r="C560" t="s">
        <v>488</v>
      </c>
      <c r="E560" t="s">
        <v>488</v>
      </c>
      <c r="F560" t="s">
        <v>551</v>
      </c>
      <c r="G560" t="s">
        <v>577</v>
      </c>
    </row>
    <row r="561" spans="1:7" x14ac:dyDescent="0.2">
      <c r="A561" t="s">
        <v>298</v>
      </c>
      <c r="B561" t="s">
        <v>417</v>
      </c>
      <c r="C561" t="s">
        <v>495</v>
      </c>
      <c r="E561" t="s">
        <v>495</v>
      </c>
      <c r="F561" t="s">
        <v>552</v>
      </c>
      <c r="G561" t="s">
        <v>577</v>
      </c>
    </row>
    <row r="562" spans="1:7" x14ac:dyDescent="0.2">
      <c r="A562" t="s">
        <v>299</v>
      </c>
      <c r="B562" t="s">
        <v>418</v>
      </c>
      <c r="C562" t="s">
        <v>496</v>
      </c>
      <c r="E562" t="s">
        <v>496</v>
      </c>
      <c r="F562" t="s">
        <v>516</v>
      </c>
      <c r="G562" t="s">
        <v>577</v>
      </c>
    </row>
    <row r="563" spans="1:7" x14ac:dyDescent="0.2">
      <c r="A563" t="s">
        <v>300</v>
      </c>
      <c r="B563" t="s">
        <v>419</v>
      </c>
      <c r="C563" t="s">
        <v>497</v>
      </c>
      <c r="E563" t="s">
        <v>497</v>
      </c>
      <c r="F563" t="s">
        <v>553</v>
      </c>
      <c r="G563" t="s">
        <v>577</v>
      </c>
    </row>
    <row r="564" spans="1:7" x14ac:dyDescent="0.2">
      <c r="A564" t="s">
        <v>301</v>
      </c>
      <c r="B564" t="s">
        <v>420</v>
      </c>
      <c r="C564" t="s">
        <v>478</v>
      </c>
      <c r="E564" t="s">
        <v>478</v>
      </c>
      <c r="F564" t="s">
        <v>516</v>
      </c>
      <c r="G564" t="s">
        <v>576</v>
      </c>
    </row>
    <row r="565" spans="1:7" x14ac:dyDescent="0.2">
      <c r="A565" t="s">
        <v>283</v>
      </c>
      <c r="B565" t="s">
        <v>421</v>
      </c>
      <c r="C565" t="s">
        <v>477</v>
      </c>
      <c r="E565" t="s">
        <v>477</v>
      </c>
      <c r="F565" t="s">
        <v>540</v>
      </c>
      <c r="G565" t="s">
        <v>578</v>
      </c>
    </row>
    <row r="566" spans="1:7" x14ac:dyDescent="0.2">
      <c r="A566" t="s">
        <v>264</v>
      </c>
      <c r="B566" t="s">
        <v>422</v>
      </c>
      <c r="C566" t="s">
        <v>477</v>
      </c>
      <c r="E566" t="s">
        <v>477</v>
      </c>
      <c r="F566" t="s">
        <v>541</v>
      </c>
      <c r="G566" t="s">
        <v>578</v>
      </c>
    </row>
    <row r="567" spans="1:7" x14ac:dyDescent="0.2">
      <c r="A567" t="s">
        <v>264</v>
      </c>
      <c r="B567" t="s">
        <v>423</v>
      </c>
      <c r="C567" t="s">
        <v>478</v>
      </c>
      <c r="E567" t="s">
        <v>478</v>
      </c>
      <c r="F567" t="s">
        <v>516</v>
      </c>
      <c r="G567" t="s">
        <v>578</v>
      </c>
    </row>
    <row r="568" spans="1:7" x14ac:dyDescent="0.2">
      <c r="A568" t="s">
        <v>301</v>
      </c>
      <c r="B568" t="s">
        <v>424</v>
      </c>
      <c r="C568" t="s">
        <v>478</v>
      </c>
      <c r="E568" t="s">
        <v>478</v>
      </c>
      <c r="F568" t="s">
        <v>537</v>
      </c>
      <c r="G568" t="s">
        <v>576</v>
      </c>
    </row>
    <row r="569" spans="1:7" x14ac:dyDescent="0.2">
      <c r="A569" t="s">
        <v>283</v>
      </c>
      <c r="B569" t="s">
        <v>425</v>
      </c>
      <c r="C569" t="s">
        <v>498</v>
      </c>
      <c r="E569" t="s">
        <v>498</v>
      </c>
      <c r="F569" t="s">
        <v>529</v>
      </c>
      <c r="G569" t="s">
        <v>578</v>
      </c>
    </row>
    <row r="570" spans="1:7" x14ac:dyDescent="0.2">
      <c r="A570" t="s">
        <v>302</v>
      </c>
      <c r="B570" t="s">
        <v>426</v>
      </c>
      <c r="C570" t="s">
        <v>478</v>
      </c>
      <c r="E570" t="s">
        <v>478</v>
      </c>
      <c r="F570" t="s">
        <v>529</v>
      </c>
      <c r="G570" t="s">
        <v>579</v>
      </c>
    </row>
    <row r="571" spans="1:7" x14ac:dyDescent="0.2">
      <c r="A571" t="s">
        <v>285</v>
      </c>
      <c r="B571" t="s">
        <v>427</v>
      </c>
      <c r="C571" t="s">
        <v>499</v>
      </c>
      <c r="E571" t="s">
        <v>499</v>
      </c>
      <c r="F571" t="s">
        <v>542</v>
      </c>
      <c r="G571" t="s">
        <v>577</v>
      </c>
    </row>
    <row r="572" spans="1:7" x14ac:dyDescent="0.2">
      <c r="A572" t="s">
        <v>303</v>
      </c>
      <c r="B572" t="s">
        <v>428</v>
      </c>
      <c r="C572" t="s">
        <v>500</v>
      </c>
      <c r="E572" t="s">
        <v>500</v>
      </c>
      <c r="F572" t="s">
        <v>546</v>
      </c>
      <c r="G572" t="s">
        <v>577</v>
      </c>
    </row>
    <row r="573" spans="1:7" x14ac:dyDescent="0.2">
      <c r="A573" t="s">
        <v>304</v>
      </c>
      <c r="B573" t="s">
        <v>429</v>
      </c>
      <c r="C573" t="s">
        <v>478</v>
      </c>
      <c r="E573" t="s">
        <v>478</v>
      </c>
      <c r="F573" t="s">
        <v>554</v>
      </c>
      <c r="G573" t="s">
        <v>569</v>
      </c>
    </row>
    <row r="574" spans="1:7" x14ac:dyDescent="0.2">
      <c r="A574" t="s">
        <v>277</v>
      </c>
      <c r="B574" t="s">
        <v>430</v>
      </c>
      <c r="C574" t="s">
        <v>478</v>
      </c>
      <c r="E574" t="s">
        <v>478</v>
      </c>
      <c r="F574" t="s">
        <v>539</v>
      </c>
      <c r="G574" t="s">
        <v>571</v>
      </c>
    </row>
    <row r="575" spans="1:7" x14ac:dyDescent="0.2">
      <c r="A575" t="s">
        <v>277</v>
      </c>
      <c r="B575" t="s">
        <v>431</v>
      </c>
      <c r="C575" t="s">
        <v>478</v>
      </c>
      <c r="E575" t="s">
        <v>478</v>
      </c>
      <c r="F575" t="s">
        <v>534</v>
      </c>
      <c r="G575" t="s">
        <v>571</v>
      </c>
    </row>
    <row r="576" spans="1:7" x14ac:dyDescent="0.2">
      <c r="A576" t="s">
        <v>277</v>
      </c>
      <c r="B576" t="s">
        <v>432</v>
      </c>
      <c r="C576" t="s">
        <v>501</v>
      </c>
      <c r="E576" t="s">
        <v>501</v>
      </c>
      <c r="F576" t="s">
        <v>555</v>
      </c>
      <c r="G576" t="s">
        <v>571</v>
      </c>
    </row>
    <row r="577" spans="1:7" x14ac:dyDescent="0.2">
      <c r="A577" t="s">
        <v>263</v>
      </c>
      <c r="B577" t="s">
        <v>433</v>
      </c>
      <c r="C577" t="s">
        <v>502</v>
      </c>
      <c r="E577" t="s">
        <v>502</v>
      </c>
      <c r="F577" t="s">
        <v>556</v>
      </c>
      <c r="G577" t="s">
        <v>580</v>
      </c>
    </row>
    <row r="578" spans="1:7" x14ac:dyDescent="0.2">
      <c r="A578" t="s">
        <v>268</v>
      </c>
      <c r="B578" t="s">
        <v>434</v>
      </c>
      <c r="C578" t="s">
        <v>478</v>
      </c>
      <c r="E578" t="s">
        <v>478</v>
      </c>
      <c r="F578" t="s">
        <v>520</v>
      </c>
      <c r="G578" t="s">
        <v>571</v>
      </c>
    </row>
    <row r="579" spans="1:7" x14ac:dyDescent="0.2">
      <c r="A579" t="s">
        <v>305</v>
      </c>
      <c r="B579" t="s">
        <v>435</v>
      </c>
      <c r="C579" t="s">
        <v>478</v>
      </c>
      <c r="E579" t="s">
        <v>478</v>
      </c>
      <c r="F579" t="s">
        <v>557</v>
      </c>
      <c r="G579" t="s">
        <v>569</v>
      </c>
    </row>
    <row r="580" spans="1:7" x14ac:dyDescent="0.2">
      <c r="A580" t="s">
        <v>306</v>
      </c>
      <c r="B580" t="s">
        <v>436</v>
      </c>
      <c r="C580" t="s">
        <v>478</v>
      </c>
      <c r="E580" t="s">
        <v>478</v>
      </c>
      <c r="F580" t="s">
        <v>558</v>
      </c>
      <c r="G580" t="s">
        <v>569</v>
      </c>
    </row>
    <row r="581" spans="1:7" x14ac:dyDescent="0.2">
      <c r="A581" t="s">
        <v>307</v>
      </c>
      <c r="B581" t="s">
        <v>437</v>
      </c>
      <c r="C581" t="s">
        <v>478</v>
      </c>
      <c r="E581" t="s">
        <v>478</v>
      </c>
      <c r="F581" t="s">
        <v>559</v>
      </c>
      <c r="G581" t="s">
        <v>574</v>
      </c>
    </row>
    <row r="582" spans="1:7" x14ac:dyDescent="0.2">
      <c r="A582" t="s">
        <v>308</v>
      </c>
      <c r="B582" t="s">
        <v>438</v>
      </c>
      <c r="C582" t="s">
        <v>478</v>
      </c>
      <c r="E582" t="s">
        <v>478</v>
      </c>
      <c r="F582" t="s">
        <v>560</v>
      </c>
      <c r="G582" t="s">
        <v>569</v>
      </c>
    </row>
    <row r="583" spans="1:7" x14ac:dyDescent="0.2">
      <c r="A583" t="s">
        <v>309</v>
      </c>
      <c r="B583" t="s">
        <v>439</v>
      </c>
      <c r="C583" t="s">
        <v>478</v>
      </c>
      <c r="E583" t="s">
        <v>478</v>
      </c>
      <c r="F583" t="s">
        <v>558</v>
      </c>
      <c r="G583" t="s">
        <v>574</v>
      </c>
    </row>
    <row r="584" spans="1:7" x14ac:dyDescent="0.2">
      <c r="A584" t="s">
        <v>310</v>
      </c>
      <c r="B584" t="s">
        <v>440</v>
      </c>
      <c r="C584" t="s">
        <v>478</v>
      </c>
      <c r="E584" t="s">
        <v>478</v>
      </c>
      <c r="F584" t="s">
        <v>561</v>
      </c>
      <c r="G584" t="s">
        <v>569</v>
      </c>
    </row>
    <row r="585" spans="1:7" x14ac:dyDescent="0.2">
      <c r="A585" t="s">
        <v>311</v>
      </c>
      <c r="B585" t="s">
        <v>441</v>
      </c>
      <c r="C585" t="s">
        <v>481</v>
      </c>
      <c r="E585" t="s">
        <v>481</v>
      </c>
      <c r="F585" t="s">
        <v>527</v>
      </c>
      <c r="G585" t="s">
        <v>580</v>
      </c>
    </row>
    <row r="586" spans="1:7" x14ac:dyDescent="0.2">
      <c r="A586" t="s">
        <v>311</v>
      </c>
      <c r="B586" t="s">
        <v>442</v>
      </c>
      <c r="C586" t="s">
        <v>482</v>
      </c>
      <c r="E586" t="s">
        <v>482</v>
      </c>
      <c r="F586" t="s">
        <v>562</v>
      </c>
      <c r="G586" t="s">
        <v>580</v>
      </c>
    </row>
    <row r="587" spans="1:7" x14ac:dyDescent="0.2">
      <c r="A587" t="s">
        <v>311</v>
      </c>
      <c r="B587" t="s">
        <v>443</v>
      </c>
      <c r="C587" t="s">
        <v>481</v>
      </c>
      <c r="E587" t="s">
        <v>481</v>
      </c>
      <c r="F587" t="s">
        <v>563</v>
      </c>
      <c r="G587" t="s">
        <v>580</v>
      </c>
    </row>
    <row r="588" spans="1:7" x14ac:dyDescent="0.2">
      <c r="A588" t="s">
        <v>312</v>
      </c>
      <c r="B588" t="s">
        <v>444</v>
      </c>
      <c r="C588" t="s">
        <v>481</v>
      </c>
      <c r="E588" t="s">
        <v>481</v>
      </c>
      <c r="F588" t="s">
        <v>526</v>
      </c>
      <c r="G588" t="s">
        <v>580</v>
      </c>
    </row>
    <row r="589" spans="1:7" x14ac:dyDescent="0.2">
      <c r="A589" t="s">
        <v>286</v>
      </c>
      <c r="B589" t="s">
        <v>445</v>
      </c>
      <c r="C589" t="s">
        <v>486</v>
      </c>
      <c r="E589" t="s">
        <v>486</v>
      </c>
      <c r="F589" t="s">
        <v>542</v>
      </c>
      <c r="G589" t="s">
        <v>580</v>
      </c>
    </row>
    <row r="590" spans="1:7" x14ac:dyDescent="0.2">
      <c r="A590" t="s">
        <v>286</v>
      </c>
      <c r="B590" t="s">
        <v>446</v>
      </c>
      <c r="C590" t="s">
        <v>486</v>
      </c>
      <c r="E590" t="s">
        <v>486</v>
      </c>
      <c r="F590" t="s">
        <v>541</v>
      </c>
      <c r="G590" t="s">
        <v>580</v>
      </c>
    </row>
    <row r="591" spans="1:7" x14ac:dyDescent="0.2">
      <c r="A591" t="s">
        <v>313</v>
      </c>
      <c r="B591" t="s">
        <v>447</v>
      </c>
      <c r="C591" t="s">
        <v>478</v>
      </c>
      <c r="E591" t="s">
        <v>478</v>
      </c>
      <c r="F591" t="s">
        <v>516</v>
      </c>
      <c r="G591" t="s">
        <v>569</v>
      </c>
    </row>
    <row r="592" spans="1:7" x14ac:dyDescent="0.2">
      <c r="A592" t="s">
        <v>314</v>
      </c>
      <c r="B592" t="s">
        <v>448</v>
      </c>
      <c r="C592" t="s">
        <v>478</v>
      </c>
      <c r="E592" t="s">
        <v>478</v>
      </c>
      <c r="F592" t="s">
        <v>516</v>
      </c>
      <c r="G592" t="s">
        <v>569</v>
      </c>
    </row>
    <row r="593" spans="1:7" x14ac:dyDescent="0.2">
      <c r="A593" t="s">
        <v>315</v>
      </c>
      <c r="B593" t="s">
        <v>449</v>
      </c>
      <c r="C593" t="s">
        <v>478</v>
      </c>
      <c r="E593" t="s">
        <v>478</v>
      </c>
      <c r="F593" t="s">
        <v>530</v>
      </c>
      <c r="G593" t="s">
        <v>569</v>
      </c>
    </row>
    <row r="594" spans="1:7" x14ac:dyDescent="0.2">
      <c r="A594" t="s">
        <v>315</v>
      </c>
      <c r="B594" t="s">
        <v>450</v>
      </c>
      <c r="C594" t="s">
        <v>478</v>
      </c>
      <c r="E594" t="s">
        <v>478</v>
      </c>
      <c r="F594" t="s">
        <v>530</v>
      </c>
      <c r="G594" t="s">
        <v>569</v>
      </c>
    </row>
    <row r="595" spans="1:7" x14ac:dyDescent="0.2">
      <c r="A595" t="s">
        <v>315</v>
      </c>
      <c r="B595" t="s">
        <v>451</v>
      </c>
      <c r="C595" t="s">
        <v>478</v>
      </c>
      <c r="E595" t="s">
        <v>478</v>
      </c>
      <c r="F595" t="s">
        <v>530</v>
      </c>
      <c r="G595" t="s">
        <v>569</v>
      </c>
    </row>
    <row r="596" spans="1:7" x14ac:dyDescent="0.2">
      <c r="A596" t="s">
        <v>313</v>
      </c>
      <c r="B596" t="s">
        <v>452</v>
      </c>
      <c r="C596" t="s">
        <v>478</v>
      </c>
      <c r="E596" t="s">
        <v>478</v>
      </c>
      <c r="F596" t="s">
        <v>524</v>
      </c>
      <c r="G596" t="s">
        <v>569</v>
      </c>
    </row>
    <row r="597" spans="1:7" x14ac:dyDescent="0.2">
      <c r="A597" t="s">
        <v>314</v>
      </c>
      <c r="B597" t="s">
        <v>453</v>
      </c>
      <c r="C597" t="s">
        <v>478</v>
      </c>
      <c r="E597" t="s">
        <v>478</v>
      </c>
      <c r="F597" t="s">
        <v>538</v>
      </c>
      <c r="G597" t="s">
        <v>569</v>
      </c>
    </row>
    <row r="598" spans="1:7" x14ac:dyDescent="0.2">
      <c r="A598" t="s">
        <v>314</v>
      </c>
      <c r="B598" t="s">
        <v>454</v>
      </c>
      <c r="C598" t="s">
        <v>478</v>
      </c>
      <c r="E598" t="s">
        <v>478</v>
      </c>
      <c r="F598" t="s">
        <v>530</v>
      </c>
      <c r="G598" t="s">
        <v>569</v>
      </c>
    </row>
    <row r="599" spans="1:7" x14ac:dyDescent="0.2">
      <c r="A599" t="s">
        <v>314</v>
      </c>
      <c r="B599" t="s">
        <v>455</v>
      </c>
      <c r="C599" t="s">
        <v>478</v>
      </c>
      <c r="E599" t="s">
        <v>478</v>
      </c>
      <c r="F599" t="s">
        <v>538</v>
      </c>
      <c r="G599" t="s">
        <v>569</v>
      </c>
    </row>
    <row r="600" spans="1:7" x14ac:dyDescent="0.2">
      <c r="A600" t="s">
        <v>314</v>
      </c>
      <c r="B600" t="s">
        <v>456</v>
      </c>
      <c r="C600" t="s">
        <v>478</v>
      </c>
      <c r="E600" t="s">
        <v>478</v>
      </c>
      <c r="F600" t="s">
        <v>530</v>
      </c>
      <c r="G600" t="s">
        <v>569</v>
      </c>
    </row>
    <row r="601" spans="1:7" x14ac:dyDescent="0.2">
      <c r="A601" t="s">
        <v>277</v>
      </c>
      <c r="B601" t="s">
        <v>457</v>
      </c>
      <c r="C601" t="s">
        <v>501</v>
      </c>
      <c r="E601" t="s">
        <v>501</v>
      </c>
      <c r="F601" t="s">
        <v>564</v>
      </c>
      <c r="G601" t="s">
        <v>571</v>
      </c>
    </row>
    <row r="602" spans="1:7" x14ac:dyDescent="0.2">
      <c r="A602" t="s">
        <v>263</v>
      </c>
      <c r="B602" t="s">
        <v>458</v>
      </c>
      <c r="C602" t="s">
        <v>476</v>
      </c>
      <c r="E602" t="s">
        <v>476</v>
      </c>
      <c r="F602" t="s">
        <v>565</v>
      </c>
      <c r="G602" t="s">
        <v>580</v>
      </c>
    </row>
    <row r="603" spans="1:7" x14ac:dyDescent="0.2">
      <c r="A603" t="s">
        <v>316</v>
      </c>
      <c r="B603" t="s">
        <v>459</v>
      </c>
      <c r="C603" t="s">
        <v>478</v>
      </c>
      <c r="E603" t="s">
        <v>478</v>
      </c>
      <c r="F603" t="s">
        <v>557</v>
      </c>
      <c r="G603" t="s">
        <v>569</v>
      </c>
    </row>
    <row r="604" spans="1:7" x14ac:dyDescent="0.2">
      <c r="A604" t="s">
        <v>317</v>
      </c>
      <c r="B604" t="s">
        <v>460</v>
      </c>
      <c r="C604" t="s">
        <v>478</v>
      </c>
      <c r="E604" t="s">
        <v>478</v>
      </c>
      <c r="F604" t="s">
        <v>560</v>
      </c>
      <c r="G604" t="s">
        <v>569</v>
      </c>
    </row>
    <row r="605" spans="1:7" x14ac:dyDescent="0.2">
      <c r="A605" t="s">
        <v>318</v>
      </c>
      <c r="B605" t="s">
        <v>461</v>
      </c>
      <c r="C605" t="s">
        <v>478</v>
      </c>
      <c r="E605" t="s">
        <v>478</v>
      </c>
      <c r="F605" t="s">
        <v>561</v>
      </c>
      <c r="G605" t="s">
        <v>574</v>
      </c>
    </row>
    <row r="606" spans="1:7" x14ac:dyDescent="0.2">
      <c r="A606" t="s">
        <v>319</v>
      </c>
      <c r="B606" t="s">
        <v>462</v>
      </c>
      <c r="C606" t="s">
        <v>482</v>
      </c>
      <c r="E606" t="s">
        <v>482</v>
      </c>
      <c r="F606" t="s">
        <v>526</v>
      </c>
      <c r="G606" t="s">
        <v>580</v>
      </c>
    </row>
    <row r="607" spans="1:7" x14ac:dyDescent="0.2">
      <c r="A607" t="s">
        <v>320</v>
      </c>
      <c r="B607" t="s">
        <v>463</v>
      </c>
      <c r="C607" t="s">
        <v>488</v>
      </c>
      <c r="E607" t="s">
        <v>488</v>
      </c>
      <c r="F607" t="s">
        <v>562</v>
      </c>
      <c r="G607" t="s">
        <v>580</v>
      </c>
    </row>
    <row r="608" spans="1:7" x14ac:dyDescent="0.2">
      <c r="A608" t="s">
        <v>319</v>
      </c>
      <c r="B608" t="s">
        <v>464</v>
      </c>
      <c r="C608" t="s">
        <v>482</v>
      </c>
      <c r="E608" t="s">
        <v>482</v>
      </c>
      <c r="F608" t="s">
        <v>563</v>
      </c>
      <c r="G608" t="s">
        <v>580</v>
      </c>
    </row>
    <row r="609" spans="1:7" x14ac:dyDescent="0.2">
      <c r="A609" t="s">
        <v>319</v>
      </c>
      <c r="B609" t="s">
        <v>465</v>
      </c>
      <c r="C609" t="s">
        <v>481</v>
      </c>
      <c r="E609" t="s">
        <v>481</v>
      </c>
      <c r="F609" t="s">
        <v>526</v>
      </c>
      <c r="G609" t="s">
        <v>580</v>
      </c>
    </row>
    <row r="610" spans="1:7" x14ac:dyDescent="0.2">
      <c r="A610" t="s">
        <v>321</v>
      </c>
      <c r="B610" t="s">
        <v>466</v>
      </c>
      <c r="C610" t="s">
        <v>488</v>
      </c>
      <c r="E610" t="s">
        <v>488</v>
      </c>
      <c r="F610" t="s">
        <v>547</v>
      </c>
      <c r="G610" t="s">
        <v>574</v>
      </c>
    </row>
    <row r="611" spans="1:7" x14ac:dyDescent="0.2">
      <c r="A611" t="s">
        <v>322</v>
      </c>
      <c r="B611" t="s">
        <v>467</v>
      </c>
      <c r="C611" t="s">
        <v>482</v>
      </c>
      <c r="E611" t="s">
        <v>482</v>
      </c>
      <c r="F611" t="s">
        <v>566</v>
      </c>
      <c r="G611" t="s">
        <v>574</v>
      </c>
    </row>
    <row r="612" spans="1:7" x14ac:dyDescent="0.2">
      <c r="A612" t="s">
        <v>283</v>
      </c>
      <c r="B612" t="s">
        <v>468</v>
      </c>
      <c r="C612" t="s">
        <v>478</v>
      </c>
      <c r="E612" t="s">
        <v>478</v>
      </c>
      <c r="F612" t="s">
        <v>524</v>
      </c>
      <c r="G612" t="s">
        <v>581</v>
      </c>
    </row>
    <row r="613" spans="1:7" x14ac:dyDescent="0.2">
      <c r="A613" t="s">
        <v>275</v>
      </c>
      <c r="B613" t="s">
        <v>469</v>
      </c>
      <c r="C613" t="s">
        <v>478</v>
      </c>
      <c r="E613" t="s">
        <v>478</v>
      </c>
      <c r="F613" t="s">
        <v>530</v>
      </c>
      <c r="G613" t="s">
        <v>581</v>
      </c>
    </row>
    <row r="614" spans="1:7" x14ac:dyDescent="0.2">
      <c r="A614" t="s">
        <v>275</v>
      </c>
      <c r="B614" t="s">
        <v>470</v>
      </c>
      <c r="C614" t="s">
        <v>478</v>
      </c>
      <c r="E614" t="s">
        <v>478</v>
      </c>
      <c r="F614" t="s">
        <v>530</v>
      </c>
      <c r="G614" t="s">
        <v>581</v>
      </c>
    </row>
    <row r="615" spans="1:7" x14ac:dyDescent="0.2">
      <c r="A615" t="s">
        <v>275</v>
      </c>
      <c r="B615" t="s">
        <v>471</v>
      </c>
      <c r="C615" t="s">
        <v>478</v>
      </c>
      <c r="E615" t="s">
        <v>478</v>
      </c>
      <c r="F615" t="s">
        <v>530</v>
      </c>
      <c r="G615" t="s">
        <v>581</v>
      </c>
    </row>
    <row r="616" spans="1:7" x14ac:dyDescent="0.2">
      <c r="A616" t="s">
        <v>275</v>
      </c>
      <c r="B616" t="s">
        <v>472</v>
      </c>
      <c r="C616" t="s">
        <v>478</v>
      </c>
      <c r="E616" t="s">
        <v>478</v>
      </c>
      <c r="F616" t="s">
        <v>530</v>
      </c>
      <c r="G616" t="s">
        <v>581</v>
      </c>
    </row>
    <row r="617" spans="1:7" x14ac:dyDescent="0.2">
      <c r="A617" t="s">
        <v>286</v>
      </c>
      <c r="B617" t="s">
        <v>473</v>
      </c>
      <c r="C617" t="s">
        <v>486</v>
      </c>
      <c r="E617" t="s">
        <v>486</v>
      </c>
      <c r="F617" t="s">
        <v>542</v>
      </c>
      <c r="G617" t="s">
        <v>580</v>
      </c>
    </row>
    <row r="618" spans="1:7" x14ac:dyDescent="0.2">
      <c r="A618" t="s">
        <v>286</v>
      </c>
      <c r="B618" t="s">
        <v>474</v>
      </c>
      <c r="C618" t="s">
        <v>486</v>
      </c>
      <c r="E618" t="s">
        <v>486</v>
      </c>
      <c r="F618" t="s">
        <v>542</v>
      </c>
      <c r="G618" t="s">
        <v>580</v>
      </c>
    </row>
    <row r="619" spans="1:7" x14ac:dyDescent="0.2">
      <c r="A619" t="s">
        <v>289</v>
      </c>
      <c r="B619" t="s">
        <v>475</v>
      </c>
      <c r="C619" t="s">
        <v>478</v>
      </c>
      <c r="E619" t="s">
        <v>478</v>
      </c>
      <c r="F619" t="s">
        <v>559</v>
      </c>
      <c r="G619" t="s">
        <v>574</v>
      </c>
    </row>
    <row r="620" spans="1:7" x14ac:dyDescent="0.2">
      <c r="A620" t="s">
        <v>302</v>
      </c>
      <c r="B620" t="s">
        <v>302</v>
      </c>
      <c r="C620" t="s">
        <v>478</v>
      </c>
      <c r="E620" t="s">
        <v>478</v>
      </c>
      <c r="F620" t="s">
        <v>567</v>
      </c>
      <c r="G620" t="s">
        <v>579</v>
      </c>
    </row>
    <row r="621" spans="1:7" x14ac:dyDescent="0.2">
      <c r="A621" t="s">
        <v>323</v>
      </c>
      <c r="B621" t="s">
        <v>302</v>
      </c>
      <c r="C621" t="s">
        <v>478</v>
      </c>
      <c r="E621" t="s">
        <v>478</v>
      </c>
      <c r="F621" t="s">
        <v>568</v>
      </c>
      <c r="G621" t="s">
        <v>569</v>
      </c>
    </row>
    <row r="622" spans="1:7" x14ac:dyDescent="0.2">
      <c r="A622" t="s">
        <v>263</v>
      </c>
      <c r="B622" t="s">
        <v>324</v>
      </c>
      <c r="C622" t="s">
        <v>476</v>
      </c>
      <c r="E622" t="s">
        <v>478</v>
      </c>
      <c r="F622" t="s">
        <v>515</v>
      </c>
      <c r="G622" t="s">
        <v>319</v>
      </c>
    </row>
    <row r="623" spans="1:7" x14ac:dyDescent="0.2">
      <c r="A623" t="s">
        <v>264</v>
      </c>
      <c r="B623" t="s">
        <v>325</v>
      </c>
      <c r="C623" t="s">
        <v>477</v>
      </c>
      <c r="E623" t="s">
        <v>477</v>
      </c>
      <c r="F623" t="s">
        <v>516</v>
      </c>
      <c r="G623" t="s">
        <v>569</v>
      </c>
    </row>
    <row r="624" spans="1:7" x14ac:dyDescent="0.2">
      <c r="A624" t="s">
        <v>265</v>
      </c>
      <c r="B624" t="s">
        <v>326</v>
      </c>
      <c r="C624" t="s">
        <v>478</v>
      </c>
      <c r="E624" t="s">
        <v>478</v>
      </c>
      <c r="F624" t="s">
        <v>517</v>
      </c>
      <c r="G624" t="s">
        <v>570</v>
      </c>
    </row>
    <row r="625" spans="1:7" x14ac:dyDescent="0.2">
      <c r="A625" t="s">
        <v>266</v>
      </c>
      <c r="B625" t="s">
        <v>327</v>
      </c>
      <c r="C625" t="s">
        <v>479</v>
      </c>
      <c r="E625" t="s">
        <v>479</v>
      </c>
      <c r="F625" t="s">
        <v>518</v>
      </c>
      <c r="G625" t="s">
        <v>571</v>
      </c>
    </row>
    <row r="626" spans="1:7" x14ac:dyDescent="0.2">
      <c r="A626" t="s">
        <v>267</v>
      </c>
      <c r="B626" t="s">
        <v>328</v>
      </c>
      <c r="C626" t="s">
        <v>480</v>
      </c>
      <c r="E626" t="s">
        <v>480</v>
      </c>
      <c r="F626" t="s">
        <v>519</v>
      </c>
      <c r="G626" t="s">
        <v>572</v>
      </c>
    </row>
    <row r="627" spans="1:7" x14ac:dyDescent="0.2">
      <c r="A627" t="s">
        <v>268</v>
      </c>
      <c r="B627" t="s">
        <v>329</v>
      </c>
      <c r="C627" t="s">
        <v>478</v>
      </c>
      <c r="E627" t="s">
        <v>478</v>
      </c>
      <c r="F627" t="s">
        <v>520</v>
      </c>
      <c r="G627" t="s">
        <v>571</v>
      </c>
    </row>
    <row r="628" spans="1:7" x14ac:dyDescent="0.2">
      <c r="A628" t="s">
        <v>268</v>
      </c>
      <c r="B628" t="s">
        <v>330</v>
      </c>
      <c r="C628" t="s">
        <v>478</v>
      </c>
      <c r="E628" t="s">
        <v>478</v>
      </c>
      <c r="F628" t="s">
        <v>516</v>
      </c>
      <c r="G628" t="s">
        <v>571</v>
      </c>
    </row>
    <row r="629" spans="1:7" x14ac:dyDescent="0.2">
      <c r="A629" t="s">
        <v>268</v>
      </c>
      <c r="B629" t="s">
        <v>331</v>
      </c>
      <c r="C629" t="s">
        <v>478</v>
      </c>
      <c r="E629" t="s">
        <v>478</v>
      </c>
      <c r="F629" t="s">
        <v>520</v>
      </c>
      <c r="G629" t="s">
        <v>571</v>
      </c>
    </row>
    <row r="630" spans="1:7" x14ac:dyDescent="0.2">
      <c r="A630" t="s">
        <v>269</v>
      </c>
      <c r="B630" t="s">
        <v>332</v>
      </c>
      <c r="C630" t="s">
        <v>481</v>
      </c>
      <c r="E630" t="s">
        <v>481</v>
      </c>
      <c r="F630" t="s">
        <v>521</v>
      </c>
      <c r="G630" t="s">
        <v>573</v>
      </c>
    </row>
    <row r="631" spans="1:7" x14ac:dyDescent="0.2">
      <c r="A631" t="s">
        <v>270</v>
      </c>
      <c r="B631" t="s">
        <v>333</v>
      </c>
      <c r="C631" t="s">
        <v>481</v>
      </c>
      <c r="E631" t="s">
        <v>481</v>
      </c>
      <c r="F631" t="s">
        <v>522</v>
      </c>
      <c r="G631" t="s">
        <v>573</v>
      </c>
    </row>
    <row r="632" spans="1:7" x14ac:dyDescent="0.2">
      <c r="A632" t="s">
        <v>270</v>
      </c>
      <c r="B632" t="s">
        <v>334</v>
      </c>
      <c r="C632" t="s">
        <v>481</v>
      </c>
      <c r="E632" t="s">
        <v>481</v>
      </c>
      <c r="F632" t="s">
        <v>523</v>
      </c>
      <c r="G632" t="s">
        <v>573</v>
      </c>
    </row>
    <row r="633" spans="1:7" x14ac:dyDescent="0.2">
      <c r="A633" t="s">
        <v>271</v>
      </c>
      <c r="B633" t="s">
        <v>335</v>
      </c>
      <c r="C633" t="s">
        <v>478</v>
      </c>
      <c r="E633" t="s">
        <v>478</v>
      </c>
      <c r="F633" t="s">
        <v>524</v>
      </c>
      <c r="G633" t="s">
        <v>574</v>
      </c>
    </row>
    <row r="634" spans="1:7" x14ac:dyDescent="0.2">
      <c r="A634" t="s">
        <v>269</v>
      </c>
      <c r="B634" t="s">
        <v>336</v>
      </c>
      <c r="C634" t="s">
        <v>481</v>
      </c>
      <c r="E634" t="s">
        <v>481</v>
      </c>
      <c r="F634" t="s">
        <v>525</v>
      </c>
      <c r="G634" t="s">
        <v>573</v>
      </c>
    </row>
    <row r="635" spans="1:7" x14ac:dyDescent="0.2">
      <c r="A635" t="s">
        <v>272</v>
      </c>
      <c r="B635" t="s">
        <v>337</v>
      </c>
      <c r="C635" t="s">
        <v>481</v>
      </c>
      <c r="E635" t="s">
        <v>481</v>
      </c>
      <c r="F635" t="s">
        <v>526</v>
      </c>
      <c r="G635" t="s">
        <v>572</v>
      </c>
    </row>
    <row r="636" spans="1:7" x14ac:dyDescent="0.2">
      <c r="A636" t="s">
        <v>272</v>
      </c>
      <c r="B636" t="s">
        <v>338</v>
      </c>
      <c r="C636" t="s">
        <v>481</v>
      </c>
      <c r="E636" t="s">
        <v>481</v>
      </c>
      <c r="F636" t="s">
        <v>527</v>
      </c>
      <c r="G636" t="s">
        <v>572</v>
      </c>
    </row>
    <row r="637" spans="1:7" x14ac:dyDescent="0.2">
      <c r="A637" t="s">
        <v>273</v>
      </c>
      <c r="B637" t="s">
        <v>339</v>
      </c>
      <c r="C637" t="s">
        <v>481</v>
      </c>
      <c r="E637" t="s">
        <v>481</v>
      </c>
      <c r="F637" t="s">
        <v>527</v>
      </c>
      <c r="G637" t="s">
        <v>572</v>
      </c>
    </row>
    <row r="638" spans="1:7" x14ac:dyDescent="0.2">
      <c r="A638" t="s">
        <v>273</v>
      </c>
      <c r="B638" t="s">
        <v>340</v>
      </c>
      <c r="C638" t="s">
        <v>482</v>
      </c>
      <c r="E638" t="s">
        <v>482</v>
      </c>
      <c r="F638" t="s">
        <v>528</v>
      </c>
      <c r="G638" t="s">
        <v>572</v>
      </c>
    </row>
    <row r="639" spans="1:7" x14ac:dyDescent="0.2">
      <c r="A639" t="s">
        <v>273</v>
      </c>
      <c r="B639" t="s">
        <v>341</v>
      </c>
      <c r="C639" t="s">
        <v>481</v>
      </c>
      <c r="E639" t="s">
        <v>481</v>
      </c>
      <c r="F639" t="s">
        <v>527</v>
      </c>
      <c r="G639" t="s">
        <v>572</v>
      </c>
    </row>
    <row r="640" spans="1:7" x14ac:dyDescent="0.2">
      <c r="A640" t="s">
        <v>273</v>
      </c>
      <c r="B640" t="s">
        <v>342</v>
      </c>
      <c r="C640" t="s">
        <v>481</v>
      </c>
      <c r="E640" t="s">
        <v>481</v>
      </c>
      <c r="F640" t="s">
        <v>526</v>
      </c>
      <c r="G640" t="s">
        <v>572</v>
      </c>
    </row>
    <row r="641" spans="1:7" x14ac:dyDescent="0.2">
      <c r="A641" t="s">
        <v>274</v>
      </c>
      <c r="B641" t="s">
        <v>343</v>
      </c>
      <c r="C641" t="s">
        <v>483</v>
      </c>
      <c r="E641" t="s">
        <v>483</v>
      </c>
      <c r="F641" t="s">
        <v>529</v>
      </c>
      <c r="G641" t="s">
        <v>575</v>
      </c>
    </row>
    <row r="642" spans="1:7" x14ac:dyDescent="0.2">
      <c r="A642" t="s">
        <v>275</v>
      </c>
      <c r="B642" t="s">
        <v>344</v>
      </c>
      <c r="C642" t="s">
        <v>478</v>
      </c>
      <c r="E642" t="s">
        <v>477</v>
      </c>
      <c r="F642" t="s">
        <v>530</v>
      </c>
      <c r="G642" t="s">
        <v>575</v>
      </c>
    </row>
    <row r="643" spans="1:7" x14ac:dyDescent="0.2">
      <c r="A643" t="s">
        <v>275</v>
      </c>
      <c r="B643" t="s">
        <v>345</v>
      </c>
      <c r="C643" t="s">
        <v>478</v>
      </c>
      <c r="E643" t="s">
        <v>477</v>
      </c>
      <c r="F643" t="s">
        <v>530</v>
      </c>
      <c r="G643" t="s">
        <v>575</v>
      </c>
    </row>
    <row r="644" spans="1:7" x14ac:dyDescent="0.2">
      <c r="A644" t="s">
        <v>275</v>
      </c>
      <c r="B644" t="s">
        <v>346</v>
      </c>
      <c r="C644" t="s">
        <v>478</v>
      </c>
      <c r="E644" t="s">
        <v>477</v>
      </c>
      <c r="F644" t="s">
        <v>530</v>
      </c>
      <c r="G644" t="s">
        <v>575</v>
      </c>
    </row>
    <row r="645" spans="1:7" x14ac:dyDescent="0.2">
      <c r="A645" t="s">
        <v>275</v>
      </c>
      <c r="B645" t="s">
        <v>347</v>
      </c>
      <c r="C645" t="s">
        <v>478</v>
      </c>
      <c r="E645" t="s">
        <v>477</v>
      </c>
      <c r="F645" t="s">
        <v>530</v>
      </c>
      <c r="G645" t="s">
        <v>575</v>
      </c>
    </row>
    <row r="646" spans="1:7" x14ac:dyDescent="0.2">
      <c r="A646" t="s">
        <v>275</v>
      </c>
      <c r="B646" t="s">
        <v>348</v>
      </c>
      <c r="C646" t="s">
        <v>478</v>
      </c>
      <c r="E646" t="s">
        <v>477</v>
      </c>
      <c r="F646" t="s">
        <v>530</v>
      </c>
      <c r="G646" t="s">
        <v>575</v>
      </c>
    </row>
    <row r="647" spans="1:7" x14ac:dyDescent="0.2">
      <c r="A647" t="s">
        <v>275</v>
      </c>
      <c r="B647" t="s">
        <v>349</v>
      </c>
      <c r="C647" t="s">
        <v>478</v>
      </c>
      <c r="E647" t="s">
        <v>477</v>
      </c>
      <c r="F647" t="s">
        <v>530</v>
      </c>
      <c r="G647" t="s">
        <v>575</v>
      </c>
    </row>
    <row r="648" spans="1:7" x14ac:dyDescent="0.2">
      <c r="A648" t="s">
        <v>275</v>
      </c>
      <c r="B648" t="s">
        <v>350</v>
      </c>
      <c r="C648" t="s">
        <v>478</v>
      </c>
      <c r="E648" t="s">
        <v>477</v>
      </c>
      <c r="F648" t="s">
        <v>530</v>
      </c>
      <c r="G648" t="s">
        <v>575</v>
      </c>
    </row>
    <row r="649" spans="1:7" x14ac:dyDescent="0.2">
      <c r="A649" t="s">
        <v>275</v>
      </c>
      <c r="B649" t="s">
        <v>351</v>
      </c>
      <c r="C649" t="s">
        <v>478</v>
      </c>
      <c r="E649" t="s">
        <v>477</v>
      </c>
      <c r="F649" t="s">
        <v>530</v>
      </c>
      <c r="G649" t="s">
        <v>575</v>
      </c>
    </row>
    <row r="650" spans="1:7" x14ac:dyDescent="0.2">
      <c r="A650" t="s">
        <v>275</v>
      </c>
      <c r="B650" t="s">
        <v>352</v>
      </c>
      <c r="C650" t="s">
        <v>478</v>
      </c>
      <c r="E650" t="s">
        <v>477</v>
      </c>
      <c r="F650" t="s">
        <v>530</v>
      </c>
      <c r="G650" t="s">
        <v>575</v>
      </c>
    </row>
    <row r="651" spans="1:7" x14ac:dyDescent="0.2">
      <c r="A651" t="s">
        <v>264</v>
      </c>
      <c r="B651" t="s">
        <v>353</v>
      </c>
      <c r="C651" t="s">
        <v>478</v>
      </c>
      <c r="E651" t="s">
        <v>477</v>
      </c>
      <c r="F651" t="s">
        <v>516</v>
      </c>
      <c r="G651" t="s">
        <v>575</v>
      </c>
    </row>
    <row r="652" spans="1:7" x14ac:dyDescent="0.2">
      <c r="A652" t="s">
        <v>276</v>
      </c>
      <c r="B652" t="s">
        <v>354</v>
      </c>
      <c r="C652" t="s">
        <v>484</v>
      </c>
      <c r="E652" t="s">
        <v>484</v>
      </c>
      <c r="F652" t="s">
        <v>531</v>
      </c>
      <c r="G652" t="s">
        <v>575</v>
      </c>
    </row>
    <row r="653" spans="1:7" x14ac:dyDescent="0.2">
      <c r="A653" t="s">
        <v>275</v>
      </c>
      <c r="B653" t="s">
        <v>355</v>
      </c>
      <c r="C653" t="s">
        <v>478</v>
      </c>
      <c r="E653" t="s">
        <v>477</v>
      </c>
      <c r="F653" t="s">
        <v>530</v>
      </c>
      <c r="G653" t="s">
        <v>575</v>
      </c>
    </row>
    <row r="654" spans="1:7" x14ac:dyDescent="0.2">
      <c r="A654" t="s">
        <v>275</v>
      </c>
      <c r="B654" t="s">
        <v>356</v>
      </c>
      <c r="C654" t="s">
        <v>478</v>
      </c>
      <c r="E654" t="s">
        <v>477</v>
      </c>
      <c r="F654" t="s">
        <v>530</v>
      </c>
      <c r="G654" t="s">
        <v>575</v>
      </c>
    </row>
    <row r="655" spans="1:7" x14ac:dyDescent="0.2">
      <c r="A655" t="s">
        <v>275</v>
      </c>
      <c r="B655" t="s">
        <v>357</v>
      </c>
      <c r="C655" t="s">
        <v>478</v>
      </c>
      <c r="E655" t="s">
        <v>477</v>
      </c>
      <c r="F655" t="s">
        <v>530</v>
      </c>
      <c r="G655" t="s">
        <v>575</v>
      </c>
    </row>
    <row r="656" spans="1:7" x14ac:dyDescent="0.2">
      <c r="A656" t="s">
        <v>275</v>
      </c>
      <c r="B656" t="s">
        <v>358</v>
      </c>
      <c r="C656" t="s">
        <v>478</v>
      </c>
      <c r="E656" t="s">
        <v>477</v>
      </c>
      <c r="F656" t="s">
        <v>530</v>
      </c>
      <c r="G656" t="s">
        <v>575</v>
      </c>
    </row>
    <row r="657" spans="1:7" x14ac:dyDescent="0.2">
      <c r="A657" t="s">
        <v>275</v>
      </c>
      <c r="B657" t="s">
        <v>359</v>
      </c>
      <c r="C657" t="s">
        <v>478</v>
      </c>
      <c r="E657" t="s">
        <v>477</v>
      </c>
      <c r="F657" t="s">
        <v>530</v>
      </c>
      <c r="G657" t="s">
        <v>575</v>
      </c>
    </row>
    <row r="658" spans="1:7" x14ac:dyDescent="0.2">
      <c r="A658" t="s">
        <v>275</v>
      </c>
      <c r="B658" t="s">
        <v>360</v>
      </c>
      <c r="C658" t="s">
        <v>478</v>
      </c>
      <c r="E658" t="s">
        <v>477</v>
      </c>
      <c r="F658" t="s">
        <v>530</v>
      </c>
      <c r="G658" t="s">
        <v>575</v>
      </c>
    </row>
    <row r="659" spans="1:7" x14ac:dyDescent="0.2">
      <c r="A659" t="s">
        <v>264</v>
      </c>
      <c r="B659" t="s">
        <v>361</v>
      </c>
      <c r="C659" t="s">
        <v>478</v>
      </c>
      <c r="E659" t="s">
        <v>477</v>
      </c>
      <c r="F659" t="s">
        <v>516</v>
      </c>
      <c r="G659" t="s">
        <v>575</v>
      </c>
    </row>
    <row r="660" spans="1:7" x14ac:dyDescent="0.2">
      <c r="A660" t="s">
        <v>265</v>
      </c>
      <c r="B660" t="s">
        <v>362</v>
      </c>
      <c r="C660" t="s">
        <v>478</v>
      </c>
      <c r="E660" t="s">
        <v>491</v>
      </c>
      <c r="F660" t="s">
        <v>532</v>
      </c>
      <c r="G660" t="s">
        <v>570</v>
      </c>
    </row>
    <row r="661" spans="1:7" x14ac:dyDescent="0.2">
      <c r="A661" t="s">
        <v>277</v>
      </c>
      <c r="B661" t="s">
        <v>363</v>
      </c>
      <c r="C661" t="s">
        <v>485</v>
      </c>
      <c r="E661" t="s">
        <v>485</v>
      </c>
      <c r="F661" t="s">
        <v>525</v>
      </c>
      <c r="G661" t="s">
        <v>571</v>
      </c>
    </row>
    <row r="662" spans="1:7" x14ac:dyDescent="0.2">
      <c r="A662" t="s">
        <v>267</v>
      </c>
      <c r="B662" t="s">
        <v>364</v>
      </c>
      <c r="C662" t="s">
        <v>480</v>
      </c>
      <c r="E662" t="s">
        <v>480</v>
      </c>
      <c r="F662" t="s">
        <v>533</v>
      </c>
      <c r="G662" t="s">
        <v>572</v>
      </c>
    </row>
    <row r="663" spans="1:7" x14ac:dyDescent="0.2">
      <c r="A663" t="s">
        <v>278</v>
      </c>
      <c r="B663" t="s">
        <v>365</v>
      </c>
      <c r="C663" t="s">
        <v>486</v>
      </c>
      <c r="E663" t="s">
        <v>486</v>
      </c>
      <c r="F663" t="s">
        <v>534</v>
      </c>
      <c r="G663" t="s">
        <v>573</v>
      </c>
    </row>
    <row r="664" spans="1:7" x14ac:dyDescent="0.2">
      <c r="A664" t="s">
        <v>278</v>
      </c>
      <c r="B664" t="s">
        <v>366</v>
      </c>
      <c r="C664" t="s">
        <v>486</v>
      </c>
      <c r="E664" t="s">
        <v>486</v>
      </c>
      <c r="F664" t="s">
        <v>534</v>
      </c>
      <c r="G664" t="s">
        <v>573</v>
      </c>
    </row>
    <row r="665" spans="1:7" x14ac:dyDescent="0.2">
      <c r="A665" t="s">
        <v>279</v>
      </c>
      <c r="B665" t="s">
        <v>367</v>
      </c>
      <c r="C665" t="s">
        <v>487</v>
      </c>
      <c r="E665" t="s">
        <v>487</v>
      </c>
      <c r="F665" t="s">
        <v>535</v>
      </c>
      <c r="G665" t="s">
        <v>573</v>
      </c>
    </row>
    <row r="666" spans="1:7" x14ac:dyDescent="0.2">
      <c r="A666" t="s">
        <v>279</v>
      </c>
      <c r="B666" t="s">
        <v>368</v>
      </c>
      <c r="C666" t="s">
        <v>487</v>
      </c>
      <c r="E666" t="s">
        <v>487</v>
      </c>
      <c r="F666" t="s">
        <v>527</v>
      </c>
      <c r="G666" t="s">
        <v>573</v>
      </c>
    </row>
    <row r="667" spans="1:7" x14ac:dyDescent="0.2">
      <c r="A667" t="s">
        <v>280</v>
      </c>
      <c r="B667" t="s">
        <v>369</v>
      </c>
      <c r="C667" t="s">
        <v>482</v>
      </c>
      <c r="E667" t="s">
        <v>482</v>
      </c>
      <c r="F667" t="s">
        <v>526</v>
      </c>
      <c r="G667" t="s">
        <v>572</v>
      </c>
    </row>
    <row r="668" spans="1:7" x14ac:dyDescent="0.2">
      <c r="A668" t="s">
        <v>280</v>
      </c>
      <c r="B668" t="s">
        <v>370</v>
      </c>
      <c r="C668" t="s">
        <v>482</v>
      </c>
      <c r="E668" t="s">
        <v>482</v>
      </c>
      <c r="F668" t="s">
        <v>527</v>
      </c>
      <c r="G668" t="s">
        <v>572</v>
      </c>
    </row>
    <row r="669" spans="1:7" x14ac:dyDescent="0.2">
      <c r="A669" t="s">
        <v>272</v>
      </c>
      <c r="B669" t="s">
        <v>371</v>
      </c>
      <c r="C669" t="s">
        <v>482</v>
      </c>
      <c r="E669" t="s">
        <v>482</v>
      </c>
      <c r="F669" t="s">
        <v>527</v>
      </c>
      <c r="G669" t="s">
        <v>572</v>
      </c>
    </row>
    <row r="670" spans="1:7" x14ac:dyDescent="0.2">
      <c r="A670" t="s">
        <v>272</v>
      </c>
      <c r="B670" t="s">
        <v>372</v>
      </c>
      <c r="C670" t="s">
        <v>488</v>
      </c>
      <c r="E670" t="s">
        <v>488</v>
      </c>
      <c r="F670" t="s">
        <v>528</v>
      </c>
      <c r="G670" t="s">
        <v>572</v>
      </c>
    </row>
    <row r="671" spans="1:7" x14ac:dyDescent="0.2">
      <c r="A671" t="s">
        <v>281</v>
      </c>
      <c r="B671" t="s">
        <v>373</v>
      </c>
      <c r="C671" t="s">
        <v>482</v>
      </c>
      <c r="E671" t="s">
        <v>482</v>
      </c>
      <c r="F671" t="s">
        <v>527</v>
      </c>
      <c r="G671" t="s">
        <v>572</v>
      </c>
    </row>
    <row r="672" spans="1:7" x14ac:dyDescent="0.2">
      <c r="A672" t="s">
        <v>273</v>
      </c>
      <c r="B672" t="s">
        <v>374</v>
      </c>
      <c r="C672" t="s">
        <v>481</v>
      </c>
      <c r="E672" t="s">
        <v>481</v>
      </c>
      <c r="F672" t="s">
        <v>526</v>
      </c>
      <c r="G672" t="s">
        <v>572</v>
      </c>
    </row>
    <row r="673" spans="1:7" x14ac:dyDescent="0.2">
      <c r="A673" t="s">
        <v>282</v>
      </c>
      <c r="B673" t="s">
        <v>375</v>
      </c>
      <c r="C673" t="s">
        <v>489</v>
      </c>
      <c r="E673" t="s">
        <v>489</v>
      </c>
      <c r="F673" t="s">
        <v>526</v>
      </c>
      <c r="G673" t="s">
        <v>572</v>
      </c>
    </row>
    <row r="674" spans="1:7" x14ac:dyDescent="0.2">
      <c r="A674" t="s">
        <v>283</v>
      </c>
      <c r="B674" t="s">
        <v>376</v>
      </c>
      <c r="C674" t="s">
        <v>490</v>
      </c>
      <c r="E674" t="s">
        <v>478</v>
      </c>
      <c r="F674" t="s">
        <v>536</v>
      </c>
      <c r="G674" t="s">
        <v>575</v>
      </c>
    </row>
    <row r="675" spans="1:7" x14ac:dyDescent="0.2">
      <c r="A675" t="s">
        <v>275</v>
      </c>
      <c r="B675" t="s">
        <v>377</v>
      </c>
      <c r="C675" t="s">
        <v>478</v>
      </c>
      <c r="E675" t="s">
        <v>477</v>
      </c>
      <c r="F675" t="s">
        <v>537</v>
      </c>
      <c r="G675" t="s">
        <v>575</v>
      </c>
    </row>
    <row r="676" spans="1:7" x14ac:dyDescent="0.2">
      <c r="A676" t="s">
        <v>275</v>
      </c>
      <c r="B676" t="s">
        <v>378</v>
      </c>
      <c r="C676" t="s">
        <v>478</v>
      </c>
      <c r="E676" t="s">
        <v>477</v>
      </c>
      <c r="F676" t="s">
        <v>538</v>
      </c>
      <c r="G676" t="s">
        <v>575</v>
      </c>
    </row>
    <row r="677" spans="1:7" x14ac:dyDescent="0.2">
      <c r="A677" t="s">
        <v>275</v>
      </c>
      <c r="B677" t="s">
        <v>379</v>
      </c>
      <c r="C677" t="s">
        <v>478</v>
      </c>
      <c r="E677" t="s">
        <v>477</v>
      </c>
      <c r="F677" t="s">
        <v>538</v>
      </c>
      <c r="G677" t="s">
        <v>575</v>
      </c>
    </row>
    <row r="678" spans="1:7" x14ac:dyDescent="0.2">
      <c r="A678" t="s">
        <v>275</v>
      </c>
      <c r="B678" t="s">
        <v>380</v>
      </c>
      <c r="C678" t="s">
        <v>478</v>
      </c>
      <c r="E678" t="s">
        <v>477</v>
      </c>
      <c r="F678" t="s">
        <v>530</v>
      </c>
      <c r="G678" t="s">
        <v>575</v>
      </c>
    </row>
    <row r="679" spans="1:7" x14ac:dyDescent="0.2">
      <c r="A679" t="s">
        <v>275</v>
      </c>
      <c r="B679" t="s">
        <v>381</v>
      </c>
      <c r="C679" t="s">
        <v>478</v>
      </c>
      <c r="E679" t="s">
        <v>477</v>
      </c>
      <c r="F679" t="s">
        <v>530</v>
      </c>
      <c r="G679" t="s">
        <v>575</v>
      </c>
    </row>
    <row r="680" spans="1:7" x14ac:dyDescent="0.2">
      <c r="A680" t="s">
        <v>275</v>
      </c>
      <c r="B680" t="s">
        <v>382</v>
      </c>
      <c r="C680" t="s">
        <v>478</v>
      </c>
      <c r="E680" t="s">
        <v>477</v>
      </c>
      <c r="F680" t="s">
        <v>530</v>
      </c>
      <c r="G680" t="s">
        <v>575</v>
      </c>
    </row>
    <row r="681" spans="1:7" x14ac:dyDescent="0.2">
      <c r="A681" t="s">
        <v>275</v>
      </c>
      <c r="B681" t="s">
        <v>383</v>
      </c>
      <c r="C681" t="s">
        <v>478</v>
      </c>
      <c r="E681" t="s">
        <v>477</v>
      </c>
      <c r="F681" t="s">
        <v>530</v>
      </c>
      <c r="G681" t="s">
        <v>575</v>
      </c>
    </row>
    <row r="682" spans="1:7" x14ac:dyDescent="0.2">
      <c r="A682" t="s">
        <v>264</v>
      </c>
      <c r="B682" t="s">
        <v>384</v>
      </c>
      <c r="C682" t="s">
        <v>478</v>
      </c>
      <c r="E682" t="s">
        <v>477</v>
      </c>
      <c r="F682" t="s">
        <v>516</v>
      </c>
      <c r="G682" t="s">
        <v>575</v>
      </c>
    </row>
    <row r="683" spans="1:7" x14ac:dyDescent="0.2">
      <c r="A683" t="s">
        <v>284</v>
      </c>
      <c r="B683" t="s">
        <v>385</v>
      </c>
      <c r="C683" t="s">
        <v>477</v>
      </c>
      <c r="E683" t="s">
        <v>477</v>
      </c>
      <c r="F683" t="s">
        <v>539</v>
      </c>
      <c r="G683" t="s">
        <v>570</v>
      </c>
    </row>
    <row r="684" spans="1:7" x14ac:dyDescent="0.2">
      <c r="A684" t="s">
        <v>285</v>
      </c>
      <c r="B684" t="s">
        <v>386</v>
      </c>
      <c r="C684" t="s">
        <v>477</v>
      </c>
      <c r="E684" t="s">
        <v>477</v>
      </c>
      <c r="F684" t="s">
        <v>531</v>
      </c>
      <c r="G684" t="s">
        <v>570</v>
      </c>
    </row>
    <row r="685" spans="1:7" x14ac:dyDescent="0.2">
      <c r="A685" t="s">
        <v>286</v>
      </c>
      <c r="B685" t="s">
        <v>387</v>
      </c>
      <c r="C685" t="s">
        <v>486</v>
      </c>
      <c r="E685" t="s">
        <v>486</v>
      </c>
      <c r="F685" t="s">
        <v>540</v>
      </c>
      <c r="G685" t="s">
        <v>572</v>
      </c>
    </row>
    <row r="686" spans="1:7" x14ac:dyDescent="0.2">
      <c r="A686" t="s">
        <v>286</v>
      </c>
      <c r="B686" t="s">
        <v>388</v>
      </c>
      <c r="C686" t="s">
        <v>491</v>
      </c>
      <c r="E686" t="s">
        <v>491</v>
      </c>
      <c r="F686" t="s">
        <v>524</v>
      </c>
      <c r="G686" t="s">
        <v>573</v>
      </c>
    </row>
    <row r="687" spans="1:7" x14ac:dyDescent="0.2">
      <c r="A687" t="s">
        <v>286</v>
      </c>
      <c r="B687" t="s">
        <v>389</v>
      </c>
      <c r="C687" t="s">
        <v>491</v>
      </c>
      <c r="E687" t="s">
        <v>491</v>
      </c>
      <c r="F687" t="s">
        <v>524</v>
      </c>
      <c r="G687" t="s">
        <v>573</v>
      </c>
    </row>
    <row r="688" spans="1:7" x14ac:dyDescent="0.2">
      <c r="A688" t="s">
        <v>286</v>
      </c>
      <c r="B688" t="s">
        <v>390</v>
      </c>
      <c r="C688" t="s">
        <v>491</v>
      </c>
      <c r="E688" t="s">
        <v>491</v>
      </c>
      <c r="F688" t="s">
        <v>524</v>
      </c>
      <c r="G688" t="s">
        <v>573</v>
      </c>
    </row>
    <row r="689" spans="1:7" x14ac:dyDescent="0.2">
      <c r="A689" t="s">
        <v>286</v>
      </c>
      <c r="B689" t="s">
        <v>391</v>
      </c>
      <c r="C689" t="s">
        <v>491</v>
      </c>
      <c r="E689" t="s">
        <v>491</v>
      </c>
      <c r="F689" t="s">
        <v>524</v>
      </c>
      <c r="G689" t="s">
        <v>573</v>
      </c>
    </row>
    <row r="690" spans="1:7" x14ac:dyDescent="0.2">
      <c r="A690" t="s">
        <v>286</v>
      </c>
      <c r="B690" t="s">
        <v>392</v>
      </c>
      <c r="C690" t="s">
        <v>491</v>
      </c>
      <c r="E690" t="s">
        <v>491</v>
      </c>
      <c r="F690" t="s">
        <v>524</v>
      </c>
      <c r="G690" t="s">
        <v>573</v>
      </c>
    </row>
    <row r="691" spans="1:7" x14ac:dyDescent="0.2">
      <c r="A691" t="s">
        <v>286</v>
      </c>
      <c r="B691" t="s">
        <v>393</v>
      </c>
      <c r="C691" t="s">
        <v>491</v>
      </c>
      <c r="E691" t="s">
        <v>491</v>
      </c>
      <c r="F691" t="s">
        <v>524</v>
      </c>
      <c r="G691" t="s">
        <v>573</v>
      </c>
    </row>
    <row r="692" spans="1:7" x14ac:dyDescent="0.2">
      <c r="A692" t="s">
        <v>286</v>
      </c>
      <c r="B692" t="s">
        <v>394</v>
      </c>
      <c r="C692" t="s">
        <v>491</v>
      </c>
      <c r="E692" t="s">
        <v>491</v>
      </c>
      <c r="F692" t="s">
        <v>524</v>
      </c>
      <c r="G692" t="s">
        <v>573</v>
      </c>
    </row>
    <row r="693" spans="1:7" x14ac:dyDescent="0.2">
      <c r="A693" t="s">
        <v>286</v>
      </c>
      <c r="B693" t="s">
        <v>394</v>
      </c>
      <c r="C693" t="s">
        <v>491</v>
      </c>
      <c r="E693" t="s">
        <v>491</v>
      </c>
      <c r="F693" t="s">
        <v>524</v>
      </c>
      <c r="G693" t="s">
        <v>573</v>
      </c>
    </row>
    <row r="694" spans="1:7" x14ac:dyDescent="0.2">
      <c r="A694" t="s">
        <v>286</v>
      </c>
      <c r="B694" t="s">
        <v>395</v>
      </c>
      <c r="C694" t="s">
        <v>491</v>
      </c>
      <c r="E694" t="s">
        <v>491</v>
      </c>
      <c r="F694" t="s">
        <v>524</v>
      </c>
      <c r="G694" t="s">
        <v>573</v>
      </c>
    </row>
    <row r="695" spans="1:7" x14ac:dyDescent="0.2">
      <c r="A695" t="s">
        <v>286</v>
      </c>
      <c r="B695" t="s">
        <v>396</v>
      </c>
      <c r="C695" t="s">
        <v>486</v>
      </c>
      <c r="E695" t="s">
        <v>486</v>
      </c>
      <c r="F695" t="s">
        <v>541</v>
      </c>
      <c r="G695" t="s">
        <v>573</v>
      </c>
    </row>
    <row r="696" spans="1:7" x14ac:dyDescent="0.2">
      <c r="A696" t="s">
        <v>286</v>
      </c>
      <c r="B696" t="s">
        <v>397</v>
      </c>
      <c r="C696" t="s">
        <v>486</v>
      </c>
      <c r="E696" t="s">
        <v>486</v>
      </c>
      <c r="F696" t="s">
        <v>541</v>
      </c>
      <c r="G696" t="s">
        <v>573</v>
      </c>
    </row>
    <row r="697" spans="1:7" x14ac:dyDescent="0.2">
      <c r="A697" t="s">
        <v>286</v>
      </c>
      <c r="B697" t="s">
        <v>398</v>
      </c>
      <c r="C697" t="s">
        <v>486</v>
      </c>
      <c r="E697" t="s">
        <v>486</v>
      </c>
      <c r="F697" t="s">
        <v>541</v>
      </c>
      <c r="G697" t="s">
        <v>573</v>
      </c>
    </row>
    <row r="698" spans="1:7" x14ac:dyDescent="0.2">
      <c r="A698" t="s">
        <v>287</v>
      </c>
      <c r="B698" t="s">
        <v>399</v>
      </c>
      <c r="C698" t="s">
        <v>477</v>
      </c>
      <c r="E698" t="s">
        <v>477</v>
      </c>
      <c r="F698" t="s">
        <v>542</v>
      </c>
      <c r="G698" t="s">
        <v>573</v>
      </c>
    </row>
    <row r="699" spans="1:7" x14ac:dyDescent="0.2">
      <c r="A699" t="s">
        <v>288</v>
      </c>
      <c r="B699" t="s">
        <v>400</v>
      </c>
      <c r="C699" t="s">
        <v>477</v>
      </c>
      <c r="E699" t="s">
        <v>477</v>
      </c>
      <c r="F699" t="s">
        <v>543</v>
      </c>
      <c r="G699" t="s">
        <v>573</v>
      </c>
    </row>
    <row r="700" spans="1:7" x14ac:dyDescent="0.2">
      <c r="A700" t="s">
        <v>285</v>
      </c>
      <c r="B700" t="s">
        <v>401</v>
      </c>
      <c r="C700" t="s">
        <v>477</v>
      </c>
      <c r="E700" t="s">
        <v>477</v>
      </c>
      <c r="F700" t="s">
        <v>529</v>
      </c>
      <c r="G700" t="s">
        <v>570</v>
      </c>
    </row>
    <row r="701" spans="1:7" x14ac:dyDescent="0.2">
      <c r="A701" t="s">
        <v>289</v>
      </c>
      <c r="B701" t="s">
        <v>402</v>
      </c>
      <c r="C701" t="s">
        <v>492</v>
      </c>
      <c r="E701" t="s">
        <v>492</v>
      </c>
      <c r="F701" t="s">
        <v>529</v>
      </c>
      <c r="G701" t="s">
        <v>572</v>
      </c>
    </row>
    <row r="702" spans="1:7" x14ac:dyDescent="0.2">
      <c r="A702" t="s">
        <v>289</v>
      </c>
      <c r="B702" t="s">
        <v>403</v>
      </c>
      <c r="C702" t="s">
        <v>492</v>
      </c>
      <c r="E702" t="s">
        <v>492</v>
      </c>
      <c r="F702" t="s">
        <v>543</v>
      </c>
      <c r="G702" t="s">
        <v>572</v>
      </c>
    </row>
    <row r="703" spans="1:7" x14ac:dyDescent="0.2">
      <c r="A703" t="s">
        <v>289</v>
      </c>
      <c r="B703" t="s">
        <v>404</v>
      </c>
      <c r="C703" t="s">
        <v>492</v>
      </c>
      <c r="E703" t="s">
        <v>492</v>
      </c>
      <c r="F703" t="s">
        <v>529</v>
      </c>
      <c r="G703" t="s">
        <v>572</v>
      </c>
    </row>
    <row r="704" spans="1:7" x14ac:dyDescent="0.2">
      <c r="A704" t="s">
        <v>286</v>
      </c>
      <c r="B704" t="s">
        <v>405</v>
      </c>
      <c r="C704" t="s">
        <v>486</v>
      </c>
      <c r="E704" t="s">
        <v>486</v>
      </c>
      <c r="F704" t="s">
        <v>540</v>
      </c>
      <c r="G704" t="s">
        <v>572</v>
      </c>
    </row>
    <row r="705" spans="1:7" x14ac:dyDescent="0.2">
      <c r="A705" t="s">
        <v>286</v>
      </c>
      <c r="B705" t="s">
        <v>406</v>
      </c>
      <c r="C705" t="s">
        <v>486</v>
      </c>
      <c r="E705" t="s">
        <v>486</v>
      </c>
      <c r="F705" t="s">
        <v>536</v>
      </c>
      <c r="G705" t="s">
        <v>572</v>
      </c>
    </row>
    <row r="706" spans="1:7" x14ac:dyDescent="0.2">
      <c r="A706" t="s">
        <v>290</v>
      </c>
      <c r="B706" t="s">
        <v>407</v>
      </c>
      <c r="C706" t="s">
        <v>478</v>
      </c>
      <c r="E706" t="s">
        <v>478</v>
      </c>
      <c r="F706" t="s">
        <v>544</v>
      </c>
      <c r="G706" t="s">
        <v>569</v>
      </c>
    </row>
    <row r="707" spans="1:7" x14ac:dyDescent="0.2">
      <c r="A707" t="s">
        <v>291</v>
      </c>
      <c r="B707" t="s">
        <v>408</v>
      </c>
      <c r="C707" t="s">
        <v>478</v>
      </c>
      <c r="E707" t="s">
        <v>478</v>
      </c>
      <c r="F707" t="s">
        <v>545</v>
      </c>
      <c r="G707" t="s">
        <v>576</v>
      </c>
    </row>
    <row r="708" spans="1:7" x14ac:dyDescent="0.2">
      <c r="A708" t="s">
        <v>292</v>
      </c>
      <c r="B708" t="s">
        <v>409</v>
      </c>
      <c r="C708" t="s">
        <v>478</v>
      </c>
      <c r="E708" t="s">
        <v>478</v>
      </c>
      <c r="F708" t="s">
        <v>546</v>
      </c>
      <c r="G708" t="s">
        <v>576</v>
      </c>
    </row>
    <row r="709" spans="1:7" x14ac:dyDescent="0.2">
      <c r="A709" t="s">
        <v>292</v>
      </c>
      <c r="B709" t="s">
        <v>410</v>
      </c>
      <c r="C709" t="s">
        <v>478</v>
      </c>
      <c r="E709" t="s">
        <v>478</v>
      </c>
      <c r="F709" t="s">
        <v>547</v>
      </c>
      <c r="G709" t="s">
        <v>576</v>
      </c>
    </row>
    <row r="710" spans="1:7" x14ac:dyDescent="0.2">
      <c r="A710" t="s">
        <v>268</v>
      </c>
      <c r="B710" t="s">
        <v>411</v>
      </c>
      <c r="C710" t="s">
        <v>478</v>
      </c>
      <c r="E710" t="s">
        <v>478</v>
      </c>
      <c r="F710" t="s">
        <v>520</v>
      </c>
      <c r="G710" t="s">
        <v>576</v>
      </c>
    </row>
    <row r="711" spans="1:7" x14ac:dyDescent="0.2">
      <c r="A711" t="s">
        <v>293</v>
      </c>
      <c r="B711" t="s">
        <v>412</v>
      </c>
      <c r="C711" t="s">
        <v>478</v>
      </c>
      <c r="E711" t="s">
        <v>478</v>
      </c>
      <c r="F711" t="s">
        <v>536</v>
      </c>
      <c r="G711" t="s">
        <v>571</v>
      </c>
    </row>
    <row r="712" spans="1:7" x14ac:dyDescent="0.2">
      <c r="A712" t="s">
        <v>294</v>
      </c>
      <c r="B712" t="s">
        <v>413</v>
      </c>
      <c r="C712" t="s">
        <v>493</v>
      </c>
      <c r="E712" t="s">
        <v>493</v>
      </c>
      <c r="F712" t="s">
        <v>548</v>
      </c>
      <c r="G712" t="s">
        <v>577</v>
      </c>
    </row>
    <row r="713" spans="1:7" x14ac:dyDescent="0.2">
      <c r="A713" t="s">
        <v>295</v>
      </c>
      <c r="B713" t="s">
        <v>414</v>
      </c>
      <c r="C713" t="s">
        <v>494</v>
      </c>
      <c r="E713" t="s">
        <v>494</v>
      </c>
      <c r="F713" t="s">
        <v>549</v>
      </c>
      <c r="G713" t="s">
        <v>577</v>
      </c>
    </row>
    <row r="714" spans="1:7" x14ac:dyDescent="0.2">
      <c r="A714" t="s">
        <v>296</v>
      </c>
      <c r="B714" t="s">
        <v>415</v>
      </c>
      <c r="C714" t="s">
        <v>494</v>
      </c>
      <c r="E714" t="s">
        <v>494</v>
      </c>
      <c r="F714" t="s">
        <v>550</v>
      </c>
      <c r="G714" t="s">
        <v>577</v>
      </c>
    </row>
    <row r="715" spans="1:7" x14ac:dyDescent="0.2">
      <c r="A715" t="s">
        <v>297</v>
      </c>
      <c r="B715" t="s">
        <v>416</v>
      </c>
      <c r="C715" t="s">
        <v>488</v>
      </c>
      <c r="E715" t="s">
        <v>488</v>
      </c>
      <c r="F715" t="s">
        <v>551</v>
      </c>
      <c r="G715" t="s">
        <v>577</v>
      </c>
    </row>
    <row r="716" spans="1:7" x14ac:dyDescent="0.2">
      <c r="A716" t="s">
        <v>298</v>
      </c>
      <c r="B716" t="s">
        <v>417</v>
      </c>
      <c r="C716" t="s">
        <v>495</v>
      </c>
      <c r="E716" t="s">
        <v>495</v>
      </c>
      <c r="F716" t="s">
        <v>552</v>
      </c>
      <c r="G716" t="s">
        <v>577</v>
      </c>
    </row>
    <row r="717" spans="1:7" x14ac:dyDescent="0.2">
      <c r="A717" t="s">
        <v>299</v>
      </c>
      <c r="B717" t="s">
        <v>418</v>
      </c>
      <c r="C717" t="s">
        <v>496</v>
      </c>
      <c r="E717" t="s">
        <v>496</v>
      </c>
      <c r="F717" t="s">
        <v>516</v>
      </c>
      <c r="G717" t="s">
        <v>577</v>
      </c>
    </row>
    <row r="718" spans="1:7" x14ac:dyDescent="0.2">
      <c r="A718" t="s">
        <v>300</v>
      </c>
      <c r="B718" t="s">
        <v>419</v>
      </c>
      <c r="C718" t="s">
        <v>497</v>
      </c>
      <c r="E718" t="s">
        <v>497</v>
      </c>
      <c r="F718" t="s">
        <v>553</v>
      </c>
      <c r="G718" t="s">
        <v>577</v>
      </c>
    </row>
    <row r="719" spans="1:7" x14ac:dyDescent="0.2">
      <c r="A719" t="s">
        <v>301</v>
      </c>
      <c r="B719" t="s">
        <v>420</v>
      </c>
      <c r="C719" t="s">
        <v>478</v>
      </c>
      <c r="E719" t="s">
        <v>478</v>
      </c>
      <c r="F719" t="s">
        <v>516</v>
      </c>
      <c r="G719" t="s">
        <v>576</v>
      </c>
    </row>
    <row r="720" spans="1:7" x14ac:dyDescent="0.2">
      <c r="A720" t="s">
        <v>283</v>
      </c>
      <c r="B720" t="s">
        <v>421</v>
      </c>
      <c r="C720" t="s">
        <v>477</v>
      </c>
      <c r="E720" t="s">
        <v>477</v>
      </c>
      <c r="F720" t="s">
        <v>540</v>
      </c>
      <c r="G720" t="s">
        <v>578</v>
      </c>
    </row>
    <row r="721" spans="1:7" x14ac:dyDescent="0.2">
      <c r="A721" t="s">
        <v>264</v>
      </c>
      <c r="B721" t="s">
        <v>422</v>
      </c>
      <c r="C721" t="s">
        <v>477</v>
      </c>
      <c r="E721" t="s">
        <v>477</v>
      </c>
      <c r="F721" t="s">
        <v>541</v>
      </c>
      <c r="G721" t="s">
        <v>578</v>
      </c>
    </row>
    <row r="722" spans="1:7" x14ac:dyDescent="0.2">
      <c r="A722" t="s">
        <v>264</v>
      </c>
      <c r="B722" t="s">
        <v>423</v>
      </c>
      <c r="C722" t="s">
        <v>478</v>
      </c>
      <c r="E722" t="s">
        <v>478</v>
      </c>
      <c r="F722" t="s">
        <v>516</v>
      </c>
      <c r="G722" t="s">
        <v>578</v>
      </c>
    </row>
    <row r="723" spans="1:7" x14ac:dyDescent="0.2">
      <c r="A723" t="s">
        <v>301</v>
      </c>
      <c r="B723" t="s">
        <v>424</v>
      </c>
      <c r="C723" t="s">
        <v>478</v>
      </c>
      <c r="E723" t="s">
        <v>478</v>
      </c>
      <c r="F723" t="s">
        <v>537</v>
      </c>
      <c r="G723" t="s">
        <v>576</v>
      </c>
    </row>
    <row r="724" spans="1:7" x14ac:dyDescent="0.2">
      <c r="A724" t="s">
        <v>283</v>
      </c>
      <c r="B724" t="s">
        <v>425</v>
      </c>
      <c r="C724" t="s">
        <v>498</v>
      </c>
      <c r="E724" t="s">
        <v>498</v>
      </c>
      <c r="F724" t="s">
        <v>529</v>
      </c>
      <c r="G724" t="s">
        <v>578</v>
      </c>
    </row>
    <row r="725" spans="1:7" x14ac:dyDescent="0.2">
      <c r="A725" t="s">
        <v>302</v>
      </c>
      <c r="B725" t="s">
        <v>426</v>
      </c>
      <c r="C725" t="s">
        <v>478</v>
      </c>
      <c r="E725" t="s">
        <v>478</v>
      </c>
      <c r="F725" t="s">
        <v>529</v>
      </c>
      <c r="G725" t="s">
        <v>579</v>
      </c>
    </row>
    <row r="726" spans="1:7" x14ac:dyDescent="0.2">
      <c r="A726" t="s">
        <v>285</v>
      </c>
      <c r="B726" t="s">
        <v>427</v>
      </c>
      <c r="C726" t="s">
        <v>499</v>
      </c>
      <c r="E726" t="s">
        <v>499</v>
      </c>
      <c r="F726" t="s">
        <v>542</v>
      </c>
      <c r="G726" t="s">
        <v>577</v>
      </c>
    </row>
    <row r="727" spans="1:7" x14ac:dyDescent="0.2">
      <c r="A727" t="s">
        <v>303</v>
      </c>
      <c r="B727" t="s">
        <v>428</v>
      </c>
      <c r="C727" t="s">
        <v>500</v>
      </c>
      <c r="E727" t="s">
        <v>500</v>
      </c>
      <c r="F727" t="s">
        <v>546</v>
      </c>
      <c r="G727" t="s">
        <v>577</v>
      </c>
    </row>
    <row r="728" spans="1:7" x14ac:dyDescent="0.2">
      <c r="A728" t="s">
        <v>304</v>
      </c>
      <c r="B728" t="s">
        <v>429</v>
      </c>
      <c r="C728" t="s">
        <v>478</v>
      </c>
      <c r="E728" t="s">
        <v>478</v>
      </c>
      <c r="F728" t="s">
        <v>554</v>
      </c>
      <c r="G728" t="s">
        <v>569</v>
      </c>
    </row>
    <row r="729" spans="1:7" x14ac:dyDescent="0.2">
      <c r="A729" t="s">
        <v>277</v>
      </c>
      <c r="B729" t="s">
        <v>430</v>
      </c>
      <c r="C729" t="s">
        <v>478</v>
      </c>
      <c r="E729" t="s">
        <v>478</v>
      </c>
      <c r="F729" t="s">
        <v>539</v>
      </c>
      <c r="G729" t="s">
        <v>571</v>
      </c>
    </row>
    <row r="730" spans="1:7" x14ac:dyDescent="0.2">
      <c r="A730" t="s">
        <v>277</v>
      </c>
      <c r="B730" t="s">
        <v>431</v>
      </c>
      <c r="C730" t="s">
        <v>478</v>
      </c>
      <c r="E730" t="s">
        <v>478</v>
      </c>
      <c r="F730" t="s">
        <v>534</v>
      </c>
      <c r="G730" t="s">
        <v>571</v>
      </c>
    </row>
    <row r="731" spans="1:7" x14ac:dyDescent="0.2">
      <c r="A731" t="s">
        <v>277</v>
      </c>
      <c r="B731" t="s">
        <v>432</v>
      </c>
      <c r="C731" t="s">
        <v>501</v>
      </c>
      <c r="E731" t="s">
        <v>501</v>
      </c>
      <c r="F731" t="s">
        <v>555</v>
      </c>
      <c r="G731" t="s">
        <v>571</v>
      </c>
    </row>
    <row r="732" spans="1:7" x14ac:dyDescent="0.2">
      <c r="A732" t="s">
        <v>263</v>
      </c>
      <c r="B732" t="s">
        <v>433</v>
      </c>
      <c r="C732" t="s">
        <v>502</v>
      </c>
      <c r="E732" t="s">
        <v>502</v>
      </c>
      <c r="F732" t="s">
        <v>556</v>
      </c>
      <c r="G732" t="s">
        <v>580</v>
      </c>
    </row>
    <row r="733" spans="1:7" x14ac:dyDescent="0.2">
      <c r="A733" t="s">
        <v>268</v>
      </c>
      <c r="B733" t="s">
        <v>434</v>
      </c>
      <c r="C733" t="s">
        <v>478</v>
      </c>
      <c r="E733" t="s">
        <v>478</v>
      </c>
      <c r="F733" t="s">
        <v>520</v>
      </c>
      <c r="G733" t="s">
        <v>571</v>
      </c>
    </row>
    <row r="734" spans="1:7" x14ac:dyDescent="0.2">
      <c r="A734" t="s">
        <v>305</v>
      </c>
      <c r="B734" t="s">
        <v>435</v>
      </c>
      <c r="C734" t="s">
        <v>478</v>
      </c>
      <c r="E734" t="s">
        <v>478</v>
      </c>
      <c r="F734" t="s">
        <v>557</v>
      </c>
      <c r="G734" t="s">
        <v>569</v>
      </c>
    </row>
    <row r="735" spans="1:7" x14ac:dyDescent="0.2">
      <c r="A735" t="s">
        <v>306</v>
      </c>
      <c r="B735" t="s">
        <v>436</v>
      </c>
      <c r="C735" t="s">
        <v>478</v>
      </c>
      <c r="E735" t="s">
        <v>478</v>
      </c>
      <c r="F735" t="s">
        <v>558</v>
      </c>
      <c r="G735" t="s">
        <v>569</v>
      </c>
    </row>
    <row r="736" spans="1:7" x14ac:dyDescent="0.2">
      <c r="A736" t="s">
        <v>307</v>
      </c>
      <c r="B736" t="s">
        <v>437</v>
      </c>
      <c r="C736" t="s">
        <v>478</v>
      </c>
      <c r="E736" t="s">
        <v>478</v>
      </c>
      <c r="F736" t="s">
        <v>559</v>
      </c>
      <c r="G736" t="s">
        <v>574</v>
      </c>
    </row>
    <row r="737" spans="1:7" x14ac:dyDescent="0.2">
      <c r="A737" t="s">
        <v>308</v>
      </c>
      <c r="B737" t="s">
        <v>438</v>
      </c>
      <c r="C737" t="s">
        <v>478</v>
      </c>
      <c r="E737" t="s">
        <v>478</v>
      </c>
      <c r="F737" t="s">
        <v>560</v>
      </c>
      <c r="G737" t="s">
        <v>569</v>
      </c>
    </row>
    <row r="738" spans="1:7" x14ac:dyDescent="0.2">
      <c r="A738" t="s">
        <v>309</v>
      </c>
      <c r="B738" t="s">
        <v>439</v>
      </c>
      <c r="C738" t="s">
        <v>478</v>
      </c>
      <c r="E738" t="s">
        <v>478</v>
      </c>
      <c r="F738" t="s">
        <v>558</v>
      </c>
      <c r="G738" t="s">
        <v>574</v>
      </c>
    </row>
    <row r="739" spans="1:7" x14ac:dyDescent="0.2">
      <c r="A739" t="s">
        <v>310</v>
      </c>
      <c r="B739" t="s">
        <v>440</v>
      </c>
      <c r="C739" t="s">
        <v>478</v>
      </c>
      <c r="E739" t="s">
        <v>478</v>
      </c>
      <c r="F739" t="s">
        <v>561</v>
      </c>
      <c r="G739" t="s">
        <v>569</v>
      </c>
    </row>
    <row r="740" spans="1:7" x14ac:dyDescent="0.2">
      <c r="A740" t="s">
        <v>311</v>
      </c>
      <c r="B740" t="s">
        <v>441</v>
      </c>
      <c r="C740" t="s">
        <v>481</v>
      </c>
      <c r="E740" t="s">
        <v>481</v>
      </c>
      <c r="F740" t="s">
        <v>527</v>
      </c>
      <c r="G740" t="s">
        <v>580</v>
      </c>
    </row>
    <row r="741" spans="1:7" x14ac:dyDescent="0.2">
      <c r="A741" t="s">
        <v>311</v>
      </c>
      <c r="B741" t="s">
        <v>442</v>
      </c>
      <c r="C741" t="s">
        <v>482</v>
      </c>
      <c r="E741" t="s">
        <v>482</v>
      </c>
      <c r="F741" t="s">
        <v>562</v>
      </c>
      <c r="G741" t="s">
        <v>580</v>
      </c>
    </row>
    <row r="742" spans="1:7" x14ac:dyDescent="0.2">
      <c r="A742" t="s">
        <v>311</v>
      </c>
      <c r="B742" t="s">
        <v>443</v>
      </c>
      <c r="C742" t="s">
        <v>481</v>
      </c>
      <c r="E742" t="s">
        <v>481</v>
      </c>
      <c r="F742" t="s">
        <v>563</v>
      </c>
      <c r="G742" t="s">
        <v>580</v>
      </c>
    </row>
    <row r="743" spans="1:7" x14ac:dyDescent="0.2">
      <c r="A743" t="s">
        <v>312</v>
      </c>
      <c r="B743" t="s">
        <v>444</v>
      </c>
      <c r="C743" t="s">
        <v>481</v>
      </c>
      <c r="E743" t="s">
        <v>481</v>
      </c>
      <c r="F743" t="s">
        <v>526</v>
      </c>
      <c r="G743" t="s">
        <v>580</v>
      </c>
    </row>
    <row r="744" spans="1:7" x14ac:dyDescent="0.2">
      <c r="A744" t="s">
        <v>286</v>
      </c>
      <c r="B744" t="s">
        <v>445</v>
      </c>
      <c r="C744" t="s">
        <v>486</v>
      </c>
      <c r="E744" t="s">
        <v>486</v>
      </c>
      <c r="F744" t="s">
        <v>542</v>
      </c>
      <c r="G744" t="s">
        <v>580</v>
      </c>
    </row>
    <row r="745" spans="1:7" x14ac:dyDescent="0.2">
      <c r="A745" t="s">
        <v>286</v>
      </c>
      <c r="B745" t="s">
        <v>446</v>
      </c>
      <c r="C745" t="s">
        <v>486</v>
      </c>
      <c r="E745" t="s">
        <v>486</v>
      </c>
      <c r="F745" t="s">
        <v>541</v>
      </c>
      <c r="G745" t="s">
        <v>580</v>
      </c>
    </row>
    <row r="746" spans="1:7" x14ac:dyDescent="0.2">
      <c r="A746" t="s">
        <v>313</v>
      </c>
      <c r="B746" t="s">
        <v>447</v>
      </c>
      <c r="C746" t="s">
        <v>478</v>
      </c>
      <c r="E746" t="s">
        <v>478</v>
      </c>
      <c r="F746" t="s">
        <v>516</v>
      </c>
      <c r="G746" t="s">
        <v>569</v>
      </c>
    </row>
    <row r="747" spans="1:7" x14ac:dyDescent="0.2">
      <c r="A747" t="s">
        <v>314</v>
      </c>
      <c r="B747" t="s">
        <v>448</v>
      </c>
      <c r="C747" t="s">
        <v>478</v>
      </c>
      <c r="E747" t="s">
        <v>478</v>
      </c>
      <c r="F747" t="s">
        <v>516</v>
      </c>
      <c r="G747" t="s">
        <v>569</v>
      </c>
    </row>
    <row r="748" spans="1:7" x14ac:dyDescent="0.2">
      <c r="A748" t="s">
        <v>315</v>
      </c>
      <c r="B748" t="s">
        <v>449</v>
      </c>
      <c r="C748" t="s">
        <v>478</v>
      </c>
      <c r="E748" t="s">
        <v>478</v>
      </c>
      <c r="F748" t="s">
        <v>530</v>
      </c>
      <c r="G748" t="s">
        <v>569</v>
      </c>
    </row>
    <row r="749" spans="1:7" x14ac:dyDescent="0.2">
      <c r="A749" t="s">
        <v>315</v>
      </c>
      <c r="B749" t="s">
        <v>450</v>
      </c>
      <c r="C749" t="s">
        <v>478</v>
      </c>
      <c r="E749" t="s">
        <v>478</v>
      </c>
      <c r="F749" t="s">
        <v>530</v>
      </c>
      <c r="G749" t="s">
        <v>569</v>
      </c>
    </row>
    <row r="750" spans="1:7" x14ac:dyDescent="0.2">
      <c r="A750" t="s">
        <v>315</v>
      </c>
      <c r="B750" t="s">
        <v>451</v>
      </c>
      <c r="C750" t="s">
        <v>478</v>
      </c>
      <c r="E750" t="s">
        <v>478</v>
      </c>
      <c r="F750" t="s">
        <v>530</v>
      </c>
      <c r="G750" t="s">
        <v>569</v>
      </c>
    </row>
    <row r="751" spans="1:7" x14ac:dyDescent="0.2">
      <c r="A751" t="s">
        <v>313</v>
      </c>
      <c r="B751" t="s">
        <v>452</v>
      </c>
      <c r="C751" t="s">
        <v>478</v>
      </c>
      <c r="E751" t="s">
        <v>478</v>
      </c>
      <c r="F751" t="s">
        <v>524</v>
      </c>
      <c r="G751" t="s">
        <v>569</v>
      </c>
    </row>
    <row r="752" spans="1:7" x14ac:dyDescent="0.2">
      <c r="A752" t="s">
        <v>314</v>
      </c>
      <c r="B752" t="s">
        <v>453</v>
      </c>
      <c r="C752" t="s">
        <v>478</v>
      </c>
      <c r="E752" t="s">
        <v>478</v>
      </c>
      <c r="F752" t="s">
        <v>538</v>
      </c>
      <c r="G752" t="s">
        <v>569</v>
      </c>
    </row>
    <row r="753" spans="1:7" x14ac:dyDescent="0.2">
      <c r="A753" t="s">
        <v>314</v>
      </c>
      <c r="B753" t="s">
        <v>454</v>
      </c>
      <c r="C753" t="s">
        <v>478</v>
      </c>
      <c r="E753" t="s">
        <v>478</v>
      </c>
      <c r="F753" t="s">
        <v>530</v>
      </c>
      <c r="G753" t="s">
        <v>569</v>
      </c>
    </row>
    <row r="754" spans="1:7" x14ac:dyDescent="0.2">
      <c r="A754" t="s">
        <v>314</v>
      </c>
      <c r="B754" t="s">
        <v>455</v>
      </c>
      <c r="C754" t="s">
        <v>478</v>
      </c>
      <c r="E754" t="s">
        <v>478</v>
      </c>
      <c r="F754" t="s">
        <v>538</v>
      </c>
      <c r="G754" t="s">
        <v>569</v>
      </c>
    </row>
    <row r="755" spans="1:7" x14ac:dyDescent="0.2">
      <c r="A755" t="s">
        <v>314</v>
      </c>
      <c r="B755" t="s">
        <v>456</v>
      </c>
      <c r="C755" t="s">
        <v>478</v>
      </c>
      <c r="E755" t="s">
        <v>478</v>
      </c>
      <c r="F755" t="s">
        <v>530</v>
      </c>
      <c r="G755" t="s">
        <v>569</v>
      </c>
    </row>
    <row r="756" spans="1:7" x14ac:dyDescent="0.2">
      <c r="A756" t="s">
        <v>277</v>
      </c>
      <c r="B756" t="s">
        <v>457</v>
      </c>
      <c r="C756" t="s">
        <v>501</v>
      </c>
      <c r="E756" t="s">
        <v>501</v>
      </c>
      <c r="F756" t="s">
        <v>564</v>
      </c>
      <c r="G756" t="s">
        <v>571</v>
      </c>
    </row>
    <row r="757" spans="1:7" x14ac:dyDescent="0.2">
      <c r="A757" t="s">
        <v>263</v>
      </c>
      <c r="B757" t="s">
        <v>458</v>
      </c>
      <c r="C757" t="s">
        <v>476</v>
      </c>
      <c r="E757" t="s">
        <v>476</v>
      </c>
      <c r="F757" t="s">
        <v>565</v>
      </c>
      <c r="G757" t="s">
        <v>580</v>
      </c>
    </row>
    <row r="758" spans="1:7" x14ac:dyDescent="0.2">
      <c r="A758" t="s">
        <v>316</v>
      </c>
      <c r="B758" t="s">
        <v>459</v>
      </c>
      <c r="C758" t="s">
        <v>478</v>
      </c>
      <c r="E758" t="s">
        <v>478</v>
      </c>
      <c r="F758" t="s">
        <v>557</v>
      </c>
      <c r="G758" t="s">
        <v>569</v>
      </c>
    </row>
    <row r="759" spans="1:7" x14ac:dyDescent="0.2">
      <c r="A759" t="s">
        <v>317</v>
      </c>
      <c r="B759" t="s">
        <v>460</v>
      </c>
      <c r="C759" t="s">
        <v>478</v>
      </c>
      <c r="E759" t="s">
        <v>478</v>
      </c>
      <c r="F759" t="s">
        <v>560</v>
      </c>
      <c r="G759" t="s">
        <v>569</v>
      </c>
    </row>
    <row r="760" spans="1:7" x14ac:dyDescent="0.2">
      <c r="A760" t="s">
        <v>318</v>
      </c>
      <c r="B760" t="s">
        <v>461</v>
      </c>
      <c r="C760" t="s">
        <v>478</v>
      </c>
      <c r="E760" t="s">
        <v>478</v>
      </c>
      <c r="F760" t="s">
        <v>561</v>
      </c>
      <c r="G760" t="s">
        <v>574</v>
      </c>
    </row>
    <row r="761" spans="1:7" x14ac:dyDescent="0.2">
      <c r="A761" t="s">
        <v>319</v>
      </c>
      <c r="B761" t="s">
        <v>462</v>
      </c>
      <c r="C761" t="s">
        <v>482</v>
      </c>
      <c r="E761" t="s">
        <v>482</v>
      </c>
      <c r="F761" t="s">
        <v>526</v>
      </c>
      <c r="G761" t="s">
        <v>580</v>
      </c>
    </row>
    <row r="762" spans="1:7" x14ac:dyDescent="0.2">
      <c r="A762" t="s">
        <v>320</v>
      </c>
      <c r="B762" t="s">
        <v>463</v>
      </c>
      <c r="C762" t="s">
        <v>488</v>
      </c>
      <c r="E762" t="s">
        <v>488</v>
      </c>
      <c r="F762" t="s">
        <v>562</v>
      </c>
      <c r="G762" t="s">
        <v>580</v>
      </c>
    </row>
    <row r="763" spans="1:7" x14ac:dyDescent="0.2">
      <c r="A763" t="s">
        <v>319</v>
      </c>
      <c r="B763" t="s">
        <v>464</v>
      </c>
      <c r="C763" t="s">
        <v>482</v>
      </c>
      <c r="E763" t="s">
        <v>482</v>
      </c>
      <c r="F763" t="s">
        <v>563</v>
      </c>
      <c r="G763" t="s">
        <v>580</v>
      </c>
    </row>
    <row r="764" spans="1:7" x14ac:dyDescent="0.2">
      <c r="A764" t="s">
        <v>319</v>
      </c>
      <c r="B764" t="s">
        <v>465</v>
      </c>
      <c r="C764" t="s">
        <v>481</v>
      </c>
      <c r="E764" t="s">
        <v>481</v>
      </c>
      <c r="F764" t="s">
        <v>526</v>
      </c>
      <c r="G764" t="s">
        <v>580</v>
      </c>
    </row>
    <row r="765" spans="1:7" x14ac:dyDescent="0.2">
      <c r="A765" t="s">
        <v>321</v>
      </c>
      <c r="B765" t="s">
        <v>466</v>
      </c>
      <c r="C765" t="s">
        <v>488</v>
      </c>
      <c r="E765" t="s">
        <v>488</v>
      </c>
      <c r="F765" t="s">
        <v>547</v>
      </c>
      <c r="G765" t="s">
        <v>574</v>
      </c>
    </row>
    <row r="766" spans="1:7" x14ac:dyDescent="0.2">
      <c r="A766" t="s">
        <v>322</v>
      </c>
      <c r="B766" t="s">
        <v>467</v>
      </c>
      <c r="C766" t="s">
        <v>482</v>
      </c>
      <c r="E766" t="s">
        <v>482</v>
      </c>
      <c r="F766" t="s">
        <v>566</v>
      </c>
      <c r="G766" t="s">
        <v>574</v>
      </c>
    </row>
    <row r="767" spans="1:7" x14ac:dyDescent="0.2">
      <c r="A767" t="s">
        <v>283</v>
      </c>
      <c r="B767" t="s">
        <v>468</v>
      </c>
      <c r="C767" t="s">
        <v>478</v>
      </c>
      <c r="E767" t="s">
        <v>478</v>
      </c>
      <c r="F767" t="s">
        <v>524</v>
      </c>
      <c r="G767" t="s">
        <v>581</v>
      </c>
    </row>
    <row r="768" spans="1:7" x14ac:dyDescent="0.2">
      <c r="A768" t="s">
        <v>275</v>
      </c>
      <c r="B768" t="s">
        <v>469</v>
      </c>
      <c r="C768" t="s">
        <v>478</v>
      </c>
      <c r="E768" t="s">
        <v>478</v>
      </c>
      <c r="F768" t="s">
        <v>530</v>
      </c>
      <c r="G768" t="s">
        <v>581</v>
      </c>
    </row>
    <row r="769" spans="1:7" x14ac:dyDescent="0.2">
      <c r="A769" t="s">
        <v>275</v>
      </c>
      <c r="B769" t="s">
        <v>470</v>
      </c>
      <c r="C769" t="s">
        <v>478</v>
      </c>
      <c r="E769" t="s">
        <v>478</v>
      </c>
      <c r="F769" t="s">
        <v>530</v>
      </c>
      <c r="G769" t="s">
        <v>581</v>
      </c>
    </row>
    <row r="770" spans="1:7" x14ac:dyDescent="0.2">
      <c r="A770" t="s">
        <v>275</v>
      </c>
      <c r="B770" t="s">
        <v>471</v>
      </c>
      <c r="C770" t="s">
        <v>478</v>
      </c>
      <c r="E770" t="s">
        <v>478</v>
      </c>
      <c r="F770" t="s">
        <v>530</v>
      </c>
      <c r="G770" t="s">
        <v>581</v>
      </c>
    </row>
    <row r="771" spans="1:7" x14ac:dyDescent="0.2">
      <c r="A771" t="s">
        <v>275</v>
      </c>
      <c r="B771" t="s">
        <v>472</v>
      </c>
      <c r="C771" t="s">
        <v>478</v>
      </c>
      <c r="E771" t="s">
        <v>478</v>
      </c>
      <c r="F771" t="s">
        <v>530</v>
      </c>
      <c r="G771" t="s">
        <v>581</v>
      </c>
    </row>
    <row r="772" spans="1:7" x14ac:dyDescent="0.2">
      <c r="A772" t="s">
        <v>286</v>
      </c>
      <c r="B772" t="s">
        <v>473</v>
      </c>
      <c r="C772" t="s">
        <v>486</v>
      </c>
      <c r="E772" t="s">
        <v>486</v>
      </c>
      <c r="F772" t="s">
        <v>542</v>
      </c>
      <c r="G772" t="s">
        <v>580</v>
      </c>
    </row>
    <row r="773" spans="1:7" x14ac:dyDescent="0.2">
      <c r="A773" t="s">
        <v>286</v>
      </c>
      <c r="B773" t="s">
        <v>474</v>
      </c>
      <c r="C773" t="s">
        <v>486</v>
      </c>
      <c r="E773" t="s">
        <v>486</v>
      </c>
      <c r="F773" t="s">
        <v>542</v>
      </c>
      <c r="G773" t="s">
        <v>580</v>
      </c>
    </row>
    <row r="774" spans="1:7" x14ac:dyDescent="0.2">
      <c r="A774" t="s">
        <v>289</v>
      </c>
      <c r="B774" t="s">
        <v>475</v>
      </c>
      <c r="C774" t="s">
        <v>478</v>
      </c>
      <c r="E774" t="s">
        <v>478</v>
      </c>
      <c r="F774" t="s">
        <v>559</v>
      </c>
      <c r="G774" t="s">
        <v>574</v>
      </c>
    </row>
    <row r="775" spans="1:7" x14ac:dyDescent="0.2">
      <c r="A775" t="s">
        <v>302</v>
      </c>
      <c r="B775" t="s">
        <v>302</v>
      </c>
      <c r="C775" t="s">
        <v>478</v>
      </c>
      <c r="E775" t="s">
        <v>478</v>
      </c>
      <c r="F775" t="s">
        <v>567</v>
      </c>
      <c r="G775" t="s">
        <v>579</v>
      </c>
    </row>
    <row r="776" spans="1:7" x14ac:dyDescent="0.2">
      <c r="A776" t="s">
        <v>323</v>
      </c>
      <c r="B776" t="s">
        <v>302</v>
      </c>
      <c r="C776" t="s">
        <v>478</v>
      </c>
      <c r="E776" t="s">
        <v>478</v>
      </c>
      <c r="F776" t="s">
        <v>568</v>
      </c>
      <c r="G776" t="s">
        <v>569</v>
      </c>
    </row>
    <row r="777" spans="1:7" x14ac:dyDescent="0.2">
      <c r="A777" t="s">
        <v>263</v>
      </c>
      <c r="B777" t="s">
        <v>324</v>
      </c>
      <c r="C777" t="s">
        <v>476</v>
      </c>
      <c r="E777" t="s">
        <v>478</v>
      </c>
      <c r="F777" t="s">
        <v>515</v>
      </c>
      <c r="G777" t="s">
        <v>319</v>
      </c>
    </row>
    <row r="778" spans="1:7" x14ac:dyDescent="0.2">
      <c r="A778" t="s">
        <v>264</v>
      </c>
      <c r="B778" t="s">
        <v>325</v>
      </c>
      <c r="C778" t="s">
        <v>477</v>
      </c>
      <c r="E778" t="s">
        <v>477</v>
      </c>
      <c r="F778" t="s">
        <v>516</v>
      </c>
      <c r="G778" t="s">
        <v>569</v>
      </c>
    </row>
    <row r="779" spans="1:7" x14ac:dyDescent="0.2">
      <c r="A779" t="s">
        <v>265</v>
      </c>
      <c r="B779" t="s">
        <v>326</v>
      </c>
      <c r="C779" t="s">
        <v>478</v>
      </c>
      <c r="E779" t="s">
        <v>478</v>
      </c>
      <c r="F779" t="s">
        <v>517</v>
      </c>
      <c r="G779" t="s">
        <v>570</v>
      </c>
    </row>
    <row r="780" spans="1:7" x14ac:dyDescent="0.2">
      <c r="A780" t="s">
        <v>266</v>
      </c>
      <c r="B780" t="s">
        <v>327</v>
      </c>
      <c r="C780" t="s">
        <v>479</v>
      </c>
      <c r="E780" t="s">
        <v>479</v>
      </c>
      <c r="F780" t="s">
        <v>518</v>
      </c>
      <c r="G780" t="s">
        <v>571</v>
      </c>
    </row>
    <row r="781" spans="1:7" x14ac:dyDescent="0.2">
      <c r="A781" t="s">
        <v>267</v>
      </c>
      <c r="B781" t="s">
        <v>328</v>
      </c>
      <c r="C781" t="s">
        <v>480</v>
      </c>
      <c r="E781" t="s">
        <v>480</v>
      </c>
      <c r="F781" t="s">
        <v>519</v>
      </c>
      <c r="G781" t="s">
        <v>572</v>
      </c>
    </row>
    <row r="782" spans="1:7" x14ac:dyDescent="0.2">
      <c r="A782" t="s">
        <v>268</v>
      </c>
      <c r="B782" t="s">
        <v>329</v>
      </c>
      <c r="C782" t="s">
        <v>478</v>
      </c>
      <c r="E782" t="s">
        <v>478</v>
      </c>
      <c r="F782" t="s">
        <v>520</v>
      </c>
      <c r="G782" t="s">
        <v>571</v>
      </c>
    </row>
    <row r="783" spans="1:7" x14ac:dyDescent="0.2">
      <c r="A783" t="s">
        <v>268</v>
      </c>
      <c r="B783" t="s">
        <v>330</v>
      </c>
      <c r="C783" t="s">
        <v>478</v>
      </c>
      <c r="E783" t="s">
        <v>478</v>
      </c>
      <c r="F783" t="s">
        <v>516</v>
      </c>
      <c r="G783" t="s">
        <v>571</v>
      </c>
    </row>
    <row r="784" spans="1:7" x14ac:dyDescent="0.2">
      <c r="A784" t="s">
        <v>268</v>
      </c>
      <c r="B784" t="s">
        <v>331</v>
      </c>
      <c r="C784" t="s">
        <v>478</v>
      </c>
      <c r="E784" t="s">
        <v>478</v>
      </c>
      <c r="F784" t="s">
        <v>520</v>
      </c>
      <c r="G784" t="s">
        <v>571</v>
      </c>
    </row>
    <row r="785" spans="1:7" x14ac:dyDescent="0.2">
      <c r="A785" t="s">
        <v>269</v>
      </c>
      <c r="B785" t="s">
        <v>332</v>
      </c>
      <c r="C785" t="s">
        <v>481</v>
      </c>
      <c r="E785" t="s">
        <v>481</v>
      </c>
      <c r="F785" t="s">
        <v>521</v>
      </c>
      <c r="G785" t="s">
        <v>573</v>
      </c>
    </row>
    <row r="786" spans="1:7" x14ac:dyDescent="0.2">
      <c r="A786" t="s">
        <v>270</v>
      </c>
      <c r="B786" t="s">
        <v>333</v>
      </c>
      <c r="C786" t="s">
        <v>481</v>
      </c>
      <c r="E786" t="s">
        <v>481</v>
      </c>
      <c r="F786" t="s">
        <v>522</v>
      </c>
      <c r="G786" t="s">
        <v>573</v>
      </c>
    </row>
    <row r="787" spans="1:7" x14ac:dyDescent="0.2">
      <c r="A787" t="s">
        <v>270</v>
      </c>
      <c r="B787" t="s">
        <v>334</v>
      </c>
      <c r="C787" t="s">
        <v>481</v>
      </c>
      <c r="E787" t="s">
        <v>481</v>
      </c>
      <c r="F787" t="s">
        <v>523</v>
      </c>
      <c r="G787" t="s">
        <v>573</v>
      </c>
    </row>
    <row r="788" spans="1:7" x14ac:dyDescent="0.2">
      <c r="A788" t="s">
        <v>271</v>
      </c>
      <c r="B788" t="s">
        <v>335</v>
      </c>
      <c r="C788" t="s">
        <v>478</v>
      </c>
      <c r="E788" t="s">
        <v>478</v>
      </c>
      <c r="F788" t="s">
        <v>524</v>
      </c>
      <c r="G788" t="s">
        <v>574</v>
      </c>
    </row>
    <row r="789" spans="1:7" x14ac:dyDescent="0.2">
      <c r="A789" t="s">
        <v>269</v>
      </c>
      <c r="B789" t="s">
        <v>336</v>
      </c>
      <c r="C789" t="s">
        <v>481</v>
      </c>
      <c r="E789" t="s">
        <v>481</v>
      </c>
      <c r="F789" t="s">
        <v>525</v>
      </c>
      <c r="G789" t="s">
        <v>573</v>
      </c>
    </row>
    <row r="790" spans="1:7" x14ac:dyDescent="0.2">
      <c r="A790" t="s">
        <v>272</v>
      </c>
      <c r="B790" t="s">
        <v>337</v>
      </c>
      <c r="C790" t="s">
        <v>481</v>
      </c>
      <c r="E790" t="s">
        <v>481</v>
      </c>
      <c r="F790" t="s">
        <v>526</v>
      </c>
      <c r="G790" t="s">
        <v>572</v>
      </c>
    </row>
    <row r="791" spans="1:7" x14ac:dyDescent="0.2">
      <c r="A791" t="s">
        <v>272</v>
      </c>
      <c r="B791" t="s">
        <v>338</v>
      </c>
      <c r="C791" t="s">
        <v>481</v>
      </c>
      <c r="E791" t="s">
        <v>481</v>
      </c>
      <c r="F791" t="s">
        <v>527</v>
      </c>
      <c r="G791" t="s">
        <v>572</v>
      </c>
    </row>
    <row r="792" spans="1:7" x14ac:dyDescent="0.2">
      <c r="A792" t="s">
        <v>273</v>
      </c>
      <c r="B792" t="s">
        <v>339</v>
      </c>
      <c r="C792" t="s">
        <v>481</v>
      </c>
      <c r="E792" t="s">
        <v>481</v>
      </c>
      <c r="F792" t="s">
        <v>527</v>
      </c>
      <c r="G792" t="s">
        <v>572</v>
      </c>
    </row>
    <row r="793" spans="1:7" x14ac:dyDescent="0.2">
      <c r="A793" t="s">
        <v>273</v>
      </c>
      <c r="B793" t="s">
        <v>340</v>
      </c>
      <c r="C793" t="s">
        <v>482</v>
      </c>
      <c r="E793" t="s">
        <v>482</v>
      </c>
      <c r="F793" t="s">
        <v>528</v>
      </c>
      <c r="G793" t="s">
        <v>572</v>
      </c>
    </row>
    <row r="794" spans="1:7" x14ac:dyDescent="0.2">
      <c r="A794" t="s">
        <v>273</v>
      </c>
      <c r="B794" t="s">
        <v>341</v>
      </c>
      <c r="C794" t="s">
        <v>481</v>
      </c>
      <c r="E794" t="s">
        <v>481</v>
      </c>
      <c r="F794" t="s">
        <v>527</v>
      </c>
      <c r="G794" t="s">
        <v>572</v>
      </c>
    </row>
    <row r="795" spans="1:7" x14ac:dyDescent="0.2">
      <c r="A795" t="s">
        <v>273</v>
      </c>
      <c r="B795" t="s">
        <v>342</v>
      </c>
      <c r="C795" t="s">
        <v>481</v>
      </c>
      <c r="E795" t="s">
        <v>481</v>
      </c>
      <c r="F795" t="s">
        <v>526</v>
      </c>
      <c r="G795" t="s">
        <v>572</v>
      </c>
    </row>
    <row r="796" spans="1:7" x14ac:dyDescent="0.2">
      <c r="A796" t="s">
        <v>274</v>
      </c>
      <c r="B796" t="s">
        <v>343</v>
      </c>
      <c r="C796" t="s">
        <v>483</v>
      </c>
      <c r="E796" t="s">
        <v>483</v>
      </c>
      <c r="F796" t="s">
        <v>529</v>
      </c>
      <c r="G796" t="s">
        <v>575</v>
      </c>
    </row>
    <row r="797" spans="1:7" x14ac:dyDescent="0.2">
      <c r="A797" t="s">
        <v>275</v>
      </c>
      <c r="B797" t="s">
        <v>344</v>
      </c>
      <c r="C797" t="s">
        <v>478</v>
      </c>
      <c r="E797" t="s">
        <v>477</v>
      </c>
      <c r="F797" t="s">
        <v>530</v>
      </c>
      <c r="G797" t="s">
        <v>575</v>
      </c>
    </row>
    <row r="798" spans="1:7" x14ac:dyDescent="0.2">
      <c r="A798" t="s">
        <v>275</v>
      </c>
      <c r="B798" t="s">
        <v>345</v>
      </c>
      <c r="C798" t="s">
        <v>478</v>
      </c>
      <c r="E798" t="s">
        <v>477</v>
      </c>
      <c r="F798" t="s">
        <v>530</v>
      </c>
      <c r="G798" t="s">
        <v>575</v>
      </c>
    </row>
    <row r="799" spans="1:7" x14ac:dyDescent="0.2">
      <c r="A799" t="s">
        <v>275</v>
      </c>
      <c r="B799" t="s">
        <v>346</v>
      </c>
      <c r="C799" t="s">
        <v>478</v>
      </c>
      <c r="E799" t="s">
        <v>477</v>
      </c>
      <c r="F799" t="s">
        <v>530</v>
      </c>
      <c r="G799" t="s">
        <v>575</v>
      </c>
    </row>
    <row r="800" spans="1:7" x14ac:dyDescent="0.2">
      <c r="A800" t="s">
        <v>275</v>
      </c>
      <c r="B800" t="s">
        <v>347</v>
      </c>
      <c r="C800" t="s">
        <v>478</v>
      </c>
      <c r="E800" t="s">
        <v>477</v>
      </c>
      <c r="F800" t="s">
        <v>530</v>
      </c>
      <c r="G800" t="s">
        <v>575</v>
      </c>
    </row>
    <row r="801" spans="1:7" x14ac:dyDescent="0.2">
      <c r="A801" t="s">
        <v>275</v>
      </c>
      <c r="B801" t="s">
        <v>348</v>
      </c>
      <c r="C801" t="s">
        <v>478</v>
      </c>
      <c r="E801" t="s">
        <v>477</v>
      </c>
      <c r="F801" t="s">
        <v>530</v>
      </c>
      <c r="G801" t="s">
        <v>575</v>
      </c>
    </row>
    <row r="802" spans="1:7" x14ac:dyDescent="0.2">
      <c r="A802" t="s">
        <v>275</v>
      </c>
      <c r="B802" t="s">
        <v>349</v>
      </c>
      <c r="C802" t="s">
        <v>478</v>
      </c>
      <c r="E802" t="s">
        <v>477</v>
      </c>
      <c r="F802" t="s">
        <v>530</v>
      </c>
      <c r="G802" t="s">
        <v>575</v>
      </c>
    </row>
    <row r="803" spans="1:7" x14ac:dyDescent="0.2">
      <c r="A803" t="s">
        <v>275</v>
      </c>
      <c r="B803" t="s">
        <v>350</v>
      </c>
      <c r="C803" t="s">
        <v>478</v>
      </c>
      <c r="E803" t="s">
        <v>477</v>
      </c>
      <c r="F803" t="s">
        <v>530</v>
      </c>
      <c r="G803" t="s">
        <v>575</v>
      </c>
    </row>
    <row r="804" spans="1:7" x14ac:dyDescent="0.2">
      <c r="A804" t="s">
        <v>275</v>
      </c>
      <c r="B804" t="s">
        <v>351</v>
      </c>
      <c r="C804" t="s">
        <v>478</v>
      </c>
      <c r="E804" t="s">
        <v>477</v>
      </c>
      <c r="F804" t="s">
        <v>530</v>
      </c>
      <c r="G804" t="s">
        <v>575</v>
      </c>
    </row>
    <row r="805" spans="1:7" x14ac:dyDescent="0.2">
      <c r="A805" t="s">
        <v>275</v>
      </c>
      <c r="B805" t="s">
        <v>352</v>
      </c>
      <c r="C805" t="s">
        <v>478</v>
      </c>
      <c r="E805" t="s">
        <v>477</v>
      </c>
      <c r="F805" t="s">
        <v>530</v>
      </c>
      <c r="G805" t="s">
        <v>575</v>
      </c>
    </row>
    <row r="806" spans="1:7" x14ac:dyDescent="0.2">
      <c r="A806" t="s">
        <v>264</v>
      </c>
      <c r="B806" t="s">
        <v>353</v>
      </c>
      <c r="C806" t="s">
        <v>478</v>
      </c>
      <c r="E806" t="s">
        <v>477</v>
      </c>
      <c r="F806" t="s">
        <v>516</v>
      </c>
      <c r="G806" t="s">
        <v>575</v>
      </c>
    </row>
    <row r="807" spans="1:7" x14ac:dyDescent="0.2">
      <c r="A807" t="s">
        <v>276</v>
      </c>
      <c r="B807" t="s">
        <v>354</v>
      </c>
      <c r="C807" t="s">
        <v>484</v>
      </c>
      <c r="E807" t="s">
        <v>484</v>
      </c>
      <c r="F807" t="s">
        <v>531</v>
      </c>
      <c r="G807" t="s">
        <v>575</v>
      </c>
    </row>
    <row r="808" spans="1:7" x14ac:dyDescent="0.2">
      <c r="A808" t="s">
        <v>275</v>
      </c>
      <c r="B808" t="s">
        <v>355</v>
      </c>
      <c r="C808" t="s">
        <v>478</v>
      </c>
      <c r="E808" t="s">
        <v>477</v>
      </c>
      <c r="F808" t="s">
        <v>530</v>
      </c>
      <c r="G808" t="s">
        <v>575</v>
      </c>
    </row>
    <row r="809" spans="1:7" x14ac:dyDescent="0.2">
      <c r="A809" t="s">
        <v>275</v>
      </c>
      <c r="B809" t="s">
        <v>356</v>
      </c>
      <c r="C809" t="s">
        <v>478</v>
      </c>
      <c r="E809" t="s">
        <v>477</v>
      </c>
      <c r="F809" t="s">
        <v>530</v>
      </c>
      <c r="G809" t="s">
        <v>575</v>
      </c>
    </row>
    <row r="810" spans="1:7" x14ac:dyDescent="0.2">
      <c r="A810" t="s">
        <v>275</v>
      </c>
      <c r="B810" t="s">
        <v>357</v>
      </c>
      <c r="C810" t="s">
        <v>478</v>
      </c>
      <c r="E810" t="s">
        <v>477</v>
      </c>
      <c r="F810" t="s">
        <v>530</v>
      </c>
      <c r="G810" t="s">
        <v>575</v>
      </c>
    </row>
    <row r="811" spans="1:7" x14ac:dyDescent="0.2">
      <c r="A811" t="s">
        <v>275</v>
      </c>
      <c r="B811" t="s">
        <v>358</v>
      </c>
      <c r="C811" t="s">
        <v>478</v>
      </c>
      <c r="E811" t="s">
        <v>477</v>
      </c>
      <c r="F811" t="s">
        <v>530</v>
      </c>
      <c r="G811" t="s">
        <v>575</v>
      </c>
    </row>
    <row r="812" spans="1:7" x14ac:dyDescent="0.2">
      <c r="A812" t="s">
        <v>275</v>
      </c>
      <c r="B812" t="s">
        <v>359</v>
      </c>
      <c r="C812" t="s">
        <v>478</v>
      </c>
      <c r="E812" t="s">
        <v>477</v>
      </c>
      <c r="F812" t="s">
        <v>530</v>
      </c>
      <c r="G812" t="s">
        <v>575</v>
      </c>
    </row>
    <row r="813" spans="1:7" x14ac:dyDescent="0.2">
      <c r="A813" t="s">
        <v>275</v>
      </c>
      <c r="B813" t="s">
        <v>360</v>
      </c>
      <c r="C813" t="s">
        <v>478</v>
      </c>
      <c r="E813" t="s">
        <v>477</v>
      </c>
      <c r="F813" t="s">
        <v>530</v>
      </c>
      <c r="G813" t="s">
        <v>575</v>
      </c>
    </row>
    <row r="814" spans="1:7" x14ac:dyDescent="0.2">
      <c r="A814" t="s">
        <v>264</v>
      </c>
      <c r="B814" t="s">
        <v>361</v>
      </c>
      <c r="C814" t="s">
        <v>478</v>
      </c>
      <c r="E814" t="s">
        <v>477</v>
      </c>
      <c r="F814" t="s">
        <v>516</v>
      </c>
      <c r="G814" t="s">
        <v>575</v>
      </c>
    </row>
    <row r="815" spans="1:7" x14ac:dyDescent="0.2">
      <c r="A815" t="s">
        <v>265</v>
      </c>
      <c r="B815" t="s">
        <v>362</v>
      </c>
      <c r="C815" t="s">
        <v>478</v>
      </c>
      <c r="E815" t="s">
        <v>491</v>
      </c>
      <c r="F815" t="s">
        <v>532</v>
      </c>
      <c r="G815" t="s">
        <v>570</v>
      </c>
    </row>
    <row r="816" spans="1:7" x14ac:dyDescent="0.2">
      <c r="A816" t="s">
        <v>277</v>
      </c>
      <c r="B816" t="s">
        <v>363</v>
      </c>
      <c r="C816" t="s">
        <v>485</v>
      </c>
      <c r="E816" t="s">
        <v>485</v>
      </c>
      <c r="F816" t="s">
        <v>525</v>
      </c>
      <c r="G816" t="s">
        <v>571</v>
      </c>
    </row>
    <row r="817" spans="1:7" x14ac:dyDescent="0.2">
      <c r="A817" t="s">
        <v>267</v>
      </c>
      <c r="B817" t="s">
        <v>364</v>
      </c>
      <c r="C817" t="s">
        <v>480</v>
      </c>
      <c r="E817" t="s">
        <v>480</v>
      </c>
      <c r="F817" t="s">
        <v>533</v>
      </c>
      <c r="G817" t="s">
        <v>572</v>
      </c>
    </row>
    <row r="818" spans="1:7" x14ac:dyDescent="0.2">
      <c r="A818" t="s">
        <v>278</v>
      </c>
      <c r="B818" t="s">
        <v>365</v>
      </c>
      <c r="C818" t="s">
        <v>486</v>
      </c>
      <c r="E818" t="s">
        <v>486</v>
      </c>
      <c r="F818" t="s">
        <v>534</v>
      </c>
      <c r="G818" t="s">
        <v>573</v>
      </c>
    </row>
    <row r="819" spans="1:7" x14ac:dyDescent="0.2">
      <c r="A819" t="s">
        <v>278</v>
      </c>
      <c r="B819" t="s">
        <v>366</v>
      </c>
      <c r="C819" t="s">
        <v>486</v>
      </c>
      <c r="E819" t="s">
        <v>486</v>
      </c>
      <c r="F819" t="s">
        <v>534</v>
      </c>
      <c r="G819" t="s">
        <v>573</v>
      </c>
    </row>
    <row r="820" spans="1:7" x14ac:dyDescent="0.2">
      <c r="A820" t="s">
        <v>279</v>
      </c>
      <c r="B820" t="s">
        <v>367</v>
      </c>
      <c r="C820" t="s">
        <v>487</v>
      </c>
      <c r="E820" t="s">
        <v>487</v>
      </c>
      <c r="F820" t="s">
        <v>535</v>
      </c>
      <c r="G820" t="s">
        <v>573</v>
      </c>
    </row>
    <row r="821" spans="1:7" x14ac:dyDescent="0.2">
      <c r="A821" t="s">
        <v>279</v>
      </c>
      <c r="B821" t="s">
        <v>368</v>
      </c>
      <c r="C821" t="s">
        <v>487</v>
      </c>
      <c r="E821" t="s">
        <v>487</v>
      </c>
      <c r="F821" t="s">
        <v>527</v>
      </c>
      <c r="G821" t="s">
        <v>573</v>
      </c>
    </row>
    <row r="822" spans="1:7" x14ac:dyDescent="0.2">
      <c r="A822" t="s">
        <v>280</v>
      </c>
      <c r="B822" t="s">
        <v>369</v>
      </c>
      <c r="C822" t="s">
        <v>482</v>
      </c>
      <c r="E822" t="s">
        <v>482</v>
      </c>
      <c r="F822" t="s">
        <v>526</v>
      </c>
      <c r="G822" t="s">
        <v>572</v>
      </c>
    </row>
    <row r="823" spans="1:7" x14ac:dyDescent="0.2">
      <c r="A823" t="s">
        <v>280</v>
      </c>
      <c r="B823" t="s">
        <v>370</v>
      </c>
      <c r="C823" t="s">
        <v>482</v>
      </c>
      <c r="E823" t="s">
        <v>482</v>
      </c>
      <c r="F823" t="s">
        <v>527</v>
      </c>
      <c r="G823" t="s">
        <v>572</v>
      </c>
    </row>
    <row r="824" spans="1:7" x14ac:dyDescent="0.2">
      <c r="A824" t="s">
        <v>272</v>
      </c>
      <c r="B824" t="s">
        <v>371</v>
      </c>
      <c r="C824" t="s">
        <v>482</v>
      </c>
      <c r="E824" t="s">
        <v>482</v>
      </c>
      <c r="F824" t="s">
        <v>527</v>
      </c>
      <c r="G824" t="s">
        <v>572</v>
      </c>
    </row>
    <row r="825" spans="1:7" x14ac:dyDescent="0.2">
      <c r="A825" t="s">
        <v>272</v>
      </c>
      <c r="B825" t="s">
        <v>372</v>
      </c>
      <c r="C825" t="s">
        <v>488</v>
      </c>
      <c r="E825" t="s">
        <v>488</v>
      </c>
      <c r="F825" t="s">
        <v>528</v>
      </c>
      <c r="G825" t="s">
        <v>572</v>
      </c>
    </row>
    <row r="826" spans="1:7" x14ac:dyDescent="0.2">
      <c r="A826" t="s">
        <v>281</v>
      </c>
      <c r="B826" t="s">
        <v>373</v>
      </c>
      <c r="C826" t="s">
        <v>482</v>
      </c>
      <c r="E826" t="s">
        <v>482</v>
      </c>
      <c r="F826" t="s">
        <v>527</v>
      </c>
      <c r="G826" t="s">
        <v>572</v>
      </c>
    </row>
    <row r="827" spans="1:7" x14ac:dyDescent="0.2">
      <c r="A827" t="s">
        <v>273</v>
      </c>
      <c r="B827" t="s">
        <v>374</v>
      </c>
      <c r="C827" t="s">
        <v>481</v>
      </c>
      <c r="E827" t="s">
        <v>481</v>
      </c>
      <c r="F827" t="s">
        <v>526</v>
      </c>
      <c r="G827" t="s">
        <v>572</v>
      </c>
    </row>
    <row r="828" spans="1:7" x14ac:dyDescent="0.2">
      <c r="A828" t="s">
        <v>282</v>
      </c>
      <c r="B828" t="s">
        <v>375</v>
      </c>
      <c r="C828" t="s">
        <v>489</v>
      </c>
      <c r="E828" t="s">
        <v>489</v>
      </c>
      <c r="F828" t="s">
        <v>526</v>
      </c>
      <c r="G828" t="s">
        <v>572</v>
      </c>
    </row>
    <row r="829" spans="1:7" x14ac:dyDescent="0.2">
      <c r="A829" t="s">
        <v>283</v>
      </c>
      <c r="B829" t="s">
        <v>376</v>
      </c>
      <c r="C829" t="s">
        <v>490</v>
      </c>
      <c r="E829" t="s">
        <v>478</v>
      </c>
      <c r="F829" t="s">
        <v>536</v>
      </c>
      <c r="G829" t="s">
        <v>575</v>
      </c>
    </row>
    <row r="830" spans="1:7" x14ac:dyDescent="0.2">
      <c r="A830" t="s">
        <v>275</v>
      </c>
      <c r="B830" t="s">
        <v>377</v>
      </c>
      <c r="C830" t="s">
        <v>478</v>
      </c>
      <c r="E830" t="s">
        <v>477</v>
      </c>
      <c r="F830" t="s">
        <v>537</v>
      </c>
      <c r="G830" t="s">
        <v>575</v>
      </c>
    </row>
    <row r="831" spans="1:7" x14ac:dyDescent="0.2">
      <c r="A831" t="s">
        <v>275</v>
      </c>
      <c r="B831" t="s">
        <v>378</v>
      </c>
      <c r="C831" t="s">
        <v>478</v>
      </c>
      <c r="E831" t="s">
        <v>477</v>
      </c>
      <c r="F831" t="s">
        <v>538</v>
      </c>
      <c r="G831" t="s">
        <v>575</v>
      </c>
    </row>
    <row r="832" spans="1:7" x14ac:dyDescent="0.2">
      <c r="A832" t="s">
        <v>275</v>
      </c>
      <c r="B832" t="s">
        <v>379</v>
      </c>
      <c r="C832" t="s">
        <v>478</v>
      </c>
      <c r="E832" t="s">
        <v>477</v>
      </c>
      <c r="F832" t="s">
        <v>538</v>
      </c>
      <c r="G832" t="s">
        <v>575</v>
      </c>
    </row>
    <row r="833" spans="1:7" x14ac:dyDescent="0.2">
      <c r="A833" t="s">
        <v>275</v>
      </c>
      <c r="B833" t="s">
        <v>380</v>
      </c>
      <c r="C833" t="s">
        <v>478</v>
      </c>
      <c r="E833" t="s">
        <v>477</v>
      </c>
      <c r="F833" t="s">
        <v>530</v>
      </c>
      <c r="G833" t="s">
        <v>575</v>
      </c>
    </row>
    <row r="834" spans="1:7" x14ac:dyDescent="0.2">
      <c r="A834" t="s">
        <v>275</v>
      </c>
      <c r="B834" t="s">
        <v>381</v>
      </c>
      <c r="C834" t="s">
        <v>478</v>
      </c>
      <c r="E834" t="s">
        <v>477</v>
      </c>
      <c r="F834" t="s">
        <v>530</v>
      </c>
      <c r="G834" t="s">
        <v>575</v>
      </c>
    </row>
    <row r="835" spans="1:7" x14ac:dyDescent="0.2">
      <c r="A835" t="s">
        <v>275</v>
      </c>
      <c r="B835" t="s">
        <v>382</v>
      </c>
      <c r="C835" t="s">
        <v>478</v>
      </c>
      <c r="E835" t="s">
        <v>477</v>
      </c>
      <c r="F835" t="s">
        <v>530</v>
      </c>
      <c r="G835" t="s">
        <v>575</v>
      </c>
    </row>
    <row r="836" spans="1:7" x14ac:dyDescent="0.2">
      <c r="A836" t="s">
        <v>275</v>
      </c>
      <c r="B836" t="s">
        <v>383</v>
      </c>
      <c r="C836" t="s">
        <v>478</v>
      </c>
      <c r="E836" t="s">
        <v>477</v>
      </c>
      <c r="F836" t="s">
        <v>530</v>
      </c>
      <c r="G836" t="s">
        <v>575</v>
      </c>
    </row>
    <row r="837" spans="1:7" x14ac:dyDescent="0.2">
      <c r="A837" t="s">
        <v>264</v>
      </c>
      <c r="B837" t="s">
        <v>384</v>
      </c>
      <c r="C837" t="s">
        <v>478</v>
      </c>
      <c r="E837" t="s">
        <v>477</v>
      </c>
      <c r="F837" t="s">
        <v>516</v>
      </c>
      <c r="G837" t="s">
        <v>575</v>
      </c>
    </row>
    <row r="838" spans="1:7" x14ac:dyDescent="0.2">
      <c r="A838" t="s">
        <v>284</v>
      </c>
      <c r="B838" t="s">
        <v>385</v>
      </c>
      <c r="C838" t="s">
        <v>477</v>
      </c>
      <c r="E838" t="s">
        <v>477</v>
      </c>
      <c r="F838" t="s">
        <v>539</v>
      </c>
      <c r="G838" t="s">
        <v>570</v>
      </c>
    </row>
    <row r="839" spans="1:7" x14ac:dyDescent="0.2">
      <c r="A839" t="s">
        <v>285</v>
      </c>
      <c r="B839" t="s">
        <v>386</v>
      </c>
      <c r="C839" t="s">
        <v>477</v>
      </c>
      <c r="E839" t="s">
        <v>477</v>
      </c>
      <c r="F839" t="s">
        <v>531</v>
      </c>
      <c r="G839" t="s">
        <v>570</v>
      </c>
    </row>
    <row r="840" spans="1:7" x14ac:dyDescent="0.2">
      <c r="A840" t="s">
        <v>286</v>
      </c>
      <c r="B840" t="s">
        <v>387</v>
      </c>
      <c r="C840" t="s">
        <v>486</v>
      </c>
      <c r="E840" t="s">
        <v>486</v>
      </c>
      <c r="F840" t="s">
        <v>540</v>
      </c>
      <c r="G840" t="s">
        <v>572</v>
      </c>
    </row>
    <row r="841" spans="1:7" x14ac:dyDescent="0.2">
      <c r="A841" t="s">
        <v>286</v>
      </c>
      <c r="B841" t="s">
        <v>388</v>
      </c>
      <c r="C841" t="s">
        <v>491</v>
      </c>
      <c r="E841" t="s">
        <v>491</v>
      </c>
      <c r="F841" t="s">
        <v>524</v>
      </c>
      <c r="G841" t="s">
        <v>573</v>
      </c>
    </row>
    <row r="842" spans="1:7" x14ac:dyDescent="0.2">
      <c r="A842" t="s">
        <v>286</v>
      </c>
      <c r="B842" t="s">
        <v>389</v>
      </c>
      <c r="C842" t="s">
        <v>491</v>
      </c>
      <c r="E842" t="s">
        <v>491</v>
      </c>
      <c r="F842" t="s">
        <v>524</v>
      </c>
      <c r="G842" t="s">
        <v>573</v>
      </c>
    </row>
    <row r="843" spans="1:7" x14ac:dyDescent="0.2">
      <c r="A843" t="s">
        <v>286</v>
      </c>
      <c r="B843" t="s">
        <v>390</v>
      </c>
      <c r="C843" t="s">
        <v>491</v>
      </c>
      <c r="E843" t="s">
        <v>491</v>
      </c>
      <c r="F843" t="s">
        <v>524</v>
      </c>
      <c r="G843" t="s">
        <v>573</v>
      </c>
    </row>
    <row r="844" spans="1:7" x14ac:dyDescent="0.2">
      <c r="A844" t="s">
        <v>286</v>
      </c>
      <c r="B844" t="s">
        <v>391</v>
      </c>
      <c r="C844" t="s">
        <v>491</v>
      </c>
      <c r="E844" t="s">
        <v>491</v>
      </c>
      <c r="F844" t="s">
        <v>524</v>
      </c>
      <c r="G844" t="s">
        <v>573</v>
      </c>
    </row>
    <row r="845" spans="1:7" x14ac:dyDescent="0.2">
      <c r="A845" t="s">
        <v>286</v>
      </c>
      <c r="B845" t="s">
        <v>392</v>
      </c>
      <c r="C845" t="s">
        <v>491</v>
      </c>
      <c r="E845" t="s">
        <v>491</v>
      </c>
      <c r="F845" t="s">
        <v>524</v>
      </c>
      <c r="G845" t="s">
        <v>573</v>
      </c>
    </row>
    <row r="846" spans="1:7" x14ac:dyDescent="0.2">
      <c r="A846" t="s">
        <v>286</v>
      </c>
      <c r="B846" t="s">
        <v>393</v>
      </c>
      <c r="C846" t="s">
        <v>491</v>
      </c>
      <c r="E846" t="s">
        <v>491</v>
      </c>
      <c r="F846" t="s">
        <v>524</v>
      </c>
      <c r="G846" t="s">
        <v>573</v>
      </c>
    </row>
    <row r="847" spans="1:7" x14ac:dyDescent="0.2">
      <c r="A847" t="s">
        <v>286</v>
      </c>
      <c r="B847" t="s">
        <v>394</v>
      </c>
      <c r="C847" t="s">
        <v>491</v>
      </c>
      <c r="E847" t="s">
        <v>491</v>
      </c>
      <c r="F847" t="s">
        <v>524</v>
      </c>
      <c r="G847" t="s">
        <v>573</v>
      </c>
    </row>
    <row r="848" spans="1:7" x14ac:dyDescent="0.2">
      <c r="A848" t="s">
        <v>286</v>
      </c>
      <c r="B848" t="s">
        <v>394</v>
      </c>
      <c r="C848" t="s">
        <v>491</v>
      </c>
      <c r="E848" t="s">
        <v>491</v>
      </c>
      <c r="F848" t="s">
        <v>524</v>
      </c>
      <c r="G848" t="s">
        <v>573</v>
      </c>
    </row>
    <row r="849" spans="1:7" x14ac:dyDescent="0.2">
      <c r="A849" t="s">
        <v>286</v>
      </c>
      <c r="B849" t="s">
        <v>395</v>
      </c>
      <c r="C849" t="s">
        <v>491</v>
      </c>
      <c r="E849" t="s">
        <v>491</v>
      </c>
      <c r="F849" t="s">
        <v>524</v>
      </c>
      <c r="G849" t="s">
        <v>573</v>
      </c>
    </row>
    <row r="850" spans="1:7" x14ac:dyDescent="0.2">
      <c r="A850" t="s">
        <v>286</v>
      </c>
      <c r="B850" t="s">
        <v>396</v>
      </c>
      <c r="C850" t="s">
        <v>486</v>
      </c>
      <c r="E850" t="s">
        <v>486</v>
      </c>
      <c r="F850" t="s">
        <v>541</v>
      </c>
      <c r="G850" t="s">
        <v>573</v>
      </c>
    </row>
    <row r="851" spans="1:7" x14ac:dyDescent="0.2">
      <c r="A851" t="s">
        <v>286</v>
      </c>
      <c r="B851" t="s">
        <v>397</v>
      </c>
      <c r="C851" t="s">
        <v>486</v>
      </c>
      <c r="E851" t="s">
        <v>486</v>
      </c>
      <c r="F851" t="s">
        <v>541</v>
      </c>
      <c r="G851" t="s">
        <v>573</v>
      </c>
    </row>
    <row r="852" spans="1:7" x14ac:dyDescent="0.2">
      <c r="A852" t="s">
        <v>286</v>
      </c>
      <c r="B852" t="s">
        <v>398</v>
      </c>
      <c r="C852" t="s">
        <v>486</v>
      </c>
      <c r="E852" t="s">
        <v>486</v>
      </c>
      <c r="F852" t="s">
        <v>541</v>
      </c>
      <c r="G852" t="s">
        <v>573</v>
      </c>
    </row>
    <row r="853" spans="1:7" x14ac:dyDescent="0.2">
      <c r="A853" t="s">
        <v>287</v>
      </c>
      <c r="B853" t="s">
        <v>399</v>
      </c>
      <c r="C853" t="s">
        <v>477</v>
      </c>
      <c r="E853" t="s">
        <v>477</v>
      </c>
      <c r="F853" t="s">
        <v>542</v>
      </c>
      <c r="G853" t="s">
        <v>573</v>
      </c>
    </row>
    <row r="854" spans="1:7" x14ac:dyDescent="0.2">
      <c r="A854" t="s">
        <v>288</v>
      </c>
      <c r="B854" t="s">
        <v>400</v>
      </c>
      <c r="C854" t="s">
        <v>477</v>
      </c>
      <c r="E854" t="s">
        <v>477</v>
      </c>
      <c r="F854" t="s">
        <v>543</v>
      </c>
      <c r="G854" t="s">
        <v>573</v>
      </c>
    </row>
    <row r="855" spans="1:7" x14ac:dyDescent="0.2">
      <c r="A855" t="s">
        <v>285</v>
      </c>
      <c r="B855" t="s">
        <v>401</v>
      </c>
      <c r="C855" t="s">
        <v>477</v>
      </c>
      <c r="E855" t="s">
        <v>477</v>
      </c>
      <c r="F855" t="s">
        <v>529</v>
      </c>
      <c r="G855" t="s">
        <v>570</v>
      </c>
    </row>
    <row r="856" spans="1:7" x14ac:dyDescent="0.2">
      <c r="A856" t="s">
        <v>289</v>
      </c>
      <c r="B856" t="s">
        <v>402</v>
      </c>
      <c r="C856" t="s">
        <v>492</v>
      </c>
      <c r="E856" t="s">
        <v>492</v>
      </c>
      <c r="F856" t="s">
        <v>529</v>
      </c>
      <c r="G856" t="s">
        <v>572</v>
      </c>
    </row>
    <row r="857" spans="1:7" x14ac:dyDescent="0.2">
      <c r="A857" t="s">
        <v>289</v>
      </c>
      <c r="B857" t="s">
        <v>403</v>
      </c>
      <c r="C857" t="s">
        <v>492</v>
      </c>
      <c r="E857" t="s">
        <v>492</v>
      </c>
      <c r="F857" t="s">
        <v>543</v>
      </c>
      <c r="G857" t="s">
        <v>572</v>
      </c>
    </row>
    <row r="858" spans="1:7" x14ac:dyDescent="0.2">
      <c r="A858" t="s">
        <v>289</v>
      </c>
      <c r="B858" t="s">
        <v>404</v>
      </c>
      <c r="C858" t="s">
        <v>492</v>
      </c>
      <c r="E858" t="s">
        <v>492</v>
      </c>
      <c r="F858" t="s">
        <v>529</v>
      </c>
      <c r="G858" t="s">
        <v>572</v>
      </c>
    </row>
    <row r="859" spans="1:7" x14ac:dyDescent="0.2">
      <c r="A859" t="s">
        <v>286</v>
      </c>
      <c r="B859" t="s">
        <v>405</v>
      </c>
      <c r="C859" t="s">
        <v>486</v>
      </c>
      <c r="E859" t="s">
        <v>486</v>
      </c>
      <c r="F859" t="s">
        <v>540</v>
      </c>
      <c r="G859" t="s">
        <v>572</v>
      </c>
    </row>
    <row r="860" spans="1:7" x14ac:dyDescent="0.2">
      <c r="A860" t="s">
        <v>286</v>
      </c>
      <c r="B860" t="s">
        <v>406</v>
      </c>
      <c r="C860" t="s">
        <v>486</v>
      </c>
      <c r="E860" t="s">
        <v>486</v>
      </c>
      <c r="F860" t="s">
        <v>536</v>
      </c>
      <c r="G860" t="s">
        <v>572</v>
      </c>
    </row>
    <row r="861" spans="1:7" x14ac:dyDescent="0.2">
      <c r="A861" t="s">
        <v>290</v>
      </c>
      <c r="B861" t="s">
        <v>407</v>
      </c>
      <c r="C861" t="s">
        <v>478</v>
      </c>
      <c r="E861" t="s">
        <v>478</v>
      </c>
      <c r="F861" t="s">
        <v>544</v>
      </c>
      <c r="G861" t="s">
        <v>569</v>
      </c>
    </row>
    <row r="862" spans="1:7" x14ac:dyDescent="0.2">
      <c r="A862" t="s">
        <v>291</v>
      </c>
      <c r="B862" t="s">
        <v>408</v>
      </c>
      <c r="C862" t="s">
        <v>478</v>
      </c>
      <c r="E862" t="s">
        <v>478</v>
      </c>
      <c r="F862" t="s">
        <v>545</v>
      </c>
      <c r="G862" t="s">
        <v>576</v>
      </c>
    </row>
    <row r="863" spans="1:7" x14ac:dyDescent="0.2">
      <c r="A863" t="s">
        <v>292</v>
      </c>
      <c r="B863" t="s">
        <v>409</v>
      </c>
      <c r="C863" t="s">
        <v>478</v>
      </c>
      <c r="E863" t="s">
        <v>478</v>
      </c>
      <c r="F863" t="s">
        <v>546</v>
      </c>
      <c r="G863" t="s">
        <v>576</v>
      </c>
    </row>
    <row r="864" spans="1:7" x14ac:dyDescent="0.2">
      <c r="A864" t="s">
        <v>292</v>
      </c>
      <c r="B864" t="s">
        <v>410</v>
      </c>
      <c r="C864" t="s">
        <v>478</v>
      </c>
      <c r="E864" t="s">
        <v>478</v>
      </c>
      <c r="F864" t="s">
        <v>547</v>
      </c>
      <c r="G864" t="s">
        <v>576</v>
      </c>
    </row>
    <row r="865" spans="1:7" x14ac:dyDescent="0.2">
      <c r="A865" t="s">
        <v>268</v>
      </c>
      <c r="B865" t="s">
        <v>411</v>
      </c>
      <c r="C865" t="s">
        <v>478</v>
      </c>
      <c r="E865" t="s">
        <v>478</v>
      </c>
      <c r="F865" t="s">
        <v>520</v>
      </c>
      <c r="G865" t="s">
        <v>576</v>
      </c>
    </row>
    <row r="866" spans="1:7" x14ac:dyDescent="0.2">
      <c r="A866" t="s">
        <v>293</v>
      </c>
      <c r="B866" t="s">
        <v>412</v>
      </c>
      <c r="C866" t="s">
        <v>478</v>
      </c>
      <c r="E866" t="s">
        <v>478</v>
      </c>
      <c r="F866" t="s">
        <v>536</v>
      </c>
      <c r="G866" t="s">
        <v>571</v>
      </c>
    </row>
    <row r="867" spans="1:7" x14ac:dyDescent="0.2">
      <c r="A867" t="s">
        <v>294</v>
      </c>
      <c r="B867" t="s">
        <v>413</v>
      </c>
      <c r="C867" t="s">
        <v>493</v>
      </c>
      <c r="E867" t="s">
        <v>493</v>
      </c>
      <c r="F867" t="s">
        <v>548</v>
      </c>
      <c r="G867" t="s">
        <v>577</v>
      </c>
    </row>
    <row r="868" spans="1:7" x14ac:dyDescent="0.2">
      <c r="A868" t="s">
        <v>295</v>
      </c>
      <c r="B868" t="s">
        <v>414</v>
      </c>
      <c r="C868" t="s">
        <v>494</v>
      </c>
      <c r="E868" t="s">
        <v>494</v>
      </c>
      <c r="F868" t="s">
        <v>549</v>
      </c>
      <c r="G868" t="s">
        <v>577</v>
      </c>
    </row>
    <row r="869" spans="1:7" x14ac:dyDescent="0.2">
      <c r="A869" t="s">
        <v>296</v>
      </c>
      <c r="B869" t="s">
        <v>415</v>
      </c>
      <c r="C869" t="s">
        <v>494</v>
      </c>
      <c r="E869" t="s">
        <v>494</v>
      </c>
      <c r="F869" t="s">
        <v>550</v>
      </c>
      <c r="G869" t="s">
        <v>577</v>
      </c>
    </row>
    <row r="870" spans="1:7" x14ac:dyDescent="0.2">
      <c r="A870" t="s">
        <v>297</v>
      </c>
      <c r="B870" t="s">
        <v>416</v>
      </c>
      <c r="C870" t="s">
        <v>488</v>
      </c>
      <c r="E870" t="s">
        <v>488</v>
      </c>
      <c r="F870" t="s">
        <v>551</v>
      </c>
      <c r="G870" t="s">
        <v>577</v>
      </c>
    </row>
    <row r="871" spans="1:7" x14ac:dyDescent="0.2">
      <c r="A871" t="s">
        <v>298</v>
      </c>
      <c r="B871" t="s">
        <v>417</v>
      </c>
      <c r="C871" t="s">
        <v>495</v>
      </c>
      <c r="E871" t="s">
        <v>495</v>
      </c>
      <c r="F871" t="s">
        <v>552</v>
      </c>
      <c r="G871" t="s">
        <v>577</v>
      </c>
    </row>
    <row r="872" spans="1:7" x14ac:dyDescent="0.2">
      <c r="A872" t="s">
        <v>299</v>
      </c>
      <c r="B872" t="s">
        <v>418</v>
      </c>
      <c r="C872" t="s">
        <v>496</v>
      </c>
      <c r="E872" t="s">
        <v>496</v>
      </c>
      <c r="F872" t="s">
        <v>516</v>
      </c>
      <c r="G872" t="s">
        <v>577</v>
      </c>
    </row>
    <row r="873" spans="1:7" x14ac:dyDescent="0.2">
      <c r="A873" t="s">
        <v>300</v>
      </c>
      <c r="B873" t="s">
        <v>419</v>
      </c>
      <c r="C873" t="s">
        <v>497</v>
      </c>
      <c r="E873" t="s">
        <v>497</v>
      </c>
      <c r="F873" t="s">
        <v>553</v>
      </c>
      <c r="G873" t="s">
        <v>577</v>
      </c>
    </row>
    <row r="874" spans="1:7" x14ac:dyDescent="0.2">
      <c r="A874" t="s">
        <v>301</v>
      </c>
      <c r="B874" t="s">
        <v>420</v>
      </c>
      <c r="C874" t="s">
        <v>478</v>
      </c>
      <c r="E874" t="s">
        <v>478</v>
      </c>
      <c r="F874" t="s">
        <v>516</v>
      </c>
      <c r="G874" t="s">
        <v>576</v>
      </c>
    </row>
    <row r="875" spans="1:7" x14ac:dyDescent="0.2">
      <c r="A875" t="s">
        <v>283</v>
      </c>
      <c r="B875" t="s">
        <v>421</v>
      </c>
      <c r="C875" t="s">
        <v>477</v>
      </c>
      <c r="E875" t="s">
        <v>477</v>
      </c>
      <c r="F875" t="s">
        <v>540</v>
      </c>
      <c r="G875" t="s">
        <v>578</v>
      </c>
    </row>
    <row r="876" spans="1:7" x14ac:dyDescent="0.2">
      <c r="A876" t="s">
        <v>264</v>
      </c>
      <c r="B876" t="s">
        <v>422</v>
      </c>
      <c r="C876" t="s">
        <v>477</v>
      </c>
      <c r="E876" t="s">
        <v>477</v>
      </c>
      <c r="F876" t="s">
        <v>541</v>
      </c>
      <c r="G876" t="s">
        <v>578</v>
      </c>
    </row>
    <row r="877" spans="1:7" x14ac:dyDescent="0.2">
      <c r="A877" t="s">
        <v>264</v>
      </c>
      <c r="B877" t="s">
        <v>423</v>
      </c>
      <c r="C877" t="s">
        <v>478</v>
      </c>
      <c r="E877" t="s">
        <v>478</v>
      </c>
      <c r="F877" t="s">
        <v>516</v>
      </c>
      <c r="G877" t="s">
        <v>578</v>
      </c>
    </row>
    <row r="878" spans="1:7" x14ac:dyDescent="0.2">
      <c r="A878" t="s">
        <v>301</v>
      </c>
      <c r="B878" t="s">
        <v>424</v>
      </c>
      <c r="C878" t="s">
        <v>478</v>
      </c>
      <c r="E878" t="s">
        <v>478</v>
      </c>
      <c r="F878" t="s">
        <v>537</v>
      </c>
      <c r="G878" t="s">
        <v>576</v>
      </c>
    </row>
    <row r="879" spans="1:7" x14ac:dyDescent="0.2">
      <c r="A879" t="s">
        <v>283</v>
      </c>
      <c r="B879" t="s">
        <v>425</v>
      </c>
      <c r="C879" t="s">
        <v>498</v>
      </c>
      <c r="E879" t="s">
        <v>498</v>
      </c>
      <c r="F879" t="s">
        <v>529</v>
      </c>
      <c r="G879" t="s">
        <v>578</v>
      </c>
    </row>
    <row r="880" spans="1:7" x14ac:dyDescent="0.2">
      <c r="A880" t="s">
        <v>302</v>
      </c>
      <c r="B880" t="s">
        <v>426</v>
      </c>
      <c r="C880" t="s">
        <v>478</v>
      </c>
      <c r="E880" t="s">
        <v>478</v>
      </c>
      <c r="F880" t="s">
        <v>529</v>
      </c>
      <c r="G880" t="s">
        <v>579</v>
      </c>
    </row>
    <row r="881" spans="1:7" x14ac:dyDescent="0.2">
      <c r="A881" t="s">
        <v>285</v>
      </c>
      <c r="B881" t="s">
        <v>427</v>
      </c>
      <c r="C881" t="s">
        <v>499</v>
      </c>
      <c r="E881" t="s">
        <v>499</v>
      </c>
      <c r="F881" t="s">
        <v>542</v>
      </c>
      <c r="G881" t="s">
        <v>577</v>
      </c>
    </row>
    <row r="882" spans="1:7" x14ac:dyDescent="0.2">
      <c r="A882" t="s">
        <v>303</v>
      </c>
      <c r="B882" t="s">
        <v>428</v>
      </c>
      <c r="C882" t="s">
        <v>500</v>
      </c>
      <c r="E882" t="s">
        <v>500</v>
      </c>
      <c r="F882" t="s">
        <v>546</v>
      </c>
      <c r="G882" t="s">
        <v>577</v>
      </c>
    </row>
    <row r="883" spans="1:7" x14ac:dyDescent="0.2">
      <c r="A883" t="s">
        <v>304</v>
      </c>
      <c r="B883" t="s">
        <v>429</v>
      </c>
      <c r="C883" t="s">
        <v>478</v>
      </c>
      <c r="E883" t="s">
        <v>478</v>
      </c>
      <c r="F883" t="s">
        <v>554</v>
      </c>
      <c r="G883" t="s">
        <v>569</v>
      </c>
    </row>
    <row r="884" spans="1:7" x14ac:dyDescent="0.2">
      <c r="A884" t="s">
        <v>277</v>
      </c>
      <c r="B884" t="s">
        <v>430</v>
      </c>
      <c r="C884" t="s">
        <v>478</v>
      </c>
      <c r="E884" t="s">
        <v>478</v>
      </c>
      <c r="F884" t="s">
        <v>539</v>
      </c>
      <c r="G884" t="s">
        <v>571</v>
      </c>
    </row>
    <row r="885" spans="1:7" x14ac:dyDescent="0.2">
      <c r="A885" t="s">
        <v>277</v>
      </c>
      <c r="B885" t="s">
        <v>431</v>
      </c>
      <c r="C885" t="s">
        <v>478</v>
      </c>
      <c r="E885" t="s">
        <v>478</v>
      </c>
      <c r="F885" t="s">
        <v>534</v>
      </c>
      <c r="G885" t="s">
        <v>571</v>
      </c>
    </row>
    <row r="886" spans="1:7" x14ac:dyDescent="0.2">
      <c r="A886" t="s">
        <v>277</v>
      </c>
      <c r="B886" t="s">
        <v>432</v>
      </c>
      <c r="C886" t="s">
        <v>501</v>
      </c>
      <c r="E886" t="s">
        <v>501</v>
      </c>
      <c r="F886" t="s">
        <v>555</v>
      </c>
      <c r="G886" t="s">
        <v>571</v>
      </c>
    </row>
    <row r="887" spans="1:7" x14ac:dyDescent="0.2">
      <c r="A887" t="s">
        <v>263</v>
      </c>
      <c r="B887" t="s">
        <v>433</v>
      </c>
      <c r="C887" t="s">
        <v>502</v>
      </c>
      <c r="E887" t="s">
        <v>502</v>
      </c>
      <c r="F887" t="s">
        <v>556</v>
      </c>
      <c r="G887" t="s">
        <v>580</v>
      </c>
    </row>
    <row r="888" spans="1:7" x14ac:dyDescent="0.2">
      <c r="A888" t="s">
        <v>268</v>
      </c>
      <c r="B888" t="s">
        <v>434</v>
      </c>
      <c r="C888" t="s">
        <v>478</v>
      </c>
      <c r="E888" t="s">
        <v>478</v>
      </c>
      <c r="F888" t="s">
        <v>520</v>
      </c>
      <c r="G888" t="s">
        <v>571</v>
      </c>
    </row>
    <row r="889" spans="1:7" x14ac:dyDescent="0.2">
      <c r="A889" t="s">
        <v>305</v>
      </c>
      <c r="B889" t="s">
        <v>435</v>
      </c>
      <c r="C889" t="s">
        <v>478</v>
      </c>
      <c r="E889" t="s">
        <v>478</v>
      </c>
      <c r="F889" t="s">
        <v>557</v>
      </c>
      <c r="G889" t="s">
        <v>569</v>
      </c>
    </row>
    <row r="890" spans="1:7" x14ac:dyDescent="0.2">
      <c r="A890" t="s">
        <v>306</v>
      </c>
      <c r="B890" t="s">
        <v>436</v>
      </c>
      <c r="C890" t="s">
        <v>478</v>
      </c>
      <c r="E890" t="s">
        <v>478</v>
      </c>
      <c r="F890" t="s">
        <v>558</v>
      </c>
      <c r="G890" t="s">
        <v>569</v>
      </c>
    </row>
    <row r="891" spans="1:7" x14ac:dyDescent="0.2">
      <c r="A891" t="s">
        <v>307</v>
      </c>
      <c r="B891" t="s">
        <v>437</v>
      </c>
      <c r="C891" t="s">
        <v>478</v>
      </c>
      <c r="E891" t="s">
        <v>478</v>
      </c>
      <c r="F891" t="s">
        <v>559</v>
      </c>
      <c r="G891" t="s">
        <v>574</v>
      </c>
    </row>
    <row r="892" spans="1:7" x14ac:dyDescent="0.2">
      <c r="A892" t="s">
        <v>308</v>
      </c>
      <c r="B892" t="s">
        <v>438</v>
      </c>
      <c r="C892" t="s">
        <v>478</v>
      </c>
      <c r="E892" t="s">
        <v>478</v>
      </c>
      <c r="F892" t="s">
        <v>560</v>
      </c>
      <c r="G892" t="s">
        <v>569</v>
      </c>
    </row>
    <row r="893" spans="1:7" x14ac:dyDescent="0.2">
      <c r="A893" t="s">
        <v>309</v>
      </c>
      <c r="B893" t="s">
        <v>439</v>
      </c>
      <c r="C893" t="s">
        <v>478</v>
      </c>
      <c r="E893" t="s">
        <v>478</v>
      </c>
      <c r="F893" t="s">
        <v>558</v>
      </c>
      <c r="G893" t="s">
        <v>574</v>
      </c>
    </row>
    <row r="894" spans="1:7" x14ac:dyDescent="0.2">
      <c r="A894" t="s">
        <v>310</v>
      </c>
      <c r="B894" t="s">
        <v>440</v>
      </c>
      <c r="C894" t="s">
        <v>478</v>
      </c>
      <c r="E894" t="s">
        <v>478</v>
      </c>
      <c r="F894" t="s">
        <v>561</v>
      </c>
      <c r="G894" t="s">
        <v>569</v>
      </c>
    </row>
    <row r="895" spans="1:7" x14ac:dyDescent="0.2">
      <c r="A895" t="s">
        <v>311</v>
      </c>
      <c r="B895" t="s">
        <v>441</v>
      </c>
      <c r="C895" t="s">
        <v>481</v>
      </c>
      <c r="E895" t="s">
        <v>481</v>
      </c>
      <c r="F895" t="s">
        <v>527</v>
      </c>
      <c r="G895" t="s">
        <v>580</v>
      </c>
    </row>
    <row r="896" spans="1:7" x14ac:dyDescent="0.2">
      <c r="A896" t="s">
        <v>311</v>
      </c>
      <c r="B896" t="s">
        <v>442</v>
      </c>
      <c r="C896" t="s">
        <v>482</v>
      </c>
      <c r="E896" t="s">
        <v>482</v>
      </c>
      <c r="F896" t="s">
        <v>562</v>
      </c>
      <c r="G896" t="s">
        <v>580</v>
      </c>
    </row>
    <row r="897" spans="1:7" x14ac:dyDescent="0.2">
      <c r="A897" t="s">
        <v>311</v>
      </c>
      <c r="B897" t="s">
        <v>443</v>
      </c>
      <c r="C897" t="s">
        <v>481</v>
      </c>
      <c r="E897" t="s">
        <v>481</v>
      </c>
      <c r="F897" t="s">
        <v>563</v>
      </c>
      <c r="G897" t="s">
        <v>580</v>
      </c>
    </row>
    <row r="898" spans="1:7" x14ac:dyDescent="0.2">
      <c r="A898" t="s">
        <v>312</v>
      </c>
      <c r="B898" t="s">
        <v>444</v>
      </c>
      <c r="C898" t="s">
        <v>481</v>
      </c>
      <c r="E898" t="s">
        <v>481</v>
      </c>
      <c r="F898" t="s">
        <v>526</v>
      </c>
      <c r="G898" t="s">
        <v>580</v>
      </c>
    </row>
    <row r="899" spans="1:7" x14ac:dyDescent="0.2">
      <c r="A899" t="s">
        <v>286</v>
      </c>
      <c r="B899" t="s">
        <v>445</v>
      </c>
      <c r="C899" t="s">
        <v>486</v>
      </c>
      <c r="E899" t="s">
        <v>486</v>
      </c>
      <c r="F899" t="s">
        <v>542</v>
      </c>
      <c r="G899" t="s">
        <v>580</v>
      </c>
    </row>
    <row r="900" spans="1:7" x14ac:dyDescent="0.2">
      <c r="A900" t="s">
        <v>286</v>
      </c>
      <c r="B900" t="s">
        <v>446</v>
      </c>
      <c r="C900" t="s">
        <v>486</v>
      </c>
      <c r="E900" t="s">
        <v>486</v>
      </c>
      <c r="F900" t="s">
        <v>541</v>
      </c>
      <c r="G900" t="s">
        <v>580</v>
      </c>
    </row>
    <row r="901" spans="1:7" x14ac:dyDescent="0.2">
      <c r="A901" t="s">
        <v>313</v>
      </c>
      <c r="B901" t="s">
        <v>447</v>
      </c>
      <c r="C901" t="s">
        <v>478</v>
      </c>
      <c r="E901" t="s">
        <v>478</v>
      </c>
      <c r="F901" t="s">
        <v>516</v>
      </c>
      <c r="G901" t="s">
        <v>569</v>
      </c>
    </row>
    <row r="902" spans="1:7" x14ac:dyDescent="0.2">
      <c r="A902" t="s">
        <v>314</v>
      </c>
      <c r="B902" t="s">
        <v>448</v>
      </c>
      <c r="C902" t="s">
        <v>478</v>
      </c>
      <c r="E902" t="s">
        <v>478</v>
      </c>
      <c r="F902" t="s">
        <v>516</v>
      </c>
      <c r="G902" t="s">
        <v>569</v>
      </c>
    </row>
    <row r="903" spans="1:7" x14ac:dyDescent="0.2">
      <c r="A903" t="s">
        <v>315</v>
      </c>
      <c r="B903" t="s">
        <v>449</v>
      </c>
      <c r="C903" t="s">
        <v>478</v>
      </c>
      <c r="E903" t="s">
        <v>478</v>
      </c>
      <c r="F903" t="s">
        <v>530</v>
      </c>
      <c r="G903" t="s">
        <v>569</v>
      </c>
    </row>
    <row r="904" spans="1:7" x14ac:dyDescent="0.2">
      <c r="A904" t="s">
        <v>315</v>
      </c>
      <c r="B904" t="s">
        <v>450</v>
      </c>
      <c r="C904" t="s">
        <v>478</v>
      </c>
      <c r="E904" t="s">
        <v>478</v>
      </c>
      <c r="F904" t="s">
        <v>530</v>
      </c>
      <c r="G904" t="s">
        <v>569</v>
      </c>
    </row>
    <row r="905" spans="1:7" x14ac:dyDescent="0.2">
      <c r="A905" t="s">
        <v>315</v>
      </c>
      <c r="B905" t="s">
        <v>451</v>
      </c>
      <c r="C905" t="s">
        <v>478</v>
      </c>
      <c r="E905" t="s">
        <v>478</v>
      </c>
      <c r="F905" t="s">
        <v>530</v>
      </c>
      <c r="G905" t="s">
        <v>569</v>
      </c>
    </row>
    <row r="906" spans="1:7" x14ac:dyDescent="0.2">
      <c r="A906" t="s">
        <v>313</v>
      </c>
      <c r="B906" t="s">
        <v>452</v>
      </c>
      <c r="C906" t="s">
        <v>478</v>
      </c>
      <c r="E906" t="s">
        <v>478</v>
      </c>
      <c r="F906" t="s">
        <v>524</v>
      </c>
      <c r="G906" t="s">
        <v>569</v>
      </c>
    </row>
    <row r="907" spans="1:7" x14ac:dyDescent="0.2">
      <c r="A907" t="s">
        <v>314</v>
      </c>
      <c r="B907" t="s">
        <v>453</v>
      </c>
      <c r="C907" t="s">
        <v>478</v>
      </c>
      <c r="E907" t="s">
        <v>478</v>
      </c>
      <c r="F907" t="s">
        <v>538</v>
      </c>
      <c r="G907" t="s">
        <v>569</v>
      </c>
    </row>
    <row r="908" spans="1:7" x14ac:dyDescent="0.2">
      <c r="A908" t="s">
        <v>314</v>
      </c>
      <c r="B908" t="s">
        <v>454</v>
      </c>
      <c r="C908" t="s">
        <v>478</v>
      </c>
      <c r="E908" t="s">
        <v>478</v>
      </c>
      <c r="F908" t="s">
        <v>530</v>
      </c>
      <c r="G908" t="s">
        <v>569</v>
      </c>
    </row>
    <row r="909" spans="1:7" x14ac:dyDescent="0.2">
      <c r="A909" t="s">
        <v>314</v>
      </c>
      <c r="B909" t="s">
        <v>455</v>
      </c>
      <c r="C909" t="s">
        <v>478</v>
      </c>
      <c r="E909" t="s">
        <v>478</v>
      </c>
      <c r="F909" t="s">
        <v>538</v>
      </c>
      <c r="G909" t="s">
        <v>569</v>
      </c>
    </row>
    <row r="910" spans="1:7" x14ac:dyDescent="0.2">
      <c r="A910" t="s">
        <v>314</v>
      </c>
      <c r="B910" t="s">
        <v>456</v>
      </c>
      <c r="C910" t="s">
        <v>478</v>
      </c>
      <c r="E910" t="s">
        <v>478</v>
      </c>
      <c r="F910" t="s">
        <v>530</v>
      </c>
      <c r="G910" t="s">
        <v>569</v>
      </c>
    </row>
    <row r="911" spans="1:7" x14ac:dyDescent="0.2">
      <c r="A911" t="s">
        <v>277</v>
      </c>
      <c r="B911" t="s">
        <v>457</v>
      </c>
      <c r="C911" t="s">
        <v>501</v>
      </c>
      <c r="E911" t="s">
        <v>501</v>
      </c>
      <c r="F911" t="s">
        <v>564</v>
      </c>
      <c r="G911" t="s">
        <v>571</v>
      </c>
    </row>
    <row r="912" spans="1:7" x14ac:dyDescent="0.2">
      <c r="A912" t="s">
        <v>263</v>
      </c>
      <c r="B912" t="s">
        <v>458</v>
      </c>
      <c r="C912" t="s">
        <v>476</v>
      </c>
      <c r="E912" t="s">
        <v>476</v>
      </c>
      <c r="F912" t="s">
        <v>565</v>
      </c>
      <c r="G912" t="s">
        <v>580</v>
      </c>
    </row>
    <row r="913" spans="1:7" x14ac:dyDescent="0.2">
      <c r="A913" t="s">
        <v>316</v>
      </c>
      <c r="B913" t="s">
        <v>459</v>
      </c>
      <c r="C913" t="s">
        <v>478</v>
      </c>
      <c r="E913" t="s">
        <v>478</v>
      </c>
      <c r="F913" t="s">
        <v>557</v>
      </c>
      <c r="G913" t="s">
        <v>569</v>
      </c>
    </row>
    <row r="914" spans="1:7" x14ac:dyDescent="0.2">
      <c r="A914" t="s">
        <v>317</v>
      </c>
      <c r="B914" t="s">
        <v>460</v>
      </c>
      <c r="C914" t="s">
        <v>478</v>
      </c>
      <c r="E914" t="s">
        <v>478</v>
      </c>
      <c r="F914" t="s">
        <v>560</v>
      </c>
      <c r="G914" t="s">
        <v>569</v>
      </c>
    </row>
    <row r="915" spans="1:7" x14ac:dyDescent="0.2">
      <c r="A915" t="s">
        <v>318</v>
      </c>
      <c r="B915" t="s">
        <v>461</v>
      </c>
      <c r="C915" t="s">
        <v>478</v>
      </c>
      <c r="E915" t="s">
        <v>478</v>
      </c>
      <c r="F915" t="s">
        <v>561</v>
      </c>
      <c r="G915" t="s">
        <v>574</v>
      </c>
    </row>
    <row r="916" spans="1:7" x14ac:dyDescent="0.2">
      <c r="A916" t="s">
        <v>319</v>
      </c>
      <c r="B916" t="s">
        <v>462</v>
      </c>
      <c r="C916" t="s">
        <v>482</v>
      </c>
      <c r="E916" t="s">
        <v>482</v>
      </c>
      <c r="F916" t="s">
        <v>526</v>
      </c>
      <c r="G916" t="s">
        <v>580</v>
      </c>
    </row>
    <row r="917" spans="1:7" x14ac:dyDescent="0.2">
      <c r="A917" t="s">
        <v>320</v>
      </c>
      <c r="B917" t="s">
        <v>463</v>
      </c>
      <c r="C917" t="s">
        <v>488</v>
      </c>
      <c r="E917" t="s">
        <v>488</v>
      </c>
      <c r="F917" t="s">
        <v>562</v>
      </c>
      <c r="G917" t="s">
        <v>580</v>
      </c>
    </row>
    <row r="918" spans="1:7" x14ac:dyDescent="0.2">
      <c r="A918" t="s">
        <v>319</v>
      </c>
      <c r="B918" t="s">
        <v>464</v>
      </c>
      <c r="C918" t="s">
        <v>482</v>
      </c>
      <c r="E918" t="s">
        <v>482</v>
      </c>
      <c r="F918" t="s">
        <v>563</v>
      </c>
      <c r="G918" t="s">
        <v>580</v>
      </c>
    </row>
    <row r="919" spans="1:7" x14ac:dyDescent="0.2">
      <c r="A919" t="s">
        <v>319</v>
      </c>
      <c r="B919" t="s">
        <v>465</v>
      </c>
      <c r="C919" t="s">
        <v>481</v>
      </c>
      <c r="E919" t="s">
        <v>481</v>
      </c>
      <c r="F919" t="s">
        <v>526</v>
      </c>
      <c r="G919" t="s">
        <v>580</v>
      </c>
    </row>
    <row r="920" spans="1:7" x14ac:dyDescent="0.2">
      <c r="A920" t="s">
        <v>321</v>
      </c>
      <c r="B920" t="s">
        <v>466</v>
      </c>
      <c r="C920" t="s">
        <v>488</v>
      </c>
      <c r="E920" t="s">
        <v>488</v>
      </c>
      <c r="F920" t="s">
        <v>547</v>
      </c>
      <c r="G920" t="s">
        <v>574</v>
      </c>
    </row>
    <row r="921" spans="1:7" x14ac:dyDescent="0.2">
      <c r="A921" t="s">
        <v>322</v>
      </c>
      <c r="B921" t="s">
        <v>467</v>
      </c>
      <c r="C921" t="s">
        <v>482</v>
      </c>
      <c r="E921" t="s">
        <v>482</v>
      </c>
      <c r="F921" t="s">
        <v>566</v>
      </c>
      <c r="G921" t="s">
        <v>574</v>
      </c>
    </row>
    <row r="922" spans="1:7" x14ac:dyDescent="0.2">
      <c r="A922" t="s">
        <v>283</v>
      </c>
      <c r="B922" t="s">
        <v>468</v>
      </c>
      <c r="C922" t="s">
        <v>478</v>
      </c>
      <c r="E922" t="s">
        <v>478</v>
      </c>
      <c r="F922" t="s">
        <v>524</v>
      </c>
      <c r="G922" t="s">
        <v>581</v>
      </c>
    </row>
    <row r="923" spans="1:7" x14ac:dyDescent="0.2">
      <c r="A923" t="s">
        <v>275</v>
      </c>
      <c r="B923" t="s">
        <v>469</v>
      </c>
      <c r="C923" t="s">
        <v>478</v>
      </c>
      <c r="E923" t="s">
        <v>478</v>
      </c>
      <c r="F923" t="s">
        <v>530</v>
      </c>
      <c r="G923" t="s">
        <v>581</v>
      </c>
    </row>
    <row r="924" spans="1:7" x14ac:dyDescent="0.2">
      <c r="A924" t="s">
        <v>275</v>
      </c>
      <c r="B924" t="s">
        <v>470</v>
      </c>
      <c r="C924" t="s">
        <v>478</v>
      </c>
      <c r="E924" t="s">
        <v>478</v>
      </c>
      <c r="F924" t="s">
        <v>530</v>
      </c>
      <c r="G924" t="s">
        <v>581</v>
      </c>
    </row>
    <row r="925" spans="1:7" x14ac:dyDescent="0.2">
      <c r="A925" t="s">
        <v>275</v>
      </c>
      <c r="B925" t="s">
        <v>471</v>
      </c>
      <c r="C925" t="s">
        <v>478</v>
      </c>
      <c r="E925" t="s">
        <v>478</v>
      </c>
      <c r="F925" t="s">
        <v>530</v>
      </c>
      <c r="G925" t="s">
        <v>581</v>
      </c>
    </row>
    <row r="926" spans="1:7" x14ac:dyDescent="0.2">
      <c r="A926" t="s">
        <v>275</v>
      </c>
      <c r="B926" t="s">
        <v>472</v>
      </c>
      <c r="C926" t="s">
        <v>478</v>
      </c>
      <c r="E926" t="s">
        <v>478</v>
      </c>
      <c r="F926" t="s">
        <v>530</v>
      </c>
      <c r="G926" t="s">
        <v>581</v>
      </c>
    </row>
    <row r="927" spans="1:7" x14ac:dyDescent="0.2">
      <c r="A927" t="s">
        <v>286</v>
      </c>
      <c r="B927" t="s">
        <v>473</v>
      </c>
      <c r="C927" t="s">
        <v>486</v>
      </c>
      <c r="E927" t="s">
        <v>486</v>
      </c>
      <c r="F927" t="s">
        <v>542</v>
      </c>
      <c r="G927" t="s">
        <v>580</v>
      </c>
    </row>
    <row r="928" spans="1:7" x14ac:dyDescent="0.2">
      <c r="A928" t="s">
        <v>286</v>
      </c>
      <c r="B928" t="s">
        <v>474</v>
      </c>
      <c r="C928" t="s">
        <v>486</v>
      </c>
      <c r="E928" t="s">
        <v>486</v>
      </c>
      <c r="F928" t="s">
        <v>542</v>
      </c>
      <c r="G928" t="s">
        <v>580</v>
      </c>
    </row>
    <row r="929" spans="1:7" x14ac:dyDescent="0.2">
      <c r="A929" t="s">
        <v>289</v>
      </c>
      <c r="B929" t="s">
        <v>475</v>
      </c>
      <c r="C929" t="s">
        <v>478</v>
      </c>
      <c r="E929" t="s">
        <v>478</v>
      </c>
      <c r="F929" t="s">
        <v>559</v>
      </c>
      <c r="G929" t="s">
        <v>574</v>
      </c>
    </row>
    <row r="930" spans="1:7" x14ac:dyDescent="0.2">
      <c r="A930" t="s">
        <v>302</v>
      </c>
      <c r="B930" t="s">
        <v>302</v>
      </c>
      <c r="C930" t="s">
        <v>478</v>
      </c>
      <c r="E930" t="s">
        <v>478</v>
      </c>
      <c r="F930" t="s">
        <v>567</v>
      </c>
      <c r="G930" t="s">
        <v>579</v>
      </c>
    </row>
    <row r="931" spans="1:7" x14ac:dyDescent="0.2">
      <c r="A931" t="s">
        <v>323</v>
      </c>
      <c r="B931" t="s">
        <v>302</v>
      </c>
      <c r="C931" t="s">
        <v>478</v>
      </c>
      <c r="E931" t="s">
        <v>478</v>
      </c>
      <c r="F931" t="s">
        <v>568</v>
      </c>
      <c r="G931" t="s">
        <v>569</v>
      </c>
    </row>
    <row r="932" spans="1:7" x14ac:dyDescent="0.2">
      <c r="A932" t="s">
        <v>263</v>
      </c>
      <c r="B932" t="s">
        <v>324</v>
      </c>
      <c r="C932" t="s">
        <v>476</v>
      </c>
      <c r="E932" t="s">
        <v>478</v>
      </c>
      <c r="F932" t="s">
        <v>515</v>
      </c>
      <c r="G932" t="s">
        <v>319</v>
      </c>
    </row>
    <row r="933" spans="1:7" x14ac:dyDescent="0.2">
      <c r="A933" t="s">
        <v>264</v>
      </c>
      <c r="B933" t="s">
        <v>325</v>
      </c>
      <c r="C933" t="s">
        <v>477</v>
      </c>
      <c r="E933" t="s">
        <v>477</v>
      </c>
      <c r="F933" t="s">
        <v>516</v>
      </c>
      <c r="G933" t="s">
        <v>569</v>
      </c>
    </row>
    <row r="934" spans="1:7" x14ac:dyDescent="0.2">
      <c r="A934" t="s">
        <v>265</v>
      </c>
      <c r="B934" t="s">
        <v>326</v>
      </c>
      <c r="C934" t="s">
        <v>478</v>
      </c>
      <c r="E934" t="s">
        <v>478</v>
      </c>
      <c r="F934" t="s">
        <v>517</v>
      </c>
      <c r="G934" t="s">
        <v>570</v>
      </c>
    </row>
    <row r="935" spans="1:7" x14ac:dyDescent="0.2">
      <c r="A935" t="s">
        <v>266</v>
      </c>
      <c r="B935" t="s">
        <v>327</v>
      </c>
      <c r="C935" t="s">
        <v>479</v>
      </c>
      <c r="E935" t="s">
        <v>479</v>
      </c>
      <c r="F935" t="s">
        <v>518</v>
      </c>
      <c r="G935" t="s">
        <v>571</v>
      </c>
    </row>
    <row r="936" spans="1:7" x14ac:dyDescent="0.2">
      <c r="A936" t="s">
        <v>267</v>
      </c>
      <c r="B936" t="s">
        <v>328</v>
      </c>
      <c r="C936" t="s">
        <v>480</v>
      </c>
      <c r="E936" t="s">
        <v>480</v>
      </c>
      <c r="F936" t="s">
        <v>519</v>
      </c>
      <c r="G936" t="s">
        <v>572</v>
      </c>
    </row>
    <row r="937" spans="1:7" x14ac:dyDescent="0.2">
      <c r="A937" t="s">
        <v>268</v>
      </c>
      <c r="B937" t="s">
        <v>329</v>
      </c>
      <c r="C937" t="s">
        <v>478</v>
      </c>
      <c r="E937" t="s">
        <v>478</v>
      </c>
      <c r="F937" t="s">
        <v>520</v>
      </c>
      <c r="G937" t="s">
        <v>571</v>
      </c>
    </row>
    <row r="938" spans="1:7" x14ac:dyDescent="0.2">
      <c r="A938" t="s">
        <v>268</v>
      </c>
      <c r="B938" t="s">
        <v>330</v>
      </c>
      <c r="C938" t="s">
        <v>478</v>
      </c>
      <c r="E938" t="s">
        <v>478</v>
      </c>
      <c r="F938" t="s">
        <v>516</v>
      </c>
      <c r="G938" t="s">
        <v>571</v>
      </c>
    </row>
    <row r="939" spans="1:7" x14ac:dyDescent="0.2">
      <c r="A939" t="s">
        <v>268</v>
      </c>
      <c r="B939" t="s">
        <v>331</v>
      </c>
      <c r="C939" t="s">
        <v>478</v>
      </c>
      <c r="E939" t="s">
        <v>478</v>
      </c>
      <c r="F939" t="s">
        <v>520</v>
      </c>
      <c r="G939" t="s">
        <v>571</v>
      </c>
    </row>
    <row r="940" spans="1:7" x14ac:dyDescent="0.2">
      <c r="A940" t="s">
        <v>269</v>
      </c>
      <c r="B940" t="s">
        <v>332</v>
      </c>
      <c r="C940" t="s">
        <v>481</v>
      </c>
      <c r="E940" t="s">
        <v>481</v>
      </c>
      <c r="F940" t="s">
        <v>521</v>
      </c>
      <c r="G940" t="s">
        <v>573</v>
      </c>
    </row>
    <row r="941" spans="1:7" x14ac:dyDescent="0.2">
      <c r="A941" t="s">
        <v>270</v>
      </c>
      <c r="B941" t="s">
        <v>333</v>
      </c>
      <c r="C941" t="s">
        <v>481</v>
      </c>
      <c r="E941" t="s">
        <v>481</v>
      </c>
      <c r="F941" t="s">
        <v>522</v>
      </c>
      <c r="G941" t="s">
        <v>573</v>
      </c>
    </row>
    <row r="942" spans="1:7" x14ac:dyDescent="0.2">
      <c r="A942" t="s">
        <v>270</v>
      </c>
      <c r="B942" t="s">
        <v>334</v>
      </c>
      <c r="C942" t="s">
        <v>481</v>
      </c>
      <c r="E942" t="s">
        <v>481</v>
      </c>
      <c r="F942" t="s">
        <v>523</v>
      </c>
      <c r="G942" t="s">
        <v>573</v>
      </c>
    </row>
    <row r="943" spans="1:7" x14ac:dyDescent="0.2">
      <c r="A943" t="s">
        <v>271</v>
      </c>
      <c r="B943" t="s">
        <v>335</v>
      </c>
      <c r="C943" t="s">
        <v>478</v>
      </c>
      <c r="E943" t="s">
        <v>478</v>
      </c>
      <c r="F943" t="s">
        <v>524</v>
      </c>
      <c r="G943" t="s">
        <v>574</v>
      </c>
    </row>
    <row r="944" spans="1:7" x14ac:dyDescent="0.2">
      <c r="A944" t="s">
        <v>269</v>
      </c>
      <c r="B944" t="s">
        <v>336</v>
      </c>
      <c r="C944" t="s">
        <v>481</v>
      </c>
      <c r="E944" t="s">
        <v>481</v>
      </c>
      <c r="F944" t="s">
        <v>525</v>
      </c>
      <c r="G944" t="s">
        <v>573</v>
      </c>
    </row>
    <row r="945" spans="1:7" x14ac:dyDescent="0.2">
      <c r="A945" t="s">
        <v>272</v>
      </c>
      <c r="B945" t="s">
        <v>337</v>
      </c>
      <c r="C945" t="s">
        <v>481</v>
      </c>
      <c r="E945" t="s">
        <v>481</v>
      </c>
      <c r="F945" t="s">
        <v>526</v>
      </c>
      <c r="G945" t="s">
        <v>572</v>
      </c>
    </row>
    <row r="946" spans="1:7" x14ac:dyDescent="0.2">
      <c r="A946" t="s">
        <v>272</v>
      </c>
      <c r="B946" t="s">
        <v>338</v>
      </c>
      <c r="C946" t="s">
        <v>481</v>
      </c>
      <c r="E946" t="s">
        <v>481</v>
      </c>
      <c r="F946" t="s">
        <v>527</v>
      </c>
      <c r="G946" t="s">
        <v>572</v>
      </c>
    </row>
    <row r="947" spans="1:7" x14ac:dyDescent="0.2">
      <c r="A947" t="s">
        <v>273</v>
      </c>
      <c r="B947" t="s">
        <v>339</v>
      </c>
      <c r="C947" t="s">
        <v>481</v>
      </c>
      <c r="E947" t="s">
        <v>481</v>
      </c>
      <c r="F947" t="s">
        <v>527</v>
      </c>
      <c r="G947" t="s">
        <v>572</v>
      </c>
    </row>
    <row r="948" spans="1:7" x14ac:dyDescent="0.2">
      <c r="A948" t="s">
        <v>273</v>
      </c>
      <c r="B948" t="s">
        <v>340</v>
      </c>
      <c r="C948" t="s">
        <v>482</v>
      </c>
      <c r="E948" t="s">
        <v>482</v>
      </c>
      <c r="F948" t="s">
        <v>528</v>
      </c>
      <c r="G948" t="s">
        <v>572</v>
      </c>
    </row>
    <row r="949" spans="1:7" x14ac:dyDescent="0.2">
      <c r="A949" t="s">
        <v>273</v>
      </c>
      <c r="B949" t="s">
        <v>341</v>
      </c>
      <c r="C949" t="s">
        <v>481</v>
      </c>
      <c r="E949" t="s">
        <v>481</v>
      </c>
      <c r="F949" t="s">
        <v>527</v>
      </c>
      <c r="G949" t="s">
        <v>572</v>
      </c>
    </row>
    <row r="950" spans="1:7" x14ac:dyDescent="0.2">
      <c r="A950" t="s">
        <v>273</v>
      </c>
      <c r="B950" t="s">
        <v>342</v>
      </c>
      <c r="C950" t="s">
        <v>481</v>
      </c>
      <c r="E950" t="s">
        <v>481</v>
      </c>
      <c r="F950" t="s">
        <v>526</v>
      </c>
      <c r="G950" t="s">
        <v>572</v>
      </c>
    </row>
    <row r="951" spans="1:7" x14ac:dyDescent="0.2">
      <c r="A951" t="s">
        <v>274</v>
      </c>
      <c r="B951" t="s">
        <v>343</v>
      </c>
      <c r="C951" t="s">
        <v>483</v>
      </c>
      <c r="E951" t="s">
        <v>483</v>
      </c>
      <c r="F951" t="s">
        <v>529</v>
      </c>
      <c r="G951" t="s">
        <v>575</v>
      </c>
    </row>
    <row r="952" spans="1:7" x14ac:dyDescent="0.2">
      <c r="A952" t="s">
        <v>275</v>
      </c>
      <c r="B952" t="s">
        <v>344</v>
      </c>
      <c r="C952" t="s">
        <v>478</v>
      </c>
      <c r="E952" t="s">
        <v>477</v>
      </c>
      <c r="F952" t="s">
        <v>530</v>
      </c>
      <c r="G952" t="s">
        <v>575</v>
      </c>
    </row>
    <row r="953" spans="1:7" x14ac:dyDescent="0.2">
      <c r="A953" t="s">
        <v>275</v>
      </c>
      <c r="B953" t="s">
        <v>345</v>
      </c>
      <c r="C953" t="s">
        <v>478</v>
      </c>
      <c r="E953" t="s">
        <v>477</v>
      </c>
      <c r="F953" t="s">
        <v>530</v>
      </c>
      <c r="G953" t="s">
        <v>575</v>
      </c>
    </row>
    <row r="954" spans="1:7" x14ac:dyDescent="0.2">
      <c r="A954" t="s">
        <v>275</v>
      </c>
      <c r="B954" t="s">
        <v>346</v>
      </c>
      <c r="C954" t="s">
        <v>478</v>
      </c>
      <c r="E954" t="s">
        <v>477</v>
      </c>
      <c r="F954" t="s">
        <v>530</v>
      </c>
      <c r="G954" t="s">
        <v>575</v>
      </c>
    </row>
    <row r="955" spans="1:7" x14ac:dyDescent="0.2">
      <c r="A955" t="s">
        <v>275</v>
      </c>
      <c r="B955" t="s">
        <v>347</v>
      </c>
      <c r="C955" t="s">
        <v>478</v>
      </c>
      <c r="E955" t="s">
        <v>477</v>
      </c>
      <c r="F955" t="s">
        <v>530</v>
      </c>
      <c r="G955" t="s">
        <v>575</v>
      </c>
    </row>
    <row r="956" spans="1:7" x14ac:dyDescent="0.2">
      <c r="A956" t="s">
        <v>275</v>
      </c>
      <c r="B956" t="s">
        <v>348</v>
      </c>
      <c r="C956" t="s">
        <v>478</v>
      </c>
      <c r="E956" t="s">
        <v>477</v>
      </c>
      <c r="F956" t="s">
        <v>530</v>
      </c>
      <c r="G956" t="s">
        <v>575</v>
      </c>
    </row>
    <row r="957" spans="1:7" x14ac:dyDescent="0.2">
      <c r="A957" t="s">
        <v>275</v>
      </c>
      <c r="B957" t="s">
        <v>349</v>
      </c>
      <c r="C957" t="s">
        <v>478</v>
      </c>
      <c r="E957" t="s">
        <v>477</v>
      </c>
      <c r="F957" t="s">
        <v>530</v>
      </c>
      <c r="G957" t="s">
        <v>575</v>
      </c>
    </row>
    <row r="958" spans="1:7" x14ac:dyDescent="0.2">
      <c r="A958" t="s">
        <v>275</v>
      </c>
      <c r="B958" t="s">
        <v>350</v>
      </c>
      <c r="C958" t="s">
        <v>478</v>
      </c>
      <c r="E958" t="s">
        <v>477</v>
      </c>
      <c r="F958" t="s">
        <v>530</v>
      </c>
      <c r="G958" t="s">
        <v>575</v>
      </c>
    </row>
    <row r="959" spans="1:7" x14ac:dyDescent="0.2">
      <c r="A959" t="s">
        <v>275</v>
      </c>
      <c r="B959" t="s">
        <v>351</v>
      </c>
      <c r="C959" t="s">
        <v>478</v>
      </c>
      <c r="E959" t="s">
        <v>477</v>
      </c>
      <c r="F959" t="s">
        <v>530</v>
      </c>
      <c r="G959" t="s">
        <v>575</v>
      </c>
    </row>
    <row r="960" spans="1:7" x14ac:dyDescent="0.2">
      <c r="A960" t="s">
        <v>275</v>
      </c>
      <c r="B960" t="s">
        <v>352</v>
      </c>
      <c r="C960" t="s">
        <v>478</v>
      </c>
      <c r="E960" t="s">
        <v>477</v>
      </c>
      <c r="F960" t="s">
        <v>530</v>
      </c>
      <c r="G960" t="s">
        <v>575</v>
      </c>
    </row>
    <row r="961" spans="1:7" x14ac:dyDescent="0.2">
      <c r="A961" t="s">
        <v>264</v>
      </c>
      <c r="B961" t="s">
        <v>353</v>
      </c>
      <c r="C961" t="s">
        <v>478</v>
      </c>
      <c r="E961" t="s">
        <v>477</v>
      </c>
      <c r="F961" t="s">
        <v>516</v>
      </c>
      <c r="G961" t="s">
        <v>575</v>
      </c>
    </row>
    <row r="962" spans="1:7" x14ac:dyDescent="0.2">
      <c r="A962" t="s">
        <v>276</v>
      </c>
      <c r="B962" t="s">
        <v>354</v>
      </c>
      <c r="C962" t="s">
        <v>484</v>
      </c>
      <c r="E962" t="s">
        <v>484</v>
      </c>
      <c r="F962" t="s">
        <v>531</v>
      </c>
      <c r="G962" t="s">
        <v>575</v>
      </c>
    </row>
    <row r="963" spans="1:7" x14ac:dyDescent="0.2">
      <c r="A963" t="s">
        <v>275</v>
      </c>
      <c r="B963" t="s">
        <v>355</v>
      </c>
      <c r="C963" t="s">
        <v>478</v>
      </c>
      <c r="E963" t="s">
        <v>477</v>
      </c>
      <c r="F963" t="s">
        <v>530</v>
      </c>
      <c r="G963" t="s">
        <v>575</v>
      </c>
    </row>
    <row r="964" spans="1:7" x14ac:dyDescent="0.2">
      <c r="A964" t="s">
        <v>275</v>
      </c>
      <c r="B964" t="s">
        <v>356</v>
      </c>
      <c r="C964" t="s">
        <v>478</v>
      </c>
      <c r="E964" t="s">
        <v>477</v>
      </c>
      <c r="F964" t="s">
        <v>530</v>
      </c>
      <c r="G964" t="s">
        <v>575</v>
      </c>
    </row>
    <row r="965" spans="1:7" x14ac:dyDescent="0.2">
      <c r="A965" t="s">
        <v>275</v>
      </c>
      <c r="B965" t="s">
        <v>357</v>
      </c>
      <c r="C965" t="s">
        <v>478</v>
      </c>
      <c r="E965" t="s">
        <v>477</v>
      </c>
      <c r="F965" t="s">
        <v>530</v>
      </c>
      <c r="G965" t="s">
        <v>575</v>
      </c>
    </row>
    <row r="966" spans="1:7" x14ac:dyDescent="0.2">
      <c r="A966" t="s">
        <v>275</v>
      </c>
      <c r="B966" t="s">
        <v>358</v>
      </c>
      <c r="C966" t="s">
        <v>478</v>
      </c>
      <c r="E966" t="s">
        <v>477</v>
      </c>
      <c r="F966" t="s">
        <v>530</v>
      </c>
      <c r="G966" t="s">
        <v>575</v>
      </c>
    </row>
    <row r="967" spans="1:7" x14ac:dyDescent="0.2">
      <c r="A967" t="s">
        <v>275</v>
      </c>
      <c r="B967" t="s">
        <v>359</v>
      </c>
      <c r="C967" t="s">
        <v>478</v>
      </c>
      <c r="E967" t="s">
        <v>477</v>
      </c>
      <c r="F967" t="s">
        <v>530</v>
      </c>
      <c r="G967" t="s">
        <v>575</v>
      </c>
    </row>
    <row r="968" spans="1:7" x14ac:dyDescent="0.2">
      <c r="A968" t="s">
        <v>275</v>
      </c>
      <c r="B968" t="s">
        <v>360</v>
      </c>
      <c r="C968" t="s">
        <v>478</v>
      </c>
      <c r="E968" t="s">
        <v>477</v>
      </c>
      <c r="F968" t="s">
        <v>530</v>
      </c>
      <c r="G968" t="s">
        <v>575</v>
      </c>
    </row>
    <row r="969" spans="1:7" x14ac:dyDescent="0.2">
      <c r="A969" t="s">
        <v>264</v>
      </c>
      <c r="B969" t="s">
        <v>361</v>
      </c>
      <c r="C969" t="s">
        <v>478</v>
      </c>
      <c r="E969" t="s">
        <v>477</v>
      </c>
      <c r="F969" t="s">
        <v>516</v>
      </c>
      <c r="G969" t="s">
        <v>575</v>
      </c>
    </row>
    <row r="970" spans="1:7" x14ac:dyDescent="0.2">
      <c r="A970" t="s">
        <v>265</v>
      </c>
      <c r="B970" t="s">
        <v>362</v>
      </c>
      <c r="C970" t="s">
        <v>478</v>
      </c>
      <c r="E970" t="s">
        <v>491</v>
      </c>
      <c r="F970" t="s">
        <v>532</v>
      </c>
      <c r="G970" t="s">
        <v>570</v>
      </c>
    </row>
    <row r="971" spans="1:7" x14ac:dyDescent="0.2">
      <c r="A971" t="s">
        <v>277</v>
      </c>
      <c r="B971" t="s">
        <v>363</v>
      </c>
      <c r="C971" t="s">
        <v>485</v>
      </c>
      <c r="E971" t="s">
        <v>485</v>
      </c>
      <c r="F971" t="s">
        <v>525</v>
      </c>
      <c r="G971" t="s">
        <v>571</v>
      </c>
    </row>
    <row r="972" spans="1:7" x14ac:dyDescent="0.2">
      <c r="A972" t="s">
        <v>267</v>
      </c>
      <c r="B972" t="s">
        <v>364</v>
      </c>
      <c r="C972" t="s">
        <v>480</v>
      </c>
      <c r="E972" t="s">
        <v>480</v>
      </c>
      <c r="F972" t="s">
        <v>533</v>
      </c>
      <c r="G972" t="s">
        <v>572</v>
      </c>
    </row>
    <row r="973" spans="1:7" x14ac:dyDescent="0.2">
      <c r="A973" t="s">
        <v>278</v>
      </c>
      <c r="B973" t="s">
        <v>365</v>
      </c>
      <c r="C973" t="s">
        <v>486</v>
      </c>
      <c r="E973" t="s">
        <v>486</v>
      </c>
      <c r="F973" t="s">
        <v>534</v>
      </c>
      <c r="G973" t="s">
        <v>573</v>
      </c>
    </row>
    <row r="974" spans="1:7" x14ac:dyDescent="0.2">
      <c r="A974" t="s">
        <v>278</v>
      </c>
      <c r="B974" t="s">
        <v>366</v>
      </c>
      <c r="C974" t="s">
        <v>486</v>
      </c>
      <c r="E974" t="s">
        <v>486</v>
      </c>
      <c r="F974" t="s">
        <v>534</v>
      </c>
      <c r="G974" t="s">
        <v>573</v>
      </c>
    </row>
    <row r="975" spans="1:7" x14ac:dyDescent="0.2">
      <c r="A975" t="s">
        <v>279</v>
      </c>
      <c r="B975" t="s">
        <v>367</v>
      </c>
      <c r="C975" t="s">
        <v>487</v>
      </c>
      <c r="E975" t="s">
        <v>487</v>
      </c>
      <c r="F975" t="s">
        <v>535</v>
      </c>
      <c r="G975" t="s">
        <v>573</v>
      </c>
    </row>
    <row r="976" spans="1:7" x14ac:dyDescent="0.2">
      <c r="A976" t="s">
        <v>279</v>
      </c>
      <c r="B976" t="s">
        <v>368</v>
      </c>
      <c r="C976" t="s">
        <v>487</v>
      </c>
      <c r="E976" t="s">
        <v>487</v>
      </c>
      <c r="F976" t="s">
        <v>527</v>
      </c>
      <c r="G976" t="s">
        <v>573</v>
      </c>
    </row>
    <row r="977" spans="1:7" x14ac:dyDescent="0.2">
      <c r="A977" t="s">
        <v>280</v>
      </c>
      <c r="B977" t="s">
        <v>369</v>
      </c>
      <c r="C977" t="s">
        <v>482</v>
      </c>
      <c r="E977" t="s">
        <v>482</v>
      </c>
      <c r="F977" t="s">
        <v>526</v>
      </c>
      <c r="G977" t="s">
        <v>572</v>
      </c>
    </row>
    <row r="978" spans="1:7" x14ac:dyDescent="0.2">
      <c r="A978" t="s">
        <v>280</v>
      </c>
      <c r="B978" t="s">
        <v>370</v>
      </c>
      <c r="C978" t="s">
        <v>482</v>
      </c>
      <c r="E978" t="s">
        <v>482</v>
      </c>
      <c r="F978" t="s">
        <v>527</v>
      </c>
      <c r="G978" t="s">
        <v>572</v>
      </c>
    </row>
    <row r="979" spans="1:7" x14ac:dyDescent="0.2">
      <c r="A979" t="s">
        <v>272</v>
      </c>
      <c r="B979" t="s">
        <v>371</v>
      </c>
      <c r="C979" t="s">
        <v>482</v>
      </c>
      <c r="E979" t="s">
        <v>482</v>
      </c>
      <c r="F979" t="s">
        <v>527</v>
      </c>
      <c r="G979" t="s">
        <v>572</v>
      </c>
    </row>
    <row r="980" spans="1:7" x14ac:dyDescent="0.2">
      <c r="A980" t="s">
        <v>272</v>
      </c>
      <c r="B980" t="s">
        <v>372</v>
      </c>
      <c r="C980" t="s">
        <v>488</v>
      </c>
      <c r="E980" t="s">
        <v>488</v>
      </c>
      <c r="F980" t="s">
        <v>528</v>
      </c>
      <c r="G980" t="s">
        <v>572</v>
      </c>
    </row>
    <row r="981" spans="1:7" x14ac:dyDescent="0.2">
      <c r="A981" t="s">
        <v>281</v>
      </c>
      <c r="B981" t="s">
        <v>373</v>
      </c>
      <c r="C981" t="s">
        <v>482</v>
      </c>
      <c r="E981" t="s">
        <v>482</v>
      </c>
      <c r="F981" t="s">
        <v>527</v>
      </c>
      <c r="G981" t="s">
        <v>572</v>
      </c>
    </row>
    <row r="982" spans="1:7" x14ac:dyDescent="0.2">
      <c r="A982" t="s">
        <v>273</v>
      </c>
      <c r="B982" t="s">
        <v>374</v>
      </c>
      <c r="C982" t="s">
        <v>481</v>
      </c>
      <c r="E982" t="s">
        <v>481</v>
      </c>
      <c r="F982" t="s">
        <v>526</v>
      </c>
      <c r="G982" t="s">
        <v>572</v>
      </c>
    </row>
    <row r="983" spans="1:7" x14ac:dyDescent="0.2">
      <c r="A983" t="s">
        <v>282</v>
      </c>
      <c r="B983" t="s">
        <v>375</v>
      </c>
      <c r="C983" t="s">
        <v>489</v>
      </c>
      <c r="E983" t="s">
        <v>489</v>
      </c>
      <c r="F983" t="s">
        <v>526</v>
      </c>
      <c r="G983" t="s">
        <v>572</v>
      </c>
    </row>
    <row r="984" spans="1:7" x14ac:dyDescent="0.2">
      <c r="A984" t="s">
        <v>283</v>
      </c>
      <c r="B984" t="s">
        <v>376</v>
      </c>
      <c r="C984" t="s">
        <v>490</v>
      </c>
      <c r="E984" t="s">
        <v>478</v>
      </c>
      <c r="F984" t="s">
        <v>536</v>
      </c>
      <c r="G984" t="s">
        <v>575</v>
      </c>
    </row>
    <row r="985" spans="1:7" x14ac:dyDescent="0.2">
      <c r="A985" t="s">
        <v>275</v>
      </c>
      <c r="B985" t="s">
        <v>377</v>
      </c>
      <c r="C985" t="s">
        <v>478</v>
      </c>
      <c r="E985" t="s">
        <v>477</v>
      </c>
      <c r="F985" t="s">
        <v>537</v>
      </c>
      <c r="G985" t="s">
        <v>575</v>
      </c>
    </row>
    <row r="986" spans="1:7" x14ac:dyDescent="0.2">
      <c r="A986" t="s">
        <v>275</v>
      </c>
      <c r="B986" t="s">
        <v>378</v>
      </c>
      <c r="C986" t="s">
        <v>478</v>
      </c>
      <c r="E986" t="s">
        <v>477</v>
      </c>
      <c r="F986" t="s">
        <v>538</v>
      </c>
      <c r="G986" t="s">
        <v>575</v>
      </c>
    </row>
    <row r="987" spans="1:7" x14ac:dyDescent="0.2">
      <c r="A987" t="s">
        <v>275</v>
      </c>
      <c r="B987" t="s">
        <v>379</v>
      </c>
      <c r="C987" t="s">
        <v>478</v>
      </c>
      <c r="E987" t="s">
        <v>477</v>
      </c>
      <c r="F987" t="s">
        <v>538</v>
      </c>
      <c r="G987" t="s">
        <v>575</v>
      </c>
    </row>
    <row r="988" spans="1:7" x14ac:dyDescent="0.2">
      <c r="A988" t="s">
        <v>275</v>
      </c>
      <c r="B988" t="s">
        <v>380</v>
      </c>
      <c r="C988" t="s">
        <v>478</v>
      </c>
      <c r="E988" t="s">
        <v>477</v>
      </c>
      <c r="F988" t="s">
        <v>530</v>
      </c>
      <c r="G988" t="s">
        <v>575</v>
      </c>
    </row>
    <row r="989" spans="1:7" x14ac:dyDescent="0.2">
      <c r="A989" t="s">
        <v>275</v>
      </c>
      <c r="B989" t="s">
        <v>381</v>
      </c>
      <c r="C989" t="s">
        <v>478</v>
      </c>
      <c r="E989" t="s">
        <v>477</v>
      </c>
      <c r="F989" t="s">
        <v>530</v>
      </c>
      <c r="G989" t="s">
        <v>575</v>
      </c>
    </row>
    <row r="990" spans="1:7" x14ac:dyDescent="0.2">
      <c r="A990" t="s">
        <v>275</v>
      </c>
      <c r="B990" t="s">
        <v>382</v>
      </c>
      <c r="C990" t="s">
        <v>478</v>
      </c>
      <c r="E990" t="s">
        <v>477</v>
      </c>
      <c r="F990" t="s">
        <v>530</v>
      </c>
      <c r="G990" t="s">
        <v>575</v>
      </c>
    </row>
    <row r="991" spans="1:7" x14ac:dyDescent="0.2">
      <c r="A991" t="s">
        <v>275</v>
      </c>
      <c r="B991" t="s">
        <v>383</v>
      </c>
      <c r="C991" t="s">
        <v>478</v>
      </c>
      <c r="E991" t="s">
        <v>477</v>
      </c>
      <c r="F991" t="s">
        <v>530</v>
      </c>
      <c r="G991" t="s">
        <v>575</v>
      </c>
    </row>
    <row r="992" spans="1:7" x14ac:dyDescent="0.2">
      <c r="A992" t="s">
        <v>264</v>
      </c>
      <c r="B992" t="s">
        <v>384</v>
      </c>
      <c r="C992" t="s">
        <v>478</v>
      </c>
      <c r="E992" t="s">
        <v>477</v>
      </c>
      <c r="F992" t="s">
        <v>516</v>
      </c>
      <c r="G992" t="s">
        <v>575</v>
      </c>
    </row>
    <row r="993" spans="1:7" x14ac:dyDescent="0.2">
      <c r="A993" t="s">
        <v>284</v>
      </c>
      <c r="B993" t="s">
        <v>385</v>
      </c>
      <c r="C993" t="s">
        <v>477</v>
      </c>
      <c r="E993" t="s">
        <v>477</v>
      </c>
      <c r="F993" t="s">
        <v>539</v>
      </c>
      <c r="G993" t="s">
        <v>570</v>
      </c>
    </row>
    <row r="994" spans="1:7" x14ac:dyDescent="0.2">
      <c r="A994" t="s">
        <v>285</v>
      </c>
      <c r="B994" t="s">
        <v>386</v>
      </c>
      <c r="C994" t="s">
        <v>477</v>
      </c>
      <c r="E994" t="s">
        <v>477</v>
      </c>
      <c r="F994" t="s">
        <v>531</v>
      </c>
      <c r="G994" t="s">
        <v>570</v>
      </c>
    </row>
    <row r="995" spans="1:7" x14ac:dyDescent="0.2">
      <c r="A995" t="s">
        <v>286</v>
      </c>
      <c r="B995" t="s">
        <v>387</v>
      </c>
      <c r="C995" t="s">
        <v>486</v>
      </c>
      <c r="E995" t="s">
        <v>486</v>
      </c>
      <c r="F995" t="s">
        <v>540</v>
      </c>
      <c r="G995" t="s">
        <v>572</v>
      </c>
    </row>
    <row r="996" spans="1:7" x14ac:dyDescent="0.2">
      <c r="A996" t="s">
        <v>286</v>
      </c>
      <c r="B996" t="s">
        <v>388</v>
      </c>
      <c r="C996" t="s">
        <v>491</v>
      </c>
      <c r="E996" t="s">
        <v>491</v>
      </c>
      <c r="F996" t="s">
        <v>524</v>
      </c>
      <c r="G996" t="s">
        <v>573</v>
      </c>
    </row>
    <row r="997" spans="1:7" x14ac:dyDescent="0.2">
      <c r="A997" t="s">
        <v>286</v>
      </c>
      <c r="B997" t="s">
        <v>389</v>
      </c>
      <c r="C997" t="s">
        <v>491</v>
      </c>
      <c r="E997" t="s">
        <v>491</v>
      </c>
      <c r="F997" t="s">
        <v>524</v>
      </c>
      <c r="G997" t="s">
        <v>573</v>
      </c>
    </row>
    <row r="998" spans="1:7" x14ac:dyDescent="0.2">
      <c r="A998" t="s">
        <v>286</v>
      </c>
      <c r="B998" t="s">
        <v>390</v>
      </c>
      <c r="C998" t="s">
        <v>491</v>
      </c>
      <c r="E998" t="s">
        <v>491</v>
      </c>
      <c r="F998" t="s">
        <v>524</v>
      </c>
      <c r="G998" t="s">
        <v>573</v>
      </c>
    </row>
    <row r="999" spans="1:7" x14ac:dyDescent="0.2">
      <c r="A999" t="s">
        <v>286</v>
      </c>
      <c r="B999" t="s">
        <v>391</v>
      </c>
      <c r="C999" t="s">
        <v>491</v>
      </c>
      <c r="E999" t="s">
        <v>491</v>
      </c>
      <c r="F999" t="s">
        <v>524</v>
      </c>
      <c r="G999" t="s">
        <v>573</v>
      </c>
    </row>
    <row r="1000" spans="1:7" x14ac:dyDescent="0.2">
      <c r="A1000" t="s">
        <v>286</v>
      </c>
      <c r="B1000" t="s">
        <v>392</v>
      </c>
      <c r="C1000" t="s">
        <v>491</v>
      </c>
      <c r="E1000" t="s">
        <v>491</v>
      </c>
      <c r="F1000" t="s">
        <v>524</v>
      </c>
      <c r="G1000" t="s">
        <v>573</v>
      </c>
    </row>
    <row r="1001" spans="1:7" x14ac:dyDescent="0.2">
      <c r="A1001" t="s">
        <v>286</v>
      </c>
      <c r="B1001" t="s">
        <v>393</v>
      </c>
      <c r="C1001" t="s">
        <v>491</v>
      </c>
      <c r="E1001" t="s">
        <v>491</v>
      </c>
      <c r="F1001" t="s">
        <v>524</v>
      </c>
      <c r="G1001" t="s">
        <v>573</v>
      </c>
    </row>
    <row r="1002" spans="1:7" x14ac:dyDescent="0.2">
      <c r="A1002" t="s">
        <v>286</v>
      </c>
      <c r="B1002" t="s">
        <v>394</v>
      </c>
      <c r="C1002" t="s">
        <v>491</v>
      </c>
      <c r="E1002" t="s">
        <v>491</v>
      </c>
      <c r="F1002" t="s">
        <v>524</v>
      </c>
      <c r="G1002" t="s">
        <v>573</v>
      </c>
    </row>
    <row r="1003" spans="1:7" x14ac:dyDescent="0.2">
      <c r="A1003" t="s">
        <v>286</v>
      </c>
      <c r="B1003" t="s">
        <v>394</v>
      </c>
      <c r="C1003" t="s">
        <v>491</v>
      </c>
      <c r="E1003" t="s">
        <v>491</v>
      </c>
      <c r="F1003" t="s">
        <v>524</v>
      </c>
      <c r="G1003" t="s">
        <v>573</v>
      </c>
    </row>
    <row r="1004" spans="1:7" x14ac:dyDescent="0.2">
      <c r="A1004" t="s">
        <v>286</v>
      </c>
      <c r="B1004" t="s">
        <v>395</v>
      </c>
      <c r="C1004" t="s">
        <v>491</v>
      </c>
      <c r="E1004" t="s">
        <v>491</v>
      </c>
      <c r="F1004" t="s">
        <v>524</v>
      </c>
      <c r="G1004" t="s">
        <v>573</v>
      </c>
    </row>
    <row r="1005" spans="1:7" x14ac:dyDescent="0.2">
      <c r="A1005" t="s">
        <v>286</v>
      </c>
      <c r="B1005" t="s">
        <v>396</v>
      </c>
      <c r="C1005" t="s">
        <v>486</v>
      </c>
      <c r="E1005" t="s">
        <v>486</v>
      </c>
      <c r="F1005" t="s">
        <v>541</v>
      </c>
      <c r="G1005" t="s">
        <v>573</v>
      </c>
    </row>
    <row r="1006" spans="1:7" x14ac:dyDescent="0.2">
      <c r="A1006" t="s">
        <v>286</v>
      </c>
      <c r="B1006" t="s">
        <v>397</v>
      </c>
      <c r="C1006" t="s">
        <v>486</v>
      </c>
      <c r="E1006" t="s">
        <v>486</v>
      </c>
      <c r="F1006" t="s">
        <v>541</v>
      </c>
      <c r="G1006" t="s">
        <v>573</v>
      </c>
    </row>
    <row r="1007" spans="1:7" x14ac:dyDescent="0.2">
      <c r="A1007" t="s">
        <v>286</v>
      </c>
      <c r="B1007" t="s">
        <v>398</v>
      </c>
      <c r="C1007" t="s">
        <v>486</v>
      </c>
      <c r="E1007" t="s">
        <v>486</v>
      </c>
      <c r="F1007" t="s">
        <v>541</v>
      </c>
      <c r="G1007" t="s">
        <v>573</v>
      </c>
    </row>
    <row r="1008" spans="1:7" x14ac:dyDescent="0.2">
      <c r="A1008" t="s">
        <v>287</v>
      </c>
      <c r="B1008" t="s">
        <v>399</v>
      </c>
      <c r="C1008" t="s">
        <v>477</v>
      </c>
      <c r="E1008" t="s">
        <v>477</v>
      </c>
      <c r="F1008" t="s">
        <v>542</v>
      </c>
      <c r="G1008" t="s">
        <v>573</v>
      </c>
    </row>
    <row r="1009" spans="1:7" x14ac:dyDescent="0.2">
      <c r="A1009" t="s">
        <v>288</v>
      </c>
      <c r="B1009" t="s">
        <v>400</v>
      </c>
      <c r="C1009" t="s">
        <v>477</v>
      </c>
      <c r="E1009" t="s">
        <v>477</v>
      </c>
      <c r="F1009" t="s">
        <v>543</v>
      </c>
      <c r="G1009" t="s">
        <v>573</v>
      </c>
    </row>
    <row r="1010" spans="1:7" x14ac:dyDescent="0.2">
      <c r="A1010" t="s">
        <v>285</v>
      </c>
      <c r="B1010" t="s">
        <v>401</v>
      </c>
      <c r="C1010" t="s">
        <v>477</v>
      </c>
      <c r="E1010" t="s">
        <v>477</v>
      </c>
      <c r="F1010" t="s">
        <v>529</v>
      </c>
      <c r="G1010" t="s">
        <v>570</v>
      </c>
    </row>
    <row r="1011" spans="1:7" x14ac:dyDescent="0.2">
      <c r="A1011" t="s">
        <v>289</v>
      </c>
      <c r="B1011" t="s">
        <v>402</v>
      </c>
      <c r="C1011" t="s">
        <v>492</v>
      </c>
      <c r="E1011" t="s">
        <v>492</v>
      </c>
      <c r="F1011" t="s">
        <v>529</v>
      </c>
      <c r="G1011" t="s">
        <v>572</v>
      </c>
    </row>
    <row r="1012" spans="1:7" x14ac:dyDescent="0.2">
      <c r="A1012" t="s">
        <v>289</v>
      </c>
      <c r="B1012" t="s">
        <v>403</v>
      </c>
      <c r="C1012" t="s">
        <v>492</v>
      </c>
      <c r="E1012" t="s">
        <v>492</v>
      </c>
      <c r="F1012" t="s">
        <v>543</v>
      </c>
      <c r="G1012" t="s">
        <v>572</v>
      </c>
    </row>
    <row r="1013" spans="1:7" x14ac:dyDescent="0.2">
      <c r="A1013" t="s">
        <v>289</v>
      </c>
      <c r="B1013" t="s">
        <v>404</v>
      </c>
      <c r="C1013" t="s">
        <v>492</v>
      </c>
      <c r="E1013" t="s">
        <v>492</v>
      </c>
      <c r="F1013" t="s">
        <v>529</v>
      </c>
      <c r="G1013" t="s">
        <v>572</v>
      </c>
    </row>
    <row r="1014" spans="1:7" x14ac:dyDescent="0.2">
      <c r="A1014" t="s">
        <v>286</v>
      </c>
      <c r="B1014" t="s">
        <v>405</v>
      </c>
      <c r="C1014" t="s">
        <v>486</v>
      </c>
      <c r="E1014" t="s">
        <v>486</v>
      </c>
      <c r="F1014" t="s">
        <v>540</v>
      </c>
      <c r="G1014" t="s">
        <v>572</v>
      </c>
    </row>
    <row r="1015" spans="1:7" x14ac:dyDescent="0.2">
      <c r="A1015" t="s">
        <v>286</v>
      </c>
      <c r="B1015" t="s">
        <v>406</v>
      </c>
      <c r="C1015" t="s">
        <v>486</v>
      </c>
      <c r="E1015" t="s">
        <v>486</v>
      </c>
      <c r="F1015" t="s">
        <v>536</v>
      </c>
      <c r="G1015" t="s">
        <v>572</v>
      </c>
    </row>
    <row r="1016" spans="1:7" x14ac:dyDescent="0.2">
      <c r="A1016" t="s">
        <v>290</v>
      </c>
      <c r="B1016" t="s">
        <v>407</v>
      </c>
      <c r="C1016" t="s">
        <v>478</v>
      </c>
      <c r="E1016" t="s">
        <v>478</v>
      </c>
      <c r="F1016" t="s">
        <v>544</v>
      </c>
      <c r="G1016" t="s">
        <v>569</v>
      </c>
    </row>
    <row r="1017" spans="1:7" x14ac:dyDescent="0.2">
      <c r="A1017" t="s">
        <v>291</v>
      </c>
      <c r="B1017" t="s">
        <v>408</v>
      </c>
      <c r="C1017" t="s">
        <v>478</v>
      </c>
      <c r="E1017" t="s">
        <v>478</v>
      </c>
      <c r="F1017" t="s">
        <v>545</v>
      </c>
      <c r="G1017" t="s">
        <v>576</v>
      </c>
    </row>
    <row r="1018" spans="1:7" x14ac:dyDescent="0.2">
      <c r="A1018" t="s">
        <v>292</v>
      </c>
      <c r="B1018" t="s">
        <v>409</v>
      </c>
      <c r="C1018" t="s">
        <v>478</v>
      </c>
      <c r="E1018" t="s">
        <v>478</v>
      </c>
      <c r="F1018" t="s">
        <v>546</v>
      </c>
      <c r="G1018" t="s">
        <v>576</v>
      </c>
    </row>
    <row r="1019" spans="1:7" x14ac:dyDescent="0.2">
      <c r="A1019" t="s">
        <v>292</v>
      </c>
      <c r="B1019" t="s">
        <v>410</v>
      </c>
      <c r="C1019" t="s">
        <v>478</v>
      </c>
      <c r="E1019" t="s">
        <v>478</v>
      </c>
      <c r="F1019" t="s">
        <v>547</v>
      </c>
      <c r="G1019" t="s">
        <v>576</v>
      </c>
    </row>
    <row r="1020" spans="1:7" x14ac:dyDescent="0.2">
      <c r="A1020" t="s">
        <v>268</v>
      </c>
      <c r="B1020" t="s">
        <v>411</v>
      </c>
      <c r="C1020" t="s">
        <v>478</v>
      </c>
      <c r="E1020" t="s">
        <v>478</v>
      </c>
      <c r="F1020" t="s">
        <v>520</v>
      </c>
      <c r="G1020" t="s">
        <v>576</v>
      </c>
    </row>
    <row r="1021" spans="1:7" x14ac:dyDescent="0.2">
      <c r="A1021" t="s">
        <v>293</v>
      </c>
      <c r="B1021" t="s">
        <v>412</v>
      </c>
      <c r="C1021" t="s">
        <v>478</v>
      </c>
      <c r="E1021" t="s">
        <v>478</v>
      </c>
      <c r="F1021" t="s">
        <v>536</v>
      </c>
      <c r="G1021" t="s">
        <v>571</v>
      </c>
    </row>
    <row r="1022" spans="1:7" x14ac:dyDescent="0.2">
      <c r="A1022" t="s">
        <v>294</v>
      </c>
      <c r="B1022" t="s">
        <v>413</v>
      </c>
      <c r="C1022" t="s">
        <v>493</v>
      </c>
      <c r="E1022" t="s">
        <v>493</v>
      </c>
      <c r="F1022" t="s">
        <v>548</v>
      </c>
      <c r="G1022" t="s">
        <v>577</v>
      </c>
    </row>
    <row r="1023" spans="1:7" x14ac:dyDescent="0.2">
      <c r="A1023" t="s">
        <v>295</v>
      </c>
      <c r="B1023" t="s">
        <v>414</v>
      </c>
      <c r="C1023" t="s">
        <v>494</v>
      </c>
      <c r="E1023" t="s">
        <v>494</v>
      </c>
      <c r="F1023" t="s">
        <v>549</v>
      </c>
      <c r="G1023" t="s">
        <v>577</v>
      </c>
    </row>
    <row r="1024" spans="1:7" x14ac:dyDescent="0.2">
      <c r="A1024" t="s">
        <v>296</v>
      </c>
      <c r="B1024" t="s">
        <v>415</v>
      </c>
      <c r="C1024" t="s">
        <v>494</v>
      </c>
      <c r="E1024" t="s">
        <v>494</v>
      </c>
      <c r="F1024" t="s">
        <v>550</v>
      </c>
      <c r="G1024" t="s">
        <v>577</v>
      </c>
    </row>
    <row r="1025" spans="1:7" x14ac:dyDescent="0.2">
      <c r="A1025" t="s">
        <v>297</v>
      </c>
      <c r="B1025" t="s">
        <v>416</v>
      </c>
      <c r="C1025" t="s">
        <v>488</v>
      </c>
      <c r="E1025" t="s">
        <v>488</v>
      </c>
      <c r="F1025" t="s">
        <v>551</v>
      </c>
      <c r="G1025" t="s">
        <v>577</v>
      </c>
    </row>
    <row r="1026" spans="1:7" x14ac:dyDescent="0.2">
      <c r="A1026" t="s">
        <v>298</v>
      </c>
      <c r="B1026" t="s">
        <v>417</v>
      </c>
      <c r="C1026" t="s">
        <v>495</v>
      </c>
      <c r="E1026" t="s">
        <v>495</v>
      </c>
      <c r="F1026" t="s">
        <v>552</v>
      </c>
      <c r="G1026" t="s">
        <v>577</v>
      </c>
    </row>
    <row r="1027" spans="1:7" x14ac:dyDescent="0.2">
      <c r="A1027" t="s">
        <v>299</v>
      </c>
      <c r="B1027" t="s">
        <v>418</v>
      </c>
      <c r="C1027" t="s">
        <v>496</v>
      </c>
      <c r="E1027" t="s">
        <v>496</v>
      </c>
      <c r="F1027" t="s">
        <v>516</v>
      </c>
      <c r="G1027" t="s">
        <v>577</v>
      </c>
    </row>
    <row r="1028" spans="1:7" x14ac:dyDescent="0.2">
      <c r="A1028" t="s">
        <v>300</v>
      </c>
      <c r="B1028" t="s">
        <v>419</v>
      </c>
      <c r="C1028" t="s">
        <v>497</v>
      </c>
      <c r="E1028" t="s">
        <v>497</v>
      </c>
      <c r="F1028" t="s">
        <v>553</v>
      </c>
      <c r="G1028" t="s">
        <v>577</v>
      </c>
    </row>
    <row r="1029" spans="1:7" x14ac:dyDescent="0.2">
      <c r="A1029" t="s">
        <v>301</v>
      </c>
      <c r="B1029" t="s">
        <v>420</v>
      </c>
      <c r="C1029" t="s">
        <v>478</v>
      </c>
      <c r="E1029" t="s">
        <v>478</v>
      </c>
      <c r="F1029" t="s">
        <v>516</v>
      </c>
      <c r="G1029" t="s">
        <v>576</v>
      </c>
    </row>
    <row r="1030" spans="1:7" x14ac:dyDescent="0.2">
      <c r="A1030" t="s">
        <v>283</v>
      </c>
      <c r="B1030" t="s">
        <v>421</v>
      </c>
      <c r="C1030" t="s">
        <v>477</v>
      </c>
      <c r="E1030" t="s">
        <v>477</v>
      </c>
      <c r="F1030" t="s">
        <v>540</v>
      </c>
      <c r="G1030" t="s">
        <v>578</v>
      </c>
    </row>
    <row r="1031" spans="1:7" x14ac:dyDescent="0.2">
      <c r="A1031" t="s">
        <v>264</v>
      </c>
      <c r="B1031" t="s">
        <v>422</v>
      </c>
      <c r="C1031" t="s">
        <v>477</v>
      </c>
      <c r="E1031" t="s">
        <v>477</v>
      </c>
      <c r="F1031" t="s">
        <v>541</v>
      </c>
      <c r="G1031" t="s">
        <v>578</v>
      </c>
    </row>
    <row r="1032" spans="1:7" x14ac:dyDescent="0.2">
      <c r="A1032" t="s">
        <v>264</v>
      </c>
      <c r="B1032" t="s">
        <v>423</v>
      </c>
      <c r="C1032" t="s">
        <v>478</v>
      </c>
      <c r="E1032" t="s">
        <v>478</v>
      </c>
      <c r="F1032" t="s">
        <v>516</v>
      </c>
      <c r="G1032" t="s">
        <v>578</v>
      </c>
    </row>
    <row r="1033" spans="1:7" x14ac:dyDescent="0.2">
      <c r="A1033" t="s">
        <v>301</v>
      </c>
      <c r="B1033" t="s">
        <v>424</v>
      </c>
      <c r="C1033" t="s">
        <v>478</v>
      </c>
      <c r="E1033" t="s">
        <v>478</v>
      </c>
      <c r="F1033" t="s">
        <v>537</v>
      </c>
      <c r="G1033" t="s">
        <v>576</v>
      </c>
    </row>
    <row r="1034" spans="1:7" x14ac:dyDescent="0.2">
      <c r="A1034" t="s">
        <v>283</v>
      </c>
      <c r="B1034" t="s">
        <v>425</v>
      </c>
      <c r="C1034" t="s">
        <v>498</v>
      </c>
      <c r="E1034" t="s">
        <v>498</v>
      </c>
      <c r="F1034" t="s">
        <v>529</v>
      </c>
      <c r="G1034" t="s">
        <v>578</v>
      </c>
    </row>
    <row r="1035" spans="1:7" x14ac:dyDescent="0.2">
      <c r="A1035" t="s">
        <v>302</v>
      </c>
      <c r="B1035" t="s">
        <v>426</v>
      </c>
      <c r="C1035" t="s">
        <v>478</v>
      </c>
      <c r="E1035" t="s">
        <v>478</v>
      </c>
      <c r="F1035" t="s">
        <v>529</v>
      </c>
      <c r="G1035" t="s">
        <v>579</v>
      </c>
    </row>
    <row r="1036" spans="1:7" x14ac:dyDescent="0.2">
      <c r="A1036" t="s">
        <v>285</v>
      </c>
      <c r="B1036" t="s">
        <v>427</v>
      </c>
      <c r="C1036" t="s">
        <v>499</v>
      </c>
      <c r="E1036" t="s">
        <v>499</v>
      </c>
      <c r="F1036" t="s">
        <v>542</v>
      </c>
      <c r="G1036" t="s">
        <v>577</v>
      </c>
    </row>
    <row r="1037" spans="1:7" x14ac:dyDescent="0.2">
      <c r="A1037" t="s">
        <v>303</v>
      </c>
      <c r="B1037" t="s">
        <v>428</v>
      </c>
      <c r="C1037" t="s">
        <v>500</v>
      </c>
      <c r="E1037" t="s">
        <v>500</v>
      </c>
      <c r="F1037" t="s">
        <v>546</v>
      </c>
      <c r="G1037" t="s">
        <v>577</v>
      </c>
    </row>
    <row r="1038" spans="1:7" x14ac:dyDescent="0.2">
      <c r="A1038" t="s">
        <v>304</v>
      </c>
      <c r="B1038" t="s">
        <v>429</v>
      </c>
      <c r="C1038" t="s">
        <v>478</v>
      </c>
      <c r="E1038" t="s">
        <v>478</v>
      </c>
      <c r="F1038" t="s">
        <v>554</v>
      </c>
      <c r="G1038" t="s">
        <v>569</v>
      </c>
    </row>
    <row r="1039" spans="1:7" x14ac:dyDescent="0.2">
      <c r="A1039" t="s">
        <v>277</v>
      </c>
      <c r="B1039" t="s">
        <v>430</v>
      </c>
      <c r="C1039" t="s">
        <v>478</v>
      </c>
      <c r="E1039" t="s">
        <v>478</v>
      </c>
      <c r="F1039" t="s">
        <v>539</v>
      </c>
      <c r="G1039" t="s">
        <v>571</v>
      </c>
    </row>
    <row r="1040" spans="1:7" x14ac:dyDescent="0.2">
      <c r="A1040" t="s">
        <v>277</v>
      </c>
      <c r="B1040" t="s">
        <v>431</v>
      </c>
      <c r="C1040" t="s">
        <v>478</v>
      </c>
      <c r="E1040" t="s">
        <v>478</v>
      </c>
      <c r="F1040" t="s">
        <v>534</v>
      </c>
      <c r="G1040" t="s">
        <v>571</v>
      </c>
    </row>
    <row r="1041" spans="1:7" x14ac:dyDescent="0.2">
      <c r="A1041" t="s">
        <v>277</v>
      </c>
      <c r="B1041" t="s">
        <v>432</v>
      </c>
      <c r="C1041" t="s">
        <v>501</v>
      </c>
      <c r="E1041" t="s">
        <v>501</v>
      </c>
      <c r="F1041" t="s">
        <v>555</v>
      </c>
      <c r="G1041" t="s">
        <v>571</v>
      </c>
    </row>
    <row r="1042" spans="1:7" x14ac:dyDescent="0.2">
      <c r="A1042" t="s">
        <v>263</v>
      </c>
      <c r="B1042" t="s">
        <v>433</v>
      </c>
      <c r="C1042" t="s">
        <v>502</v>
      </c>
      <c r="E1042" t="s">
        <v>502</v>
      </c>
      <c r="F1042" t="s">
        <v>556</v>
      </c>
      <c r="G1042" t="s">
        <v>580</v>
      </c>
    </row>
    <row r="1043" spans="1:7" x14ac:dyDescent="0.2">
      <c r="A1043" t="s">
        <v>268</v>
      </c>
      <c r="B1043" t="s">
        <v>434</v>
      </c>
      <c r="C1043" t="s">
        <v>478</v>
      </c>
      <c r="E1043" t="s">
        <v>478</v>
      </c>
      <c r="F1043" t="s">
        <v>520</v>
      </c>
      <c r="G1043" t="s">
        <v>571</v>
      </c>
    </row>
    <row r="1044" spans="1:7" x14ac:dyDescent="0.2">
      <c r="A1044" t="s">
        <v>305</v>
      </c>
      <c r="B1044" t="s">
        <v>435</v>
      </c>
      <c r="C1044" t="s">
        <v>478</v>
      </c>
      <c r="E1044" t="s">
        <v>478</v>
      </c>
      <c r="F1044" t="s">
        <v>557</v>
      </c>
      <c r="G1044" t="s">
        <v>569</v>
      </c>
    </row>
    <row r="1045" spans="1:7" x14ac:dyDescent="0.2">
      <c r="A1045" t="s">
        <v>306</v>
      </c>
      <c r="B1045" t="s">
        <v>436</v>
      </c>
      <c r="C1045" t="s">
        <v>478</v>
      </c>
      <c r="E1045" t="s">
        <v>478</v>
      </c>
      <c r="F1045" t="s">
        <v>558</v>
      </c>
      <c r="G1045" t="s">
        <v>569</v>
      </c>
    </row>
    <row r="1046" spans="1:7" x14ac:dyDescent="0.2">
      <c r="A1046" t="s">
        <v>307</v>
      </c>
      <c r="B1046" t="s">
        <v>437</v>
      </c>
      <c r="C1046" t="s">
        <v>478</v>
      </c>
      <c r="E1046" t="s">
        <v>478</v>
      </c>
      <c r="F1046" t="s">
        <v>559</v>
      </c>
      <c r="G1046" t="s">
        <v>574</v>
      </c>
    </row>
    <row r="1047" spans="1:7" x14ac:dyDescent="0.2">
      <c r="A1047" t="s">
        <v>308</v>
      </c>
      <c r="B1047" t="s">
        <v>438</v>
      </c>
      <c r="C1047" t="s">
        <v>478</v>
      </c>
      <c r="E1047" t="s">
        <v>478</v>
      </c>
      <c r="F1047" t="s">
        <v>560</v>
      </c>
      <c r="G1047" t="s">
        <v>569</v>
      </c>
    </row>
    <row r="1048" spans="1:7" x14ac:dyDescent="0.2">
      <c r="A1048" t="s">
        <v>309</v>
      </c>
      <c r="B1048" t="s">
        <v>439</v>
      </c>
      <c r="C1048" t="s">
        <v>478</v>
      </c>
      <c r="E1048" t="s">
        <v>478</v>
      </c>
      <c r="F1048" t="s">
        <v>558</v>
      </c>
      <c r="G1048" t="s">
        <v>574</v>
      </c>
    </row>
    <row r="1049" spans="1:7" x14ac:dyDescent="0.2">
      <c r="A1049" t="s">
        <v>310</v>
      </c>
      <c r="B1049" t="s">
        <v>440</v>
      </c>
      <c r="C1049" t="s">
        <v>478</v>
      </c>
      <c r="E1049" t="s">
        <v>478</v>
      </c>
      <c r="F1049" t="s">
        <v>561</v>
      </c>
      <c r="G1049" t="s">
        <v>569</v>
      </c>
    </row>
    <row r="1050" spans="1:7" x14ac:dyDescent="0.2">
      <c r="A1050" t="s">
        <v>311</v>
      </c>
      <c r="B1050" t="s">
        <v>441</v>
      </c>
      <c r="C1050" t="s">
        <v>481</v>
      </c>
      <c r="E1050" t="s">
        <v>481</v>
      </c>
      <c r="F1050" t="s">
        <v>527</v>
      </c>
      <c r="G1050" t="s">
        <v>580</v>
      </c>
    </row>
    <row r="1051" spans="1:7" x14ac:dyDescent="0.2">
      <c r="A1051" t="s">
        <v>311</v>
      </c>
      <c r="B1051" t="s">
        <v>442</v>
      </c>
      <c r="C1051" t="s">
        <v>482</v>
      </c>
      <c r="E1051" t="s">
        <v>482</v>
      </c>
      <c r="F1051" t="s">
        <v>562</v>
      </c>
      <c r="G1051" t="s">
        <v>580</v>
      </c>
    </row>
    <row r="1052" spans="1:7" x14ac:dyDescent="0.2">
      <c r="A1052" t="s">
        <v>311</v>
      </c>
      <c r="B1052" t="s">
        <v>443</v>
      </c>
      <c r="C1052" t="s">
        <v>481</v>
      </c>
      <c r="E1052" t="s">
        <v>481</v>
      </c>
      <c r="F1052" t="s">
        <v>563</v>
      </c>
      <c r="G1052" t="s">
        <v>580</v>
      </c>
    </row>
    <row r="1053" spans="1:7" x14ac:dyDescent="0.2">
      <c r="A1053" t="s">
        <v>312</v>
      </c>
      <c r="B1053" t="s">
        <v>444</v>
      </c>
      <c r="C1053" t="s">
        <v>481</v>
      </c>
      <c r="E1053" t="s">
        <v>481</v>
      </c>
      <c r="F1053" t="s">
        <v>526</v>
      </c>
      <c r="G1053" t="s">
        <v>580</v>
      </c>
    </row>
    <row r="1054" spans="1:7" x14ac:dyDescent="0.2">
      <c r="A1054" t="s">
        <v>286</v>
      </c>
      <c r="B1054" t="s">
        <v>445</v>
      </c>
      <c r="C1054" t="s">
        <v>486</v>
      </c>
      <c r="E1054" t="s">
        <v>486</v>
      </c>
      <c r="F1054" t="s">
        <v>542</v>
      </c>
      <c r="G1054" t="s">
        <v>580</v>
      </c>
    </row>
    <row r="1055" spans="1:7" x14ac:dyDescent="0.2">
      <c r="A1055" t="s">
        <v>286</v>
      </c>
      <c r="B1055" t="s">
        <v>446</v>
      </c>
      <c r="C1055" t="s">
        <v>486</v>
      </c>
      <c r="E1055" t="s">
        <v>486</v>
      </c>
      <c r="F1055" t="s">
        <v>541</v>
      </c>
      <c r="G1055" t="s">
        <v>580</v>
      </c>
    </row>
    <row r="1056" spans="1:7" x14ac:dyDescent="0.2">
      <c r="A1056" t="s">
        <v>313</v>
      </c>
      <c r="B1056" t="s">
        <v>447</v>
      </c>
      <c r="C1056" t="s">
        <v>478</v>
      </c>
      <c r="E1056" t="s">
        <v>478</v>
      </c>
      <c r="F1056" t="s">
        <v>516</v>
      </c>
      <c r="G1056" t="s">
        <v>569</v>
      </c>
    </row>
    <row r="1057" spans="1:7" x14ac:dyDescent="0.2">
      <c r="A1057" t="s">
        <v>314</v>
      </c>
      <c r="B1057" t="s">
        <v>448</v>
      </c>
      <c r="C1057" t="s">
        <v>478</v>
      </c>
      <c r="E1057" t="s">
        <v>478</v>
      </c>
      <c r="F1057" t="s">
        <v>516</v>
      </c>
      <c r="G1057" t="s">
        <v>569</v>
      </c>
    </row>
    <row r="1058" spans="1:7" x14ac:dyDescent="0.2">
      <c r="A1058" t="s">
        <v>315</v>
      </c>
      <c r="B1058" t="s">
        <v>449</v>
      </c>
      <c r="C1058" t="s">
        <v>478</v>
      </c>
      <c r="E1058" t="s">
        <v>478</v>
      </c>
      <c r="F1058" t="s">
        <v>530</v>
      </c>
      <c r="G1058" t="s">
        <v>569</v>
      </c>
    </row>
    <row r="1059" spans="1:7" x14ac:dyDescent="0.2">
      <c r="A1059" t="s">
        <v>315</v>
      </c>
      <c r="B1059" t="s">
        <v>450</v>
      </c>
      <c r="C1059" t="s">
        <v>478</v>
      </c>
      <c r="E1059" t="s">
        <v>478</v>
      </c>
      <c r="F1059" t="s">
        <v>530</v>
      </c>
      <c r="G1059" t="s">
        <v>569</v>
      </c>
    </row>
    <row r="1060" spans="1:7" x14ac:dyDescent="0.2">
      <c r="A1060" t="s">
        <v>315</v>
      </c>
      <c r="B1060" t="s">
        <v>451</v>
      </c>
      <c r="C1060" t="s">
        <v>478</v>
      </c>
      <c r="E1060" t="s">
        <v>478</v>
      </c>
      <c r="F1060" t="s">
        <v>530</v>
      </c>
      <c r="G1060" t="s">
        <v>569</v>
      </c>
    </row>
    <row r="1061" spans="1:7" x14ac:dyDescent="0.2">
      <c r="A1061" t="s">
        <v>313</v>
      </c>
      <c r="B1061" t="s">
        <v>452</v>
      </c>
      <c r="C1061" t="s">
        <v>478</v>
      </c>
      <c r="E1061" t="s">
        <v>478</v>
      </c>
      <c r="F1061" t="s">
        <v>524</v>
      </c>
      <c r="G1061" t="s">
        <v>569</v>
      </c>
    </row>
    <row r="1062" spans="1:7" x14ac:dyDescent="0.2">
      <c r="A1062" t="s">
        <v>314</v>
      </c>
      <c r="B1062" t="s">
        <v>453</v>
      </c>
      <c r="C1062" t="s">
        <v>478</v>
      </c>
      <c r="E1062" t="s">
        <v>478</v>
      </c>
      <c r="F1062" t="s">
        <v>538</v>
      </c>
      <c r="G1062" t="s">
        <v>569</v>
      </c>
    </row>
    <row r="1063" spans="1:7" x14ac:dyDescent="0.2">
      <c r="A1063" t="s">
        <v>314</v>
      </c>
      <c r="B1063" t="s">
        <v>454</v>
      </c>
      <c r="C1063" t="s">
        <v>478</v>
      </c>
      <c r="E1063" t="s">
        <v>478</v>
      </c>
      <c r="F1063" t="s">
        <v>530</v>
      </c>
      <c r="G1063" t="s">
        <v>569</v>
      </c>
    </row>
    <row r="1064" spans="1:7" x14ac:dyDescent="0.2">
      <c r="A1064" t="s">
        <v>314</v>
      </c>
      <c r="B1064" t="s">
        <v>455</v>
      </c>
      <c r="C1064" t="s">
        <v>478</v>
      </c>
      <c r="E1064" t="s">
        <v>478</v>
      </c>
      <c r="F1064" t="s">
        <v>538</v>
      </c>
      <c r="G1064" t="s">
        <v>569</v>
      </c>
    </row>
    <row r="1065" spans="1:7" x14ac:dyDescent="0.2">
      <c r="A1065" t="s">
        <v>314</v>
      </c>
      <c r="B1065" t="s">
        <v>456</v>
      </c>
      <c r="C1065" t="s">
        <v>478</v>
      </c>
      <c r="E1065" t="s">
        <v>478</v>
      </c>
      <c r="F1065" t="s">
        <v>530</v>
      </c>
      <c r="G1065" t="s">
        <v>569</v>
      </c>
    </row>
    <row r="1066" spans="1:7" x14ac:dyDescent="0.2">
      <c r="A1066" t="s">
        <v>277</v>
      </c>
      <c r="B1066" t="s">
        <v>457</v>
      </c>
      <c r="C1066" t="s">
        <v>501</v>
      </c>
      <c r="E1066" t="s">
        <v>501</v>
      </c>
      <c r="F1066" t="s">
        <v>564</v>
      </c>
      <c r="G1066" t="s">
        <v>571</v>
      </c>
    </row>
    <row r="1067" spans="1:7" x14ac:dyDescent="0.2">
      <c r="A1067" t="s">
        <v>263</v>
      </c>
      <c r="B1067" t="s">
        <v>458</v>
      </c>
      <c r="C1067" t="s">
        <v>476</v>
      </c>
      <c r="E1067" t="s">
        <v>476</v>
      </c>
      <c r="F1067" t="s">
        <v>565</v>
      </c>
      <c r="G1067" t="s">
        <v>580</v>
      </c>
    </row>
    <row r="1068" spans="1:7" x14ac:dyDescent="0.2">
      <c r="A1068" t="s">
        <v>316</v>
      </c>
      <c r="B1068" t="s">
        <v>459</v>
      </c>
      <c r="C1068" t="s">
        <v>478</v>
      </c>
      <c r="E1068" t="s">
        <v>478</v>
      </c>
      <c r="F1068" t="s">
        <v>557</v>
      </c>
      <c r="G1068" t="s">
        <v>569</v>
      </c>
    </row>
    <row r="1069" spans="1:7" x14ac:dyDescent="0.2">
      <c r="A1069" t="s">
        <v>317</v>
      </c>
      <c r="B1069" t="s">
        <v>460</v>
      </c>
      <c r="C1069" t="s">
        <v>478</v>
      </c>
      <c r="E1069" t="s">
        <v>478</v>
      </c>
      <c r="F1069" t="s">
        <v>560</v>
      </c>
      <c r="G1069" t="s">
        <v>569</v>
      </c>
    </row>
    <row r="1070" spans="1:7" x14ac:dyDescent="0.2">
      <c r="A1070" t="s">
        <v>318</v>
      </c>
      <c r="B1070" t="s">
        <v>461</v>
      </c>
      <c r="C1070" t="s">
        <v>478</v>
      </c>
      <c r="E1070" t="s">
        <v>478</v>
      </c>
      <c r="F1070" t="s">
        <v>561</v>
      </c>
      <c r="G1070" t="s">
        <v>574</v>
      </c>
    </row>
    <row r="1071" spans="1:7" x14ac:dyDescent="0.2">
      <c r="A1071" t="s">
        <v>319</v>
      </c>
      <c r="B1071" t="s">
        <v>462</v>
      </c>
      <c r="C1071" t="s">
        <v>482</v>
      </c>
      <c r="E1071" t="s">
        <v>482</v>
      </c>
      <c r="F1071" t="s">
        <v>526</v>
      </c>
      <c r="G1071" t="s">
        <v>580</v>
      </c>
    </row>
    <row r="1072" spans="1:7" x14ac:dyDescent="0.2">
      <c r="A1072" t="s">
        <v>320</v>
      </c>
      <c r="B1072" t="s">
        <v>463</v>
      </c>
      <c r="C1072" t="s">
        <v>488</v>
      </c>
      <c r="E1072" t="s">
        <v>488</v>
      </c>
      <c r="F1072" t="s">
        <v>562</v>
      </c>
      <c r="G1072" t="s">
        <v>580</v>
      </c>
    </row>
    <row r="1073" spans="1:7" x14ac:dyDescent="0.2">
      <c r="A1073" t="s">
        <v>319</v>
      </c>
      <c r="B1073" t="s">
        <v>464</v>
      </c>
      <c r="C1073" t="s">
        <v>482</v>
      </c>
      <c r="E1073" t="s">
        <v>482</v>
      </c>
      <c r="F1073" t="s">
        <v>563</v>
      </c>
      <c r="G1073" t="s">
        <v>580</v>
      </c>
    </row>
    <row r="1074" spans="1:7" x14ac:dyDescent="0.2">
      <c r="A1074" t="s">
        <v>319</v>
      </c>
      <c r="B1074" t="s">
        <v>465</v>
      </c>
      <c r="C1074" t="s">
        <v>481</v>
      </c>
      <c r="E1074" t="s">
        <v>481</v>
      </c>
      <c r="F1074" t="s">
        <v>526</v>
      </c>
      <c r="G1074" t="s">
        <v>580</v>
      </c>
    </row>
    <row r="1075" spans="1:7" x14ac:dyDescent="0.2">
      <c r="A1075" t="s">
        <v>321</v>
      </c>
      <c r="B1075" t="s">
        <v>466</v>
      </c>
      <c r="C1075" t="s">
        <v>488</v>
      </c>
      <c r="E1075" t="s">
        <v>488</v>
      </c>
      <c r="F1075" t="s">
        <v>547</v>
      </c>
      <c r="G1075" t="s">
        <v>574</v>
      </c>
    </row>
    <row r="1076" spans="1:7" x14ac:dyDescent="0.2">
      <c r="A1076" t="s">
        <v>322</v>
      </c>
      <c r="B1076" t="s">
        <v>467</v>
      </c>
      <c r="C1076" t="s">
        <v>482</v>
      </c>
      <c r="E1076" t="s">
        <v>482</v>
      </c>
      <c r="F1076" t="s">
        <v>566</v>
      </c>
      <c r="G1076" t="s">
        <v>574</v>
      </c>
    </row>
    <row r="1077" spans="1:7" x14ac:dyDescent="0.2">
      <c r="A1077" t="s">
        <v>283</v>
      </c>
      <c r="B1077" t="s">
        <v>468</v>
      </c>
      <c r="C1077" t="s">
        <v>478</v>
      </c>
      <c r="E1077" t="s">
        <v>478</v>
      </c>
      <c r="F1077" t="s">
        <v>524</v>
      </c>
      <c r="G1077" t="s">
        <v>581</v>
      </c>
    </row>
    <row r="1078" spans="1:7" x14ac:dyDescent="0.2">
      <c r="A1078" t="s">
        <v>275</v>
      </c>
      <c r="B1078" t="s">
        <v>469</v>
      </c>
      <c r="C1078" t="s">
        <v>478</v>
      </c>
      <c r="E1078" t="s">
        <v>478</v>
      </c>
      <c r="F1078" t="s">
        <v>530</v>
      </c>
      <c r="G1078" t="s">
        <v>581</v>
      </c>
    </row>
    <row r="1079" spans="1:7" x14ac:dyDescent="0.2">
      <c r="A1079" t="s">
        <v>275</v>
      </c>
      <c r="B1079" t="s">
        <v>470</v>
      </c>
      <c r="C1079" t="s">
        <v>478</v>
      </c>
      <c r="E1079" t="s">
        <v>478</v>
      </c>
      <c r="F1079" t="s">
        <v>530</v>
      </c>
      <c r="G1079" t="s">
        <v>581</v>
      </c>
    </row>
    <row r="1080" spans="1:7" x14ac:dyDescent="0.2">
      <c r="A1080" t="s">
        <v>275</v>
      </c>
      <c r="B1080" t="s">
        <v>471</v>
      </c>
      <c r="C1080" t="s">
        <v>478</v>
      </c>
      <c r="E1080" t="s">
        <v>478</v>
      </c>
      <c r="F1080" t="s">
        <v>530</v>
      </c>
      <c r="G1080" t="s">
        <v>581</v>
      </c>
    </row>
    <row r="1081" spans="1:7" x14ac:dyDescent="0.2">
      <c r="A1081" t="s">
        <v>275</v>
      </c>
      <c r="B1081" t="s">
        <v>472</v>
      </c>
      <c r="C1081" t="s">
        <v>478</v>
      </c>
      <c r="E1081" t="s">
        <v>478</v>
      </c>
      <c r="F1081" t="s">
        <v>530</v>
      </c>
      <c r="G1081" t="s">
        <v>581</v>
      </c>
    </row>
    <row r="1082" spans="1:7" x14ac:dyDescent="0.2">
      <c r="A1082" t="s">
        <v>286</v>
      </c>
      <c r="B1082" t="s">
        <v>473</v>
      </c>
      <c r="C1082" t="s">
        <v>486</v>
      </c>
      <c r="E1082" t="s">
        <v>486</v>
      </c>
      <c r="F1082" t="s">
        <v>542</v>
      </c>
      <c r="G1082" t="s">
        <v>580</v>
      </c>
    </row>
    <row r="1083" spans="1:7" x14ac:dyDescent="0.2">
      <c r="A1083" t="s">
        <v>286</v>
      </c>
      <c r="B1083" t="s">
        <v>474</v>
      </c>
      <c r="C1083" t="s">
        <v>486</v>
      </c>
      <c r="E1083" t="s">
        <v>486</v>
      </c>
      <c r="F1083" t="s">
        <v>542</v>
      </c>
      <c r="G1083" t="s">
        <v>580</v>
      </c>
    </row>
    <row r="1084" spans="1:7" x14ac:dyDescent="0.2">
      <c r="A1084" t="s">
        <v>289</v>
      </c>
      <c r="B1084" t="s">
        <v>475</v>
      </c>
      <c r="C1084" t="s">
        <v>478</v>
      </c>
      <c r="E1084" t="s">
        <v>478</v>
      </c>
      <c r="F1084" t="s">
        <v>559</v>
      </c>
      <c r="G1084" t="s">
        <v>574</v>
      </c>
    </row>
    <row r="1085" spans="1:7" x14ac:dyDescent="0.2">
      <c r="A1085" t="s">
        <v>302</v>
      </c>
      <c r="B1085" t="s">
        <v>302</v>
      </c>
      <c r="C1085" t="s">
        <v>478</v>
      </c>
      <c r="E1085" t="s">
        <v>478</v>
      </c>
      <c r="F1085" t="s">
        <v>567</v>
      </c>
      <c r="G1085" t="s">
        <v>579</v>
      </c>
    </row>
    <row r="1086" spans="1:7" x14ac:dyDescent="0.2">
      <c r="A1086" t="s">
        <v>323</v>
      </c>
      <c r="B1086" t="s">
        <v>302</v>
      </c>
      <c r="C1086" t="s">
        <v>478</v>
      </c>
      <c r="E1086" t="s">
        <v>478</v>
      </c>
      <c r="F1086" t="s">
        <v>568</v>
      </c>
      <c r="G1086" t="s">
        <v>569</v>
      </c>
    </row>
    <row r="1087" spans="1:7" x14ac:dyDescent="0.2">
      <c r="A1087" t="s">
        <v>263</v>
      </c>
      <c r="B1087" t="s">
        <v>324</v>
      </c>
      <c r="C1087" t="s">
        <v>476</v>
      </c>
      <c r="E1087" t="s">
        <v>478</v>
      </c>
      <c r="F1087" t="s">
        <v>515</v>
      </c>
      <c r="G1087" t="s">
        <v>319</v>
      </c>
    </row>
    <row r="1088" spans="1:7" x14ac:dyDescent="0.2">
      <c r="A1088" t="s">
        <v>264</v>
      </c>
      <c r="B1088" t="s">
        <v>325</v>
      </c>
      <c r="C1088" t="s">
        <v>477</v>
      </c>
      <c r="E1088" t="s">
        <v>477</v>
      </c>
      <c r="F1088" t="s">
        <v>516</v>
      </c>
      <c r="G1088" t="s">
        <v>569</v>
      </c>
    </row>
    <row r="1089" spans="1:7" x14ac:dyDescent="0.2">
      <c r="A1089" t="s">
        <v>265</v>
      </c>
      <c r="B1089" t="s">
        <v>326</v>
      </c>
      <c r="C1089" t="s">
        <v>478</v>
      </c>
      <c r="E1089" t="s">
        <v>478</v>
      </c>
      <c r="F1089" t="s">
        <v>517</v>
      </c>
      <c r="G1089" t="s">
        <v>570</v>
      </c>
    </row>
    <row r="1090" spans="1:7" x14ac:dyDescent="0.2">
      <c r="A1090" t="s">
        <v>266</v>
      </c>
      <c r="B1090" t="s">
        <v>327</v>
      </c>
      <c r="C1090" t="s">
        <v>479</v>
      </c>
      <c r="E1090" t="s">
        <v>479</v>
      </c>
      <c r="F1090" t="s">
        <v>518</v>
      </c>
      <c r="G1090" t="s">
        <v>571</v>
      </c>
    </row>
    <row r="1091" spans="1:7" x14ac:dyDescent="0.2">
      <c r="A1091" t="s">
        <v>267</v>
      </c>
      <c r="B1091" t="s">
        <v>328</v>
      </c>
      <c r="C1091" t="s">
        <v>480</v>
      </c>
      <c r="E1091" t="s">
        <v>480</v>
      </c>
      <c r="F1091" t="s">
        <v>519</v>
      </c>
      <c r="G1091" t="s">
        <v>572</v>
      </c>
    </row>
    <row r="1092" spans="1:7" x14ac:dyDescent="0.2">
      <c r="A1092" t="s">
        <v>268</v>
      </c>
      <c r="B1092" t="s">
        <v>329</v>
      </c>
      <c r="C1092" t="s">
        <v>478</v>
      </c>
      <c r="E1092" t="s">
        <v>478</v>
      </c>
      <c r="F1092" t="s">
        <v>520</v>
      </c>
      <c r="G1092" t="s">
        <v>571</v>
      </c>
    </row>
    <row r="1093" spans="1:7" x14ac:dyDescent="0.2">
      <c r="A1093" t="s">
        <v>268</v>
      </c>
      <c r="B1093" t="s">
        <v>330</v>
      </c>
      <c r="C1093" t="s">
        <v>478</v>
      </c>
      <c r="E1093" t="s">
        <v>478</v>
      </c>
      <c r="F1093" t="s">
        <v>516</v>
      </c>
      <c r="G1093" t="s">
        <v>571</v>
      </c>
    </row>
    <row r="1094" spans="1:7" x14ac:dyDescent="0.2">
      <c r="A1094" t="s">
        <v>268</v>
      </c>
      <c r="B1094" t="s">
        <v>331</v>
      </c>
      <c r="C1094" t="s">
        <v>478</v>
      </c>
      <c r="E1094" t="s">
        <v>478</v>
      </c>
      <c r="F1094" t="s">
        <v>520</v>
      </c>
      <c r="G1094" t="s">
        <v>571</v>
      </c>
    </row>
    <row r="1095" spans="1:7" x14ac:dyDescent="0.2">
      <c r="A1095" t="s">
        <v>269</v>
      </c>
      <c r="B1095" t="s">
        <v>332</v>
      </c>
      <c r="C1095" t="s">
        <v>481</v>
      </c>
      <c r="E1095" t="s">
        <v>481</v>
      </c>
      <c r="F1095" t="s">
        <v>521</v>
      </c>
      <c r="G1095" t="s">
        <v>573</v>
      </c>
    </row>
    <row r="1096" spans="1:7" x14ac:dyDescent="0.2">
      <c r="A1096" t="s">
        <v>270</v>
      </c>
      <c r="B1096" t="s">
        <v>333</v>
      </c>
      <c r="C1096" t="s">
        <v>481</v>
      </c>
      <c r="E1096" t="s">
        <v>481</v>
      </c>
      <c r="F1096" t="s">
        <v>522</v>
      </c>
      <c r="G1096" t="s">
        <v>573</v>
      </c>
    </row>
    <row r="1097" spans="1:7" x14ac:dyDescent="0.2">
      <c r="A1097" t="s">
        <v>270</v>
      </c>
      <c r="B1097" t="s">
        <v>334</v>
      </c>
      <c r="C1097" t="s">
        <v>481</v>
      </c>
      <c r="E1097" t="s">
        <v>481</v>
      </c>
      <c r="F1097" t="s">
        <v>523</v>
      </c>
      <c r="G1097" t="s">
        <v>573</v>
      </c>
    </row>
    <row r="1098" spans="1:7" x14ac:dyDescent="0.2">
      <c r="A1098" t="s">
        <v>271</v>
      </c>
      <c r="B1098" t="s">
        <v>335</v>
      </c>
      <c r="C1098" t="s">
        <v>478</v>
      </c>
      <c r="E1098" t="s">
        <v>478</v>
      </c>
      <c r="F1098" t="s">
        <v>524</v>
      </c>
      <c r="G1098" t="s">
        <v>574</v>
      </c>
    </row>
    <row r="1099" spans="1:7" x14ac:dyDescent="0.2">
      <c r="A1099" t="s">
        <v>269</v>
      </c>
      <c r="B1099" t="s">
        <v>336</v>
      </c>
      <c r="C1099" t="s">
        <v>481</v>
      </c>
      <c r="E1099" t="s">
        <v>481</v>
      </c>
      <c r="F1099" t="s">
        <v>525</v>
      </c>
      <c r="G1099" t="s">
        <v>573</v>
      </c>
    </row>
    <row r="1100" spans="1:7" x14ac:dyDescent="0.2">
      <c r="A1100" t="s">
        <v>272</v>
      </c>
      <c r="B1100" t="s">
        <v>337</v>
      </c>
      <c r="C1100" t="s">
        <v>481</v>
      </c>
      <c r="E1100" t="s">
        <v>481</v>
      </c>
      <c r="F1100" t="s">
        <v>526</v>
      </c>
      <c r="G1100" t="s">
        <v>572</v>
      </c>
    </row>
    <row r="1101" spans="1:7" x14ac:dyDescent="0.2">
      <c r="A1101" t="s">
        <v>272</v>
      </c>
      <c r="B1101" t="s">
        <v>338</v>
      </c>
      <c r="C1101" t="s">
        <v>481</v>
      </c>
      <c r="E1101" t="s">
        <v>481</v>
      </c>
      <c r="F1101" t="s">
        <v>527</v>
      </c>
      <c r="G1101" t="s">
        <v>572</v>
      </c>
    </row>
    <row r="1102" spans="1:7" x14ac:dyDescent="0.2">
      <c r="A1102" t="s">
        <v>273</v>
      </c>
      <c r="B1102" t="s">
        <v>339</v>
      </c>
      <c r="C1102" t="s">
        <v>481</v>
      </c>
      <c r="E1102" t="s">
        <v>481</v>
      </c>
      <c r="F1102" t="s">
        <v>527</v>
      </c>
      <c r="G1102" t="s">
        <v>572</v>
      </c>
    </row>
    <row r="1103" spans="1:7" x14ac:dyDescent="0.2">
      <c r="A1103" t="s">
        <v>273</v>
      </c>
      <c r="B1103" t="s">
        <v>340</v>
      </c>
      <c r="C1103" t="s">
        <v>482</v>
      </c>
      <c r="E1103" t="s">
        <v>482</v>
      </c>
      <c r="F1103" t="s">
        <v>528</v>
      </c>
      <c r="G1103" t="s">
        <v>572</v>
      </c>
    </row>
    <row r="1104" spans="1:7" x14ac:dyDescent="0.2">
      <c r="A1104" t="s">
        <v>273</v>
      </c>
      <c r="B1104" t="s">
        <v>341</v>
      </c>
      <c r="C1104" t="s">
        <v>481</v>
      </c>
      <c r="E1104" t="s">
        <v>481</v>
      </c>
      <c r="F1104" t="s">
        <v>527</v>
      </c>
      <c r="G1104" t="s">
        <v>572</v>
      </c>
    </row>
    <row r="1105" spans="1:7" x14ac:dyDescent="0.2">
      <c r="A1105" t="s">
        <v>273</v>
      </c>
      <c r="B1105" t="s">
        <v>342</v>
      </c>
      <c r="C1105" t="s">
        <v>481</v>
      </c>
      <c r="E1105" t="s">
        <v>481</v>
      </c>
      <c r="F1105" t="s">
        <v>526</v>
      </c>
      <c r="G1105" t="s">
        <v>572</v>
      </c>
    </row>
    <row r="1106" spans="1:7" x14ac:dyDescent="0.2">
      <c r="A1106" t="s">
        <v>274</v>
      </c>
      <c r="B1106" t="s">
        <v>343</v>
      </c>
      <c r="C1106" t="s">
        <v>483</v>
      </c>
      <c r="E1106" t="s">
        <v>483</v>
      </c>
      <c r="F1106" t="s">
        <v>529</v>
      </c>
      <c r="G1106" t="s">
        <v>575</v>
      </c>
    </row>
    <row r="1107" spans="1:7" x14ac:dyDescent="0.2">
      <c r="A1107" t="s">
        <v>275</v>
      </c>
      <c r="B1107" t="s">
        <v>344</v>
      </c>
      <c r="C1107" t="s">
        <v>478</v>
      </c>
      <c r="E1107" t="s">
        <v>477</v>
      </c>
      <c r="F1107" t="s">
        <v>530</v>
      </c>
      <c r="G1107" t="s">
        <v>575</v>
      </c>
    </row>
    <row r="1108" spans="1:7" x14ac:dyDescent="0.2">
      <c r="A1108" t="s">
        <v>275</v>
      </c>
      <c r="B1108" t="s">
        <v>345</v>
      </c>
      <c r="C1108" t="s">
        <v>478</v>
      </c>
      <c r="E1108" t="s">
        <v>477</v>
      </c>
      <c r="F1108" t="s">
        <v>530</v>
      </c>
      <c r="G1108" t="s">
        <v>575</v>
      </c>
    </row>
    <row r="1109" spans="1:7" x14ac:dyDescent="0.2">
      <c r="A1109" t="s">
        <v>275</v>
      </c>
      <c r="B1109" t="s">
        <v>346</v>
      </c>
      <c r="C1109" t="s">
        <v>478</v>
      </c>
      <c r="E1109" t="s">
        <v>477</v>
      </c>
      <c r="F1109" t="s">
        <v>530</v>
      </c>
      <c r="G1109" t="s">
        <v>575</v>
      </c>
    </row>
    <row r="1110" spans="1:7" x14ac:dyDescent="0.2">
      <c r="A1110" t="s">
        <v>275</v>
      </c>
      <c r="B1110" t="s">
        <v>347</v>
      </c>
      <c r="C1110" t="s">
        <v>478</v>
      </c>
      <c r="E1110" t="s">
        <v>477</v>
      </c>
      <c r="F1110" t="s">
        <v>530</v>
      </c>
      <c r="G1110" t="s">
        <v>575</v>
      </c>
    </row>
    <row r="1111" spans="1:7" x14ac:dyDescent="0.2">
      <c r="A1111" t="s">
        <v>275</v>
      </c>
      <c r="B1111" t="s">
        <v>348</v>
      </c>
      <c r="C1111" t="s">
        <v>478</v>
      </c>
      <c r="E1111" t="s">
        <v>477</v>
      </c>
      <c r="F1111" t="s">
        <v>530</v>
      </c>
      <c r="G1111" t="s">
        <v>575</v>
      </c>
    </row>
    <row r="1112" spans="1:7" x14ac:dyDescent="0.2">
      <c r="A1112" t="s">
        <v>275</v>
      </c>
      <c r="B1112" t="s">
        <v>349</v>
      </c>
      <c r="C1112" t="s">
        <v>478</v>
      </c>
      <c r="E1112" t="s">
        <v>477</v>
      </c>
      <c r="F1112" t="s">
        <v>530</v>
      </c>
      <c r="G1112" t="s">
        <v>575</v>
      </c>
    </row>
    <row r="1113" spans="1:7" x14ac:dyDescent="0.2">
      <c r="A1113" t="s">
        <v>275</v>
      </c>
      <c r="B1113" t="s">
        <v>350</v>
      </c>
      <c r="C1113" t="s">
        <v>478</v>
      </c>
      <c r="E1113" t="s">
        <v>477</v>
      </c>
      <c r="F1113" t="s">
        <v>530</v>
      </c>
      <c r="G1113" t="s">
        <v>575</v>
      </c>
    </row>
    <row r="1114" spans="1:7" x14ac:dyDescent="0.2">
      <c r="A1114" t="s">
        <v>275</v>
      </c>
      <c r="B1114" t="s">
        <v>351</v>
      </c>
      <c r="C1114" t="s">
        <v>478</v>
      </c>
      <c r="E1114" t="s">
        <v>477</v>
      </c>
      <c r="F1114" t="s">
        <v>530</v>
      </c>
      <c r="G1114" t="s">
        <v>575</v>
      </c>
    </row>
    <row r="1115" spans="1:7" x14ac:dyDescent="0.2">
      <c r="A1115" t="s">
        <v>275</v>
      </c>
      <c r="B1115" t="s">
        <v>352</v>
      </c>
      <c r="C1115" t="s">
        <v>478</v>
      </c>
      <c r="E1115" t="s">
        <v>477</v>
      </c>
      <c r="F1115" t="s">
        <v>530</v>
      </c>
      <c r="G1115" t="s">
        <v>575</v>
      </c>
    </row>
    <row r="1116" spans="1:7" x14ac:dyDescent="0.2">
      <c r="A1116" t="s">
        <v>264</v>
      </c>
      <c r="B1116" t="s">
        <v>353</v>
      </c>
      <c r="C1116" t="s">
        <v>478</v>
      </c>
      <c r="E1116" t="s">
        <v>477</v>
      </c>
      <c r="F1116" t="s">
        <v>516</v>
      </c>
      <c r="G1116" t="s">
        <v>575</v>
      </c>
    </row>
    <row r="1117" spans="1:7" x14ac:dyDescent="0.2">
      <c r="A1117" t="s">
        <v>276</v>
      </c>
      <c r="B1117" t="s">
        <v>354</v>
      </c>
      <c r="C1117" t="s">
        <v>484</v>
      </c>
      <c r="E1117" t="s">
        <v>484</v>
      </c>
      <c r="F1117" t="s">
        <v>531</v>
      </c>
      <c r="G1117" t="s">
        <v>575</v>
      </c>
    </row>
    <row r="1118" spans="1:7" x14ac:dyDescent="0.2">
      <c r="A1118" t="s">
        <v>275</v>
      </c>
      <c r="B1118" t="s">
        <v>355</v>
      </c>
      <c r="C1118" t="s">
        <v>478</v>
      </c>
      <c r="E1118" t="s">
        <v>477</v>
      </c>
      <c r="F1118" t="s">
        <v>530</v>
      </c>
      <c r="G1118" t="s">
        <v>575</v>
      </c>
    </row>
    <row r="1119" spans="1:7" x14ac:dyDescent="0.2">
      <c r="A1119" t="s">
        <v>275</v>
      </c>
      <c r="B1119" t="s">
        <v>356</v>
      </c>
      <c r="C1119" t="s">
        <v>478</v>
      </c>
      <c r="E1119" t="s">
        <v>477</v>
      </c>
      <c r="F1119" t="s">
        <v>530</v>
      </c>
      <c r="G1119" t="s">
        <v>575</v>
      </c>
    </row>
    <row r="1120" spans="1:7" x14ac:dyDescent="0.2">
      <c r="A1120" t="s">
        <v>275</v>
      </c>
      <c r="B1120" t="s">
        <v>357</v>
      </c>
      <c r="C1120" t="s">
        <v>478</v>
      </c>
      <c r="E1120" t="s">
        <v>477</v>
      </c>
      <c r="F1120" t="s">
        <v>530</v>
      </c>
      <c r="G1120" t="s">
        <v>575</v>
      </c>
    </row>
    <row r="1121" spans="1:7" x14ac:dyDescent="0.2">
      <c r="A1121" t="s">
        <v>275</v>
      </c>
      <c r="B1121" t="s">
        <v>358</v>
      </c>
      <c r="C1121" t="s">
        <v>478</v>
      </c>
      <c r="E1121" t="s">
        <v>477</v>
      </c>
      <c r="F1121" t="s">
        <v>530</v>
      </c>
      <c r="G1121" t="s">
        <v>575</v>
      </c>
    </row>
    <row r="1122" spans="1:7" x14ac:dyDescent="0.2">
      <c r="A1122" t="s">
        <v>275</v>
      </c>
      <c r="B1122" t="s">
        <v>359</v>
      </c>
      <c r="C1122" t="s">
        <v>478</v>
      </c>
      <c r="E1122" t="s">
        <v>477</v>
      </c>
      <c r="F1122" t="s">
        <v>530</v>
      </c>
      <c r="G1122" t="s">
        <v>575</v>
      </c>
    </row>
    <row r="1123" spans="1:7" x14ac:dyDescent="0.2">
      <c r="A1123" t="s">
        <v>275</v>
      </c>
      <c r="B1123" t="s">
        <v>360</v>
      </c>
      <c r="C1123" t="s">
        <v>478</v>
      </c>
      <c r="E1123" t="s">
        <v>477</v>
      </c>
      <c r="F1123" t="s">
        <v>530</v>
      </c>
      <c r="G1123" t="s">
        <v>575</v>
      </c>
    </row>
    <row r="1124" spans="1:7" x14ac:dyDescent="0.2">
      <c r="A1124" t="s">
        <v>264</v>
      </c>
      <c r="B1124" t="s">
        <v>361</v>
      </c>
      <c r="C1124" t="s">
        <v>478</v>
      </c>
      <c r="E1124" t="s">
        <v>477</v>
      </c>
      <c r="F1124" t="s">
        <v>516</v>
      </c>
      <c r="G1124" t="s">
        <v>575</v>
      </c>
    </row>
    <row r="1125" spans="1:7" x14ac:dyDescent="0.2">
      <c r="A1125" t="s">
        <v>265</v>
      </c>
      <c r="B1125" t="s">
        <v>362</v>
      </c>
      <c r="C1125" t="s">
        <v>478</v>
      </c>
      <c r="E1125" t="s">
        <v>491</v>
      </c>
      <c r="F1125" t="s">
        <v>532</v>
      </c>
      <c r="G1125" t="s">
        <v>570</v>
      </c>
    </row>
    <row r="1126" spans="1:7" x14ac:dyDescent="0.2">
      <c r="A1126" t="s">
        <v>277</v>
      </c>
      <c r="B1126" t="s">
        <v>363</v>
      </c>
      <c r="C1126" t="s">
        <v>485</v>
      </c>
      <c r="E1126" t="s">
        <v>485</v>
      </c>
      <c r="F1126" t="s">
        <v>525</v>
      </c>
      <c r="G1126" t="s">
        <v>571</v>
      </c>
    </row>
    <row r="1127" spans="1:7" x14ac:dyDescent="0.2">
      <c r="A1127" t="s">
        <v>267</v>
      </c>
      <c r="B1127" t="s">
        <v>364</v>
      </c>
      <c r="C1127" t="s">
        <v>480</v>
      </c>
      <c r="E1127" t="s">
        <v>480</v>
      </c>
      <c r="F1127" t="s">
        <v>533</v>
      </c>
      <c r="G1127" t="s">
        <v>572</v>
      </c>
    </row>
    <row r="1128" spans="1:7" x14ac:dyDescent="0.2">
      <c r="A1128" t="s">
        <v>278</v>
      </c>
      <c r="B1128" t="s">
        <v>365</v>
      </c>
      <c r="C1128" t="s">
        <v>486</v>
      </c>
      <c r="E1128" t="s">
        <v>486</v>
      </c>
      <c r="F1128" t="s">
        <v>534</v>
      </c>
      <c r="G1128" t="s">
        <v>573</v>
      </c>
    </row>
    <row r="1129" spans="1:7" x14ac:dyDescent="0.2">
      <c r="A1129" t="s">
        <v>278</v>
      </c>
      <c r="B1129" t="s">
        <v>366</v>
      </c>
      <c r="C1129" t="s">
        <v>486</v>
      </c>
      <c r="E1129" t="s">
        <v>486</v>
      </c>
      <c r="F1129" t="s">
        <v>534</v>
      </c>
      <c r="G1129" t="s">
        <v>573</v>
      </c>
    </row>
    <row r="1130" spans="1:7" x14ac:dyDescent="0.2">
      <c r="A1130" t="s">
        <v>279</v>
      </c>
      <c r="B1130" t="s">
        <v>367</v>
      </c>
      <c r="C1130" t="s">
        <v>487</v>
      </c>
      <c r="E1130" t="s">
        <v>487</v>
      </c>
      <c r="F1130" t="s">
        <v>535</v>
      </c>
      <c r="G1130" t="s">
        <v>573</v>
      </c>
    </row>
    <row r="1131" spans="1:7" x14ac:dyDescent="0.2">
      <c r="A1131" t="s">
        <v>279</v>
      </c>
      <c r="B1131" t="s">
        <v>368</v>
      </c>
      <c r="C1131" t="s">
        <v>487</v>
      </c>
      <c r="E1131" t="s">
        <v>487</v>
      </c>
      <c r="F1131" t="s">
        <v>527</v>
      </c>
      <c r="G1131" t="s">
        <v>573</v>
      </c>
    </row>
    <row r="1132" spans="1:7" x14ac:dyDescent="0.2">
      <c r="A1132" t="s">
        <v>280</v>
      </c>
      <c r="B1132" t="s">
        <v>369</v>
      </c>
      <c r="C1132" t="s">
        <v>482</v>
      </c>
      <c r="E1132" t="s">
        <v>482</v>
      </c>
      <c r="F1132" t="s">
        <v>526</v>
      </c>
      <c r="G1132" t="s">
        <v>572</v>
      </c>
    </row>
    <row r="1133" spans="1:7" x14ac:dyDescent="0.2">
      <c r="A1133" t="s">
        <v>280</v>
      </c>
      <c r="B1133" t="s">
        <v>370</v>
      </c>
      <c r="C1133" t="s">
        <v>482</v>
      </c>
      <c r="E1133" t="s">
        <v>482</v>
      </c>
      <c r="F1133" t="s">
        <v>527</v>
      </c>
      <c r="G1133" t="s">
        <v>572</v>
      </c>
    </row>
    <row r="1134" spans="1:7" x14ac:dyDescent="0.2">
      <c r="A1134" t="s">
        <v>272</v>
      </c>
      <c r="B1134" t="s">
        <v>371</v>
      </c>
      <c r="C1134" t="s">
        <v>482</v>
      </c>
      <c r="E1134" t="s">
        <v>482</v>
      </c>
      <c r="F1134" t="s">
        <v>527</v>
      </c>
      <c r="G1134" t="s">
        <v>572</v>
      </c>
    </row>
    <row r="1135" spans="1:7" x14ac:dyDescent="0.2">
      <c r="A1135" t="s">
        <v>272</v>
      </c>
      <c r="B1135" t="s">
        <v>372</v>
      </c>
      <c r="C1135" t="s">
        <v>488</v>
      </c>
      <c r="E1135" t="s">
        <v>488</v>
      </c>
      <c r="F1135" t="s">
        <v>528</v>
      </c>
      <c r="G1135" t="s">
        <v>572</v>
      </c>
    </row>
    <row r="1136" spans="1:7" x14ac:dyDescent="0.2">
      <c r="A1136" t="s">
        <v>281</v>
      </c>
      <c r="B1136" t="s">
        <v>373</v>
      </c>
      <c r="C1136" t="s">
        <v>482</v>
      </c>
      <c r="E1136" t="s">
        <v>482</v>
      </c>
      <c r="F1136" t="s">
        <v>527</v>
      </c>
      <c r="G1136" t="s">
        <v>572</v>
      </c>
    </row>
    <row r="1137" spans="1:7" x14ac:dyDescent="0.2">
      <c r="A1137" t="s">
        <v>273</v>
      </c>
      <c r="B1137" t="s">
        <v>374</v>
      </c>
      <c r="C1137" t="s">
        <v>481</v>
      </c>
      <c r="E1137" t="s">
        <v>481</v>
      </c>
      <c r="F1137" t="s">
        <v>526</v>
      </c>
      <c r="G1137" t="s">
        <v>572</v>
      </c>
    </row>
    <row r="1138" spans="1:7" x14ac:dyDescent="0.2">
      <c r="A1138" t="s">
        <v>282</v>
      </c>
      <c r="B1138" t="s">
        <v>375</v>
      </c>
      <c r="C1138" t="s">
        <v>489</v>
      </c>
      <c r="E1138" t="s">
        <v>489</v>
      </c>
      <c r="F1138" t="s">
        <v>526</v>
      </c>
      <c r="G1138" t="s">
        <v>572</v>
      </c>
    </row>
    <row r="1139" spans="1:7" x14ac:dyDescent="0.2">
      <c r="A1139" t="s">
        <v>283</v>
      </c>
      <c r="B1139" t="s">
        <v>376</v>
      </c>
      <c r="C1139" t="s">
        <v>490</v>
      </c>
      <c r="E1139" t="s">
        <v>478</v>
      </c>
      <c r="F1139" t="s">
        <v>536</v>
      </c>
      <c r="G1139" t="s">
        <v>575</v>
      </c>
    </row>
    <row r="1140" spans="1:7" x14ac:dyDescent="0.2">
      <c r="A1140" t="s">
        <v>275</v>
      </c>
      <c r="B1140" t="s">
        <v>377</v>
      </c>
      <c r="C1140" t="s">
        <v>478</v>
      </c>
      <c r="E1140" t="s">
        <v>477</v>
      </c>
      <c r="F1140" t="s">
        <v>537</v>
      </c>
      <c r="G1140" t="s">
        <v>575</v>
      </c>
    </row>
    <row r="1141" spans="1:7" x14ac:dyDescent="0.2">
      <c r="A1141" t="s">
        <v>275</v>
      </c>
      <c r="B1141" t="s">
        <v>378</v>
      </c>
      <c r="C1141" t="s">
        <v>478</v>
      </c>
      <c r="E1141" t="s">
        <v>477</v>
      </c>
      <c r="F1141" t="s">
        <v>538</v>
      </c>
      <c r="G1141" t="s">
        <v>575</v>
      </c>
    </row>
    <row r="1142" spans="1:7" x14ac:dyDescent="0.2">
      <c r="A1142" t="s">
        <v>275</v>
      </c>
      <c r="B1142" t="s">
        <v>379</v>
      </c>
      <c r="C1142" t="s">
        <v>478</v>
      </c>
      <c r="E1142" t="s">
        <v>477</v>
      </c>
      <c r="F1142" t="s">
        <v>538</v>
      </c>
      <c r="G1142" t="s">
        <v>575</v>
      </c>
    </row>
    <row r="1143" spans="1:7" x14ac:dyDescent="0.2">
      <c r="A1143" t="s">
        <v>275</v>
      </c>
      <c r="B1143" t="s">
        <v>380</v>
      </c>
      <c r="C1143" t="s">
        <v>478</v>
      </c>
      <c r="E1143" t="s">
        <v>477</v>
      </c>
      <c r="F1143" t="s">
        <v>530</v>
      </c>
      <c r="G1143" t="s">
        <v>575</v>
      </c>
    </row>
    <row r="1144" spans="1:7" x14ac:dyDescent="0.2">
      <c r="A1144" t="s">
        <v>275</v>
      </c>
      <c r="B1144" t="s">
        <v>381</v>
      </c>
      <c r="C1144" t="s">
        <v>478</v>
      </c>
      <c r="E1144" t="s">
        <v>477</v>
      </c>
      <c r="F1144" t="s">
        <v>530</v>
      </c>
      <c r="G1144" t="s">
        <v>575</v>
      </c>
    </row>
    <row r="1145" spans="1:7" x14ac:dyDescent="0.2">
      <c r="A1145" t="s">
        <v>275</v>
      </c>
      <c r="B1145" t="s">
        <v>382</v>
      </c>
      <c r="C1145" t="s">
        <v>478</v>
      </c>
      <c r="E1145" t="s">
        <v>477</v>
      </c>
      <c r="F1145" t="s">
        <v>530</v>
      </c>
      <c r="G1145" t="s">
        <v>575</v>
      </c>
    </row>
    <row r="1146" spans="1:7" x14ac:dyDescent="0.2">
      <c r="A1146" t="s">
        <v>275</v>
      </c>
      <c r="B1146" t="s">
        <v>383</v>
      </c>
      <c r="C1146" t="s">
        <v>478</v>
      </c>
      <c r="E1146" t="s">
        <v>477</v>
      </c>
      <c r="F1146" t="s">
        <v>530</v>
      </c>
      <c r="G1146" t="s">
        <v>575</v>
      </c>
    </row>
    <row r="1147" spans="1:7" x14ac:dyDescent="0.2">
      <c r="A1147" t="s">
        <v>264</v>
      </c>
      <c r="B1147" t="s">
        <v>384</v>
      </c>
      <c r="C1147" t="s">
        <v>478</v>
      </c>
      <c r="E1147" t="s">
        <v>477</v>
      </c>
      <c r="F1147" t="s">
        <v>516</v>
      </c>
      <c r="G1147" t="s">
        <v>575</v>
      </c>
    </row>
    <row r="1148" spans="1:7" x14ac:dyDescent="0.2">
      <c r="A1148" t="s">
        <v>284</v>
      </c>
      <c r="B1148" t="s">
        <v>385</v>
      </c>
      <c r="C1148" t="s">
        <v>477</v>
      </c>
      <c r="E1148" t="s">
        <v>477</v>
      </c>
      <c r="F1148" t="s">
        <v>539</v>
      </c>
      <c r="G1148" t="s">
        <v>570</v>
      </c>
    </row>
    <row r="1149" spans="1:7" x14ac:dyDescent="0.2">
      <c r="A1149" t="s">
        <v>285</v>
      </c>
      <c r="B1149" t="s">
        <v>386</v>
      </c>
      <c r="C1149" t="s">
        <v>477</v>
      </c>
      <c r="E1149" t="s">
        <v>477</v>
      </c>
      <c r="F1149" t="s">
        <v>531</v>
      </c>
      <c r="G1149" t="s">
        <v>570</v>
      </c>
    </row>
    <row r="1150" spans="1:7" x14ac:dyDescent="0.2">
      <c r="A1150" t="s">
        <v>286</v>
      </c>
      <c r="B1150" t="s">
        <v>387</v>
      </c>
      <c r="C1150" t="s">
        <v>486</v>
      </c>
      <c r="E1150" t="s">
        <v>486</v>
      </c>
      <c r="F1150" t="s">
        <v>540</v>
      </c>
      <c r="G1150" t="s">
        <v>572</v>
      </c>
    </row>
    <row r="1151" spans="1:7" x14ac:dyDescent="0.2">
      <c r="A1151" t="s">
        <v>286</v>
      </c>
      <c r="B1151" t="s">
        <v>388</v>
      </c>
      <c r="C1151" t="s">
        <v>491</v>
      </c>
      <c r="E1151" t="s">
        <v>491</v>
      </c>
      <c r="F1151" t="s">
        <v>524</v>
      </c>
      <c r="G1151" t="s">
        <v>573</v>
      </c>
    </row>
    <row r="1152" spans="1:7" x14ac:dyDescent="0.2">
      <c r="A1152" t="s">
        <v>286</v>
      </c>
      <c r="B1152" t="s">
        <v>389</v>
      </c>
      <c r="C1152" t="s">
        <v>491</v>
      </c>
      <c r="E1152" t="s">
        <v>491</v>
      </c>
      <c r="F1152" t="s">
        <v>524</v>
      </c>
      <c r="G1152" t="s">
        <v>573</v>
      </c>
    </row>
    <row r="1153" spans="1:7" x14ac:dyDescent="0.2">
      <c r="A1153" t="s">
        <v>286</v>
      </c>
      <c r="B1153" t="s">
        <v>390</v>
      </c>
      <c r="C1153" t="s">
        <v>491</v>
      </c>
      <c r="E1153" t="s">
        <v>491</v>
      </c>
      <c r="F1153" t="s">
        <v>524</v>
      </c>
      <c r="G1153" t="s">
        <v>573</v>
      </c>
    </row>
    <row r="1154" spans="1:7" x14ac:dyDescent="0.2">
      <c r="A1154" t="s">
        <v>286</v>
      </c>
      <c r="B1154" t="s">
        <v>391</v>
      </c>
      <c r="C1154" t="s">
        <v>491</v>
      </c>
      <c r="E1154" t="s">
        <v>491</v>
      </c>
      <c r="F1154" t="s">
        <v>524</v>
      </c>
      <c r="G1154" t="s">
        <v>573</v>
      </c>
    </row>
    <row r="1155" spans="1:7" x14ac:dyDescent="0.2">
      <c r="A1155" t="s">
        <v>286</v>
      </c>
      <c r="B1155" t="s">
        <v>392</v>
      </c>
      <c r="C1155" t="s">
        <v>491</v>
      </c>
      <c r="E1155" t="s">
        <v>491</v>
      </c>
      <c r="F1155" t="s">
        <v>524</v>
      </c>
      <c r="G1155" t="s">
        <v>573</v>
      </c>
    </row>
    <row r="1156" spans="1:7" x14ac:dyDescent="0.2">
      <c r="A1156" t="s">
        <v>286</v>
      </c>
      <c r="B1156" t="s">
        <v>393</v>
      </c>
      <c r="C1156" t="s">
        <v>491</v>
      </c>
      <c r="E1156" t="s">
        <v>491</v>
      </c>
      <c r="F1156" t="s">
        <v>524</v>
      </c>
      <c r="G1156" t="s">
        <v>573</v>
      </c>
    </row>
    <row r="1157" spans="1:7" x14ac:dyDescent="0.2">
      <c r="A1157" t="s">
        <v>286</v>
      </c>
      <c r="B1157" t="s">
        <v>394</v>
      </c>
      <c r="C1157" t="s">
        <v>491</v>
      </c>
      <c r="E1157" t="s">
        <v>491</v>
      </c>
      <c r="F1157" t="s">
        <v>524</v>
      </c>
      <c r="G1157" t="s">
        <v>573</v>
      </c>
    </row>
    <row r="1158" spans="1:7" x14ac:dyDescent="0.2">
      <c r="A1158" t="s">
        <v>286</v>
      </c>
      <c r="B1158" t="s">
        <v>394</v>
      </c>
      <c r="C1158" t="s">
        <v>491</v>
      </c>
      <c r="E1158" t="s">
        <v>491</v>
      </c>
      <c r="F1158" t="s">
        <v>524</v>
      </c>
      <c r="G1158" t="s">
        <v>573</v>
      </c>
    </row>
    <row r="1159" spans="1:7" x14ac:dyDescent="0.2">
      <c r="A1159" t="s">
        <v>286</v>
      </c>
      <c r="B1159" t="s">
        <v>395</v>
      </c>
      <c r="C1159" t="s">
        <v>491</v>
      </c>
      <c r="E1159" t="s">
        <v>491</v>
      </c>
      <c r="F1159" t="s">
        <v>524</v>
      </c>
      <c r="G1159" t="s">
        <v>573</v>
      </c>
    </row>
    <row r="1160" spans="1:7" x14ac:dyDescent="0.2">
      <c r="A1160" t="s">
        <v>286</v>
      </c>
      <c r="B1160" t="s">
        <v>396</v>
      </c>
      <c r="C1160" t="s">
        <v>486</v>
      </c>
      <c r="E1160" t="s">
        <v>486</v>
      </c>
      <c r="F1160" t="s">
        <v>541</v>
      </c>
      <c r="G1160" t="s">
        <v>573</v>
      </c>
    </row>
    <row r="1161" spans="1:7" x14ac:dyDescent="0.2">
      <c r="A1161" t="s">
        <v>286</v>
      </c>
      <c r="B1161" t="s">
        <v>397</v>
      </c>
      <c r="C1161" t="s">
        <v>486</v>
      </c>
      <c r="E1161" t="s">
        <v>486</v>
      </c>
      <c r="F1161" t="s">
        <v>541</v>
      </c>
      <c r="G1161" t="s">
        <v>573</v>
      </c>
    </row>
    <row r="1162" spans="1:7" x14ac:dyDescent="0.2">
      <c r="A1162" t="s">
        <v>286</v>
      </c>
      <c r="B1162" t="s">
        <v>398</v>
      </c>
      <c r="C1162" t="s">
        <v>486</v>
      </c>
      <c r="E1162" t="s">
        <v>486</v>
      </c>
      <c r="F1162" t="s">
        <v>541</v>
      </c>
      <c r="G1162" t="s">
        <v>573</v>
      </c>
    </row>
    <row r="1163" spans="1:7" x14ac:dyDescent="0.2">
      <c r="A1163" t="s">
        <v>287</v>
      </c>
      <c r="B1163" t="s">
        <v>399</v>
      </c>
      <c r="C1163" t="s">
        <v>477</v>
      </c>
      <c r="E1163" t="s">
        <v>477</v>
      </c>
      <c r="F1163" t="s">
        <v>542</v>
      </c>
      <c r="G1163" t="s">
        <v>573</v>
      </c>
    </row>
    <row r="1164" spans="1:7" x14ac:dyDescent="0.2">
      <c r="A1164" t="s">
        <v>288</v>
      </c>
      <c r="B1164" t="s">
        <v>400</v>
      </c>
      <c r="C1164" t="s">
        <v>477</v>
      </c>
      <c r="E1164" t="s">
        <v>477</v>
      </c>
      <c r="F1164" t="s">
        <v>543</v>
      </c>
      <c r="G1164" t="s">
        <v>573</v>
      </c>
    </row>
    <row r="1165" spans="1:7" x14ac:dyDescent="0.2">
      <c r="A1165" t="s">
        <v>285</v>
      </c>
      <c r="B1165" t="s">
        <v>401</v>
      </c>
      <c r="C1165" t="s">
        <v>477</v>
      </c>
      <c r="E1165" t="s">
        <v>477</v>
      </c>
      <c r="F1165" t="s">
        <v>529</v>
      </c>
      <c r="G1165" t="s">
        <v>570</v>
      </c>
    </row>
    <row r="1166" spans="1:7" x14ac:dyDescent="0.2">
      <c r="A1166" t="s">
        <v>289</v>
      </c>
      <c r="B1166" t="s">
        <v>402</v>
      </c>
      <c r="C1166" t="s">
        <v>492</v>
      </c>
      <c r="E1166" t="s">
        <v>492</v>
      </c>
      <c r="F1166" t="s">
        <v>529</v>
      </c>
      <c r="G1166" t="s">
        <v>572</v>
      </c>
    </row>
    <row r="1167" spans="1:7" x14ac:dyDescent="0.2">
      <c r="A1167" t="s">
        <v>289</v>
      </c>
      <c r="B1167" t="s">
        <v>403</v>
      </c>
      <c r="C1167" t="s">
        <v>492</v>
      </c>
      <c r="E1167" t="s">
        <v>492</v>
      </c>
      <c r="F1167" t="s">
        <v>543</v>
      </c>
      <c r="G1167" t="s">
        <v>572</v>
      </c>
    </row>
    <row r="1168" spans="1:7" x14ac:dyDescent="0.2">
      <c r="A1168" t="s">
        <v>289</v>
      </c>
      <c r="B1168" t="s">
        <v>404</v>
      </c>
      <c r="C1168" t="s">
        <v>492</v>
      </c>
      <c r="E1168" t="s">
        <v>492</v>
      </c>
      <c r="F1168" t="s">
        <v>529</v>
      </c>
      <c r="G1168" t="s">
        <v>572</v>
      </c>
    </row>
    <row r="1169" spans="1:7" x14ac:dyDescent="0.2">
      <c r="A1169" t="s">
        <v>286</v>
      </c>
      <c r="B1169" t="s">
        <v>405</v>
      </c>
      <c r="C1169" t="s">
        <v>486</v>
      </c>
      <c r="E1169" t="s">
        <v>486</v>
      </c>
      <c r="F1169" t="s">
        <v>540</v>
      </c>
      <c r="G1169" t="s">
        <v>572</v>
      </c>
    </row>
    <row r="1170" spans="1:7" x14ac:dyDescent="0.2">
      <c r="A1170" t="s">
        <v>286</v>
      </c>
      <c r="B1170" t="s">
        <v>406</v>
      </c>
      <c r="C1170" t="s">
        <v>486</v>
      </c>
      <c r="E1170" t="s">
        <v>486</v>
      </c>
      <c r="F1170" t="s">
        <v>536</v>
      </c>
      <c r="G1170" t="s">
        <v>572</v>
      </c>
    </row>
    <row r="1171" spans="1:7" x14ac:dyDescent="0.2">
      <c r="A1171" t="s">
        <v>290</v>
      </c>
      <c r="B1171" t="s">
        <v>407</v>
      </c>
      <c r="C1171" t="s">
        <v>478</v>
      </c>
      <c r="E1171" t="s">
        <v>478</v>
      </c>
      <c r="F1171" t="s">
        <v>544</v>
      </c>
      <c r="G1171" t="s">
        <v>569</v>
      </c>
    </row>
    <row r="1172" spans="1:7" x14ac:dyDescent="0.2">
      <c r="A1172" t="s">
        <v>291</v>
      </c>
      <c r="B1172" t="s">
        <v>408</v>
      </c>
      <c r="C1172" t="s">
        <v>478</v>
      </c>
      <c r="E1172" t="s">
        <v>478</v>
      </c>
      <c r="F1172" t="s">
        <v>545</v>
      </c>
      <c r="G1172" t="s">
        <v>576</v>
      </c>
    </row>
    <row r="1173" spans="1:7" x14ac:dyDescent="0.2">
      <c r="A1173" t="s">
        <v>292</v>
      </c>
      <c r="B1173" t="s">
        <v>409</v>
      </c>
      <c r="C1173" t="s">
        <v>478</v>
      </c>
      <c r="E1173" t="s">
        <v>478</v>
      </c>
      <c r="F1173" t="s">
        <v>546</v>
      </c>
      <c r="G1173" t="s">
        <v>576</v>
      </c>
    </row>
    <row r="1174" spans="1:7" x14ac:dyDescent="0.2">
      <c r="A1174" t="s">
        <v>292</v>
      </c>
      <c r="B1174" t="s">
        <v>410</v>
      </c>
      <c r="C1174" t="s">
        <v>478</v>
      </c>
      <c r="E1174" t="s">
        <v>478</v>
      </c>
      <c r="F1174" t="s">
        <v>547</v>
      </c>
      <c r="G1174" t="s">
        <v>576</v>
      </c>
    </row>
    <row r="1175" spans="1:7" x14ac:dyDescent="0.2">
      <c r="A1175" t="s">
        <v>268</v>
      </c>
      <c r="B1175" t="s">
        <v>411</v>
      </c>
      <c r="C1175" t="s">
        <v>478</v>
      </c>
      <c r="E1175" t="s">
        <v>478</v>
      </c>
      <c r="F1175" t="s">
        <v>520</v>
      </c>
      <c r="G1175" t="s">
        <v>576</v>
      </c>
    </row>
    <row r="1176" spans="1:7" x14ac:dyDescent="0.2">
      <c r="A1176" t="s">
        <v>293</v>
      </c>
      <c r="B1176" t="s">
        <v>412</v>
      </c>
      <c r="C1176" t="s">
        <v>478</v>
      </c>
      <c r="E1176" t="s">
        <v>478</v>
      </c>
      <c r="F1176" t="s">
        <v>536</v>
      </c>
      <c r="G1176" t="s">
        <v>571</v>
      </c>
    </row>
    <row r="1177" spans="1:7" x14ac:dyDescent="0.2">
      <c r="A1177" t="s">
        <v>294</v>
      </c>
      <c r="B1177" t="s">
        <v>413</v>
      </c>
      <c r="C1177" t="s">
        <v>493</v>
      </c>
      <c r="E1177" t="s">
        <v>493</v>
      </c>
      <c r="F1177" t="s">
        <v>548</v>
      </c>
      <c r="G1177" t="s">
        <v>577</v>
      </c>
    </row>
    <row r="1178" spans="1:7" x14ac:dyDescent="0.2">
      <c r="A1178" t="s">
        <v>295</v>
      </c>
      <c r="B1178" t="s">
        <v>414</v>
      </c>
      <c r="C1178" t="s">
        <v>494</v>
      </c>
      <c r="E1178" t="s">
        <v>494</v>
      </c>
      <c r="F1178" t="s">
        <v>549</v>
      </c>
      <c r="G1178" t="s">
        <v>577</v>
      </c>
    </row>
    <row r="1179" spans="1:7" x14ac:dyDescent="0.2">
      <c r="A1179" t="s">
        <v>296</v>
      </c>
      <c r="B1179" t="s">
        <v>415</v>
      </c>
      <c r="C1179" t="s">
        <v>494</v>
      </c>
      <c r="E1179" t="s">
        <v>494</v>
      </c>
      <c r="F1179" t="s">
        <v>550</v>
      </c>
      <c r="G1179" t="s">
        <v>577</v>
      </c>
    </row>
    <row r="1180" spans="1:7" x14ac:dyDescent="0.2">
      <c r="A1180" t="s">
        <v>297</v>
      </c>
      <c r="B1180" t="s">
        <v>416</v>
      </c>
      <c r="C1180" t="s">
        <v>488</v>
      </c>
      <c r="E1180" t="s">
        <v>488</v>
      </c>
      <c r="F1180" t="s">
        <v>551</v>
      </c>
      <c r="G1180" t="s">
        <v>577</v>
      </c>
    </row>
    <row r="1181" spans="1:7" x14ac:dyDescent="0.2">
      <c r="A1181" t="s">
        <v>298</v>
      </c>
      <c r="B1181" t="s">
        <v>417</v>
      </c>
      <c r="C1181" t="s">
        <v>495</v>
      </c>
      <c r="E1181" t="s">
        <v>495</v>
      </c>
      <c r="F1181" t="s">
        <v>552</v>
      </c>
      <c r="G1181" t="s">
        <v>577</v>
      </c>
    </row>
    <row r="1182" spans="1:7" x14ac:dyDescent="0.2">
      <c r="A1182" t="s">
        <v>299</v>
      </c>
      <c r="B1182" t="s">
        <v>418</v>
      </c>
      <c r="C1182" t="s">
        <v>496</v>
      </c>
      <c r="E1182" t="s">
        <v>496</v>
      </c>
      <c r="F1182" t="s">
        <v>516</v>
      </c>
      <c r="G1182" t="s">
        <v>577</v>
      </c>
    </row>
    <row r="1183" spans="1:7" x14ac:dyDescent="0.2">
      <c r="A1183" t="s">
        <v>300</v>
      </c>
      <c r="B1183" t="s">
        <v>419</v>
      </c>
      <c r="C1183" t="s">
        <v>497</v>
      </c>
      <c r="E1183" t="s">
        <v>497</v>
      </c>
      <c r="F1183" t="s">
        <v>553</v>
      </c>
      <c r="G1183" t="s">
        <v>577</v>
      </c>
    </row>
    <row r="1184" spans="1:7" x14ac:dyDescent="0.2">
      <c r="A1184" t="s">
        <v>301</v>
      </c>
      <c r="B1184" t="s">
        <v>420</v>
      </c>
      <c r="C1184" t="s">
        <v>478</v>
      </c>
      <c r="E1184" t="s">
        <v>478</v>
      </c>
      <c r="F1184" t="s">
        <v>516</v>
      </c>
      <c r="G1184" t="s">
        <v>576</v>
      </c>
    </row>
    <row r="1185" spans="1:7" x14ac:dyDescent="0.2">
      <c r="A1185" t="s">
        <v>283</v>
      </c>
      <c r="B1185" t="s">
        <v>421</v>
      </c>
      <c r="C1185" t="s">
        <v>477</v>
      </c>
      <c r="E1185" t="s">
        <v>477</v>
      </c>
      <c r="F1185" t="s">
        <v>540</v>
      </c>
      <c r="G1185" t="s">
        <v>578</v>
      </c>
    </row>
    <row r="1186" spans="1:7" x14ac:dyDescent="0.2">
      <c r="A1186" t="s">
        <v>264</v>
      </c>
      <c r="B1186" t="s">
        <v>422</v>
      </c>
      <c r="C1186" t="s">
        <v>477</v>
      </c>
      <c r="E1186" t="s">
        <v>477</v>
      </c>
      <c r="F1186" t="s">
        <v>541</v>
      </c>
      <c r="G1186" t="s">
        <v>578</v>
      </c>
    </row>
    <row r="1187" spans="1:7" x14ac:dyDescent="0.2">
      <c r="A1187" t="s">
        <v>264</v>
      </c>
      <c r="B1187" t="s">
        <v>423</v>
      </c>
      <c r="C1187" t="s">
        <v>478</v>
      </c>
      <c r="E1187" t="s">
        <v>478</v>
      </c>
      <c r="F1187" t="s">
        <v>516</v>
      </c>
      <c r="G1187" t="s">
        <v>578</v>
      </c>
    </row>
    <row r="1188" spans="1:7" x14ac:dyDescent="0.2">
      <c r="A1188" t="s">
        <v>301</v>
      </c>
      <c r="B1188" t="s">
        <v>424</v>
      </c>
      <c r="C1188" t="s">
        <v>478</v>
      </c>
      <c r="E1188" t="s">
        <v>478</v>
      </c>
      <c r="F1188" t="s">
        <v>537</v>
      </c>
      <c r="G1188" t="s">
        <v>576</v>
      </c>
    </row>
    <row r="1189" spans="1:7" x14ac:dyDescent="0.2">
      <c r="A1189" t="s">
        <v>283</v>
      </c>
      <c r="B1189" t="s">
        <v>425</v>
      </c>
      <c r="C1189" t="s">
        <v>498</v>
      </c>
      <c r="E1189" t="s">
        <v>498</v>
      </c>
      <c r="F1189" t="s">
        <v>529</v>
      </c>
      <c r="G1189" t="s">
        <v>578</v>
      </c>
    </row>
    <row r="1190" spans="1:7" x14ac:dyDescent="0.2">
      <c r="A1190" t="s">
        <v>302</v>
      </c>
      <c r="B1190" t="s">
        <v>426</v>
      </c>
      <c r="C1190" t="s">
        <v>478</v>
      </c>
      <c r="E1190" t="s">
        <v>478</v>
      </c>
      <c r="F1190" t="s">
        <v>529</v>
      </c>
      <c r="G1190" t="s">
        <v>579</v>
      </c>
    </row>
    <row r="1191" spans="1:7" x14ac:dyDescent="0.2">
      <c r="A1191" t="s">
        <v>285</v>
      </c>
      <c r="B1191" t="s">
        <v>427</v>
      </c>
      <c r="C1191" t="s">
        <v>499</v>
      </c>
      <c r="E1191" t="s">
        <v>499</v>
      </c>
      <c r="F1191" t="s">
        <v>542</v>
      </c>
      <c r="G1191" t="s">
        <v>577</v>
      </c>
    </row>
    <row r="1192" spans="1:7" x14ac:dyDescent="0.2">
      <c r="A1192" t="s">
        <v>303</v>
      </c>
      <c r="B1192" t="s">
        <v>428</v>
      </c>
      <c r="C1192" t="s">
        <v>500</v>
      </c>
      <c r="E1192" t="s">
        <v>500</v>
      </c>
      <c r="F1192" t="s">
        <v>546</v>
      </c>
      <c r="G1192" t="s">
        <v>577</v>
      </c>
    </row>
    <row r="1193" spans="1:7" x14ac:dyDescent="0.2">
      <c r="A1193" t="s">
        <v>304</v>
      </c>
      <c r="B1193" t="s">
        <v>429</v>
      </c>
      <c r="C1193" t="s">
        <v>478</v>
      </c>
      <c r="E1193" t="s">
        <v>478</v>
      </c>
      <c r="F1193" t="s">
        <v>554</v>
      </c>
      <c r="G1193" t="s">
        <v>569</v>
      </c>
    </row>
    <row r="1194" spans="1:7" x14ac:dyDescent="0.2">
      <c r="A1194" t="s">
        <v>277</v>
      </c>
      <c r="B1194" t="s">
        <v>430</v>
      </c>
      <c r="C1194" t="s">
        <v>478</v>
      </c>
      <c r="E1194" t="s">
        <v>478</v>
      </c>
      <c r="F1194" t="s">
        <v>539</v>
      </c>
      <c r="G1194" t="s">
        <v>571</v>
      </c>
    </row>
    <row r="1195" spans="1:7" x14ac:dyDescent="0.2">
      <c r="A1195" t="s">
        <v>277</v>
      </c>
      <c r="B1195" t="s">
        <v>431</v>
      </c>
      <c r="C1195" t="s">
        <v>478</v>
      </c>
      <c r="E1195" t="s">
        <v>478</v>
      </c>
      <c r="F1195" t="s">
        <v>534</v>
      </c>
      <c r="G1195" t="s">
        <v>571</v>
      </c>
    </row>
    <row r="1196" spans="1:7" x14ac:dyDescent="0.2">
      <c r="A1196" t="s">
        <v>277</v>
      </c>
      <c r="B1196" t="s">
        <v>432</v>
      </c>
      <c r="C1196" t="s">
        <v>501</v>
      </c>
      <c r="E1196" t="s">
        <v>501</v>
      </c>
      <c r="F1196" t="s">
        <v>555</v>
      </c>
      <c r="G1196" t="s">
        <v>571</v>
      </c>
    </row>
    <row r="1197" spans="1:7" x14ac:dyDescent="0.2">
      <c r="A1197" t="s">
        <v>263</v>
      </c>
      <c r="B1197" t="s">
        <v>433</v>
      </c>
      <c r="C1197" t="s">
        <v>502</v>
      </c>
      <c r="E1197" t="s">
        <v>502</v>
      </c>
      <c r="F1197" t="s">
        <v>556</v>
      </c>
      <c r="G1197" t="s">
        <v>580</v>
      </c>
    </row>
    <row r="1198" spans="1:7" x14ac:dyDescent="0.2">
      <c r="A1198" t="s">
        <v>268</v>
      </c>
      <c r="B1198" t="s">
        <v>434</v>
      </c>
      <c r="C1198" t="s">
        <v>478</v>
      </c>
      <c r="E1198" t="s">
        <v>478</v>
      </c>
      <c r="F1198" t="s">
        <v>520</v>
      </c>
      <c r="G1198" t="s">
        <v>571</v>
      </c>
    </row>
    <row r="1199" spans="1:7" x14ac:dyDescent="0.2">
      <c r="A1199" t="s">
        <v>305</v>
      </c>
      <c r="B1199" t="s">
        <v>435</v>
      </c>
      <c r="C1199" t="s">
        <v>478</v>
      </c>
      <c r="E1199" t="s">
        <v>478</v>
      </c>
      <c r="F1199" t="s">
        <v>557</v>
      </c>
      <c r="G1199" t="s">
        <v>569</v>
      </c>
    </row>
    <row r="1200" spans="1:7" x14ac:dyDescent="0.2">
      <c r="A1200" t="s">
        <v>306</v>
      </c>
      <c r="B1200" t="s">
        <v>436</v>
      </c>
      <c r="C1200" t="s">
        <v>478</v>
      </c>
      <c r="E1200" t="s">
        <v>478</v>
      </c>
      <c r="F1200" t="s">
        <v>558</v>
      </c>
      <c r="G1200" t="s">
        <v>569</v>
      </c>
    </row>
    <row r="1201" spans="1:7" x14ac:dyDescent="0.2">
      <c r="A1201" t="s">
        <v>307</v>
      </c>
      <c r="B1201" t="s">
        <v>437</v>
      </c>
      <c r="C1201" t="s">
        <v>478</v>
      </c>
      <c r="E1201" t="s">
        <v>478</v>
      </c>
      <c r="F1201" t="s">
        <v>559</v>
      </c>
      <c r="G1201" t="s">
        <v>574</v>
      </c>
    </row>
    <row r="1202" spans="1:7" x14ac:dyDescent="0.2">
      <c r="A1202" t="s">
        <v>308</v>
      </c>
      <c r="B1202" t="s">
        <v>438</v>
      </c>
      <c r="C1202" t="s">
        <v>478</v>
      </c>
      <c r="E1202" t="s">
        <v>478</v>
      </c>
      <c r="F1202" t="s">
        <v>560</v>
      </c>
      <c r="G1202" t="s">
        <v>569</v>
      </c>
    </row>
    <row r="1203" spans="1:7" x14ac:dyDescent="0.2">
      <c r="A1203" t="s">
        <v>309</v>
      </c>
      <c r="B1203" t="s">
        <v>439</v>
      </c>
      <c r="C1203" t="s">
        <v>478</v>
      </c>
      <c r="E1203" t="s">
        <v>478</v>
      </c>
      <c r="F1203" t="s">
        <v>558</v>
      </c>
      <c r="G1203" t="s">
        <v>574</v>
      </c>
    </row>
    <row r="1204" spans="1:7" x14ac:dyDescent="0.2">
      <c r="A1204" t="s">
        <v>310</v>
      </c>
      <c r="B1204" t="s">
        <v>440</v>
      </c>
      <c r="C1204" t="s">
        <v>478</v>
      </c>
      <c r="E1204" t="s">
        <v>478</v>
      </c>
      <c r="F1204" t="s">
        <v>561</v>
      </c>
      <c r="G1204" t="s">
        <v>569</v>
      </c>
    </row>
    <row r="1205" spans="1:7" x14ac:dyDescent="0.2">
      <c r="A1205" t="s">
        <v>311</v>
      </c>
      <c r="B1205" t="s">
        <v>441</v>
      </c>
      <c r="C1205" t="s">
        <v>481</v>
      </c>
      <c r="E1205" t="s">
        <v>481</v>
      </c>
      <c r="F1205" t="s">
        <v>527</v>
      </c>
      <c r="G1205" t="s">
        <v>580</v>
      </c>
    </row>
    <row r="1206" spans="1:7" x14ac:dyDescent="0.2">
      <c r="A1206" t="s">
        <v>311</v>
      </c>
      <c r="B1206" t="s">
        <v>442</v>
      </c>
      <c r="C1206" t="s">
        <v>482</v>
      </c>
      <c r="E1206" t="s">
        <v>482</v>
      </c>
      <c r="F1206" t="s">
        <v>562</v>
      </c>
      <c r="G1206" t="s">
        <v>580</v>
      </c>
    </row>
    <row r="1207" spans="1:7" x14ac:dyDescent="0.2">
      <c r="A1207" t="s">
        <v>311</v>
      </c>
      <c r="B1207" t="s">
        <v>443</v>
      </c>
      <c r="C1207" t="s">
        <v>481</v>
      </c>
      <c r="E1207" t="s">
        <v>481</v>
      </c>
      <c r="F1207" t="s">
        <v>563</v>
      </c>
      <c r="G1207" t="s">
        <v>580</v>
      </c>
    </row>
    <row r="1208" spans="1:7" x14ac:dyDescent="0.2">
      <c r="A1208" t="s">
        <v>312</v>
      </c>
      <c r="B1208" t="s">
        <v>444</v>
      </c>
      <c r="C1208" t="s">
        <v>481</v>
      </c>
      <c r="E1208" t="s">
        <v>481</v>
      </c>
      <c r="F1208" t="s">
        <v>526</v>
      </c>
      <c r="G1208" t="s">
        <v>580</v>
      </c>
    </row>
    <row r="1209" spans="1:7" x14ac:dyDescent="0.2">
      <c r="A1209" t="s">
        <v>286</v>
      </c>
      <c r="B1209" t="s">
        <v>445</v>
      </c>
      <c r="C1209" t="s">
        <v>486</v>
      </c>
      <c r="E1209" t="s">
        <v>486</v>
      </c>
      <c r="F1209" t="s">
        <v>542</v>
      </c>
      <c r="G1209" t="s">
        <v>580</v>
      </c>
    </row>
    <row r="1210" spans="1:7" x14ac:dyDescent="0.2">
      <c r="A1210" t="s">
        <v>286</v>
      </c>
      <c r="B1210" t="s">
        <v>446</v>
      </c>
      <c r="C1210" t="s">
        <v>486</v>
      </c>
      <c r="E1210" t="s">
        <v>486</v>
      </c>
      <c r="F1210" t="s">
        <v>541</v>
      </c>
      <c r="G1210" t="s">
        <v>580</v>
      </c>
    </row>
    <row r="1211" spans="1:7" x14ac:dyDescent="0.2">
      <c r="A1211" t="s">
        <v>313</v>
      </c>
      <c r="B1211" t="s">
        <v>447</v>
      </c>
      <c r="C1211" t="s">
        <v>478</v>
      </c>
      <c r="E1211" t="s">
        <v>478</v>
      </c>
      <c r="F1211" t="s">
        <v>516</v>
      </c>
      <c r="G1211" t="s">
        <v>569</v>
      </c>
    </row>
    <row r="1212" spans="1:7" x14ac:dyDescent="0.2">
      <c r="A1212" t="s">
        <v>314</v>
      </c>
      <c r="B1212" t="s">
        <v>448</v>
      </c>
      <c r="C1212" t="s">
        <v>478</v>
      </c>
      <c r="E1212" t="s">
        <v>478</v>
      </c>
      <c r="F1212" t="s">
        <v>516</v>
      </c>
      <c r="G1212" t="s">
        <v>569</v>
      </c>
    </row>
    <row r="1213" spans="1:7" x14ac:dyDescent="0.2">
      <c r="A1213" t="s">
        <v>315</v>
      </c>
      <c r="B1213" t="s">
        <v>449</v>
      </c>
      <c r="C1213" t="s">
        <v>478</v>
      </c>
      <c r="E1213" t="s">
        <v>478</v>
      </c>
      <c r="F1213" t="s">
        <v>530</v>
      </c>
      <c r="G1213" t="s">
        <v>569</v>
      </c>
    </row>
    <row r="1214" spans="1:7" x14ac:dyDescent="0.2">
      <c r="A1214" t="s">
        <v>315</v>
      </c>
      <c r="B1214" t="s">
        <v>450</v>
      </c>
      <c r="C1214" t="s">
        <v>478</v>
      </c>
      <c r="E1214" t="s">
        <v>478</v>
      </c>
      <c r="F1214" t="s">
        <v>530</v>
      </c>
      <c r="G1214" t="s">
        <v>569</v>
      </c>
    </row>
    <row r="1215" spans="1:7" x14ac:dyDescent="0.2">
      <c r="A1215" t="s">
        <v>315</v>
      </c>
      <c r="B1215" t="s">
        <v>451</v>
      </c>
      <c r="C1215" t="s">
        <v>478</v>
      </c>
      <c r="E1215" t="s">
        <v>478</v>
      </c>
      <c r="F1215" t="s">
        <v>530</v>
      </c>
      <c r="G1215" t="s">
        <v>569</v>
      </c>
    </row>
    <row r="1216" spans="1:7" x14ac:dyDescent="0.2">
      <c r="A1216" t="s">
        <v>313</v>
      </c>
      <c r="B1216" t="s">
        <v>452</v>
      </c>
      <c r="C1216" t="s">
        <v>478</v>
      </c>
      <c r="E1216" t="s">
        <v>478</v>
      </c>
      <c r="F1216" t="s">
        <v>524</v>
      </c>
      <c r="G1216" t="s">
        <v>569</v>
      </c>
    </row>
    <row r="1217" spans="1:7" x14ac:dyDescent="0.2">
      <c r="A1217" t="s">
        <v>314</v>
      </c>
      <c r="B1217" t="s">
        <v>453</v>
      </c>
      <c r="C1217" t="s">
        <v>478</v>
      </c>
      <c r="E1217" t="s">
        <v>478</v>
      </c>
      <c r="F1217" t="s">
        <v>538</v>
      </c>
      <c r="G1217" t="s">
        <v>569</v>
      </c>
    </row>
    <row r="1218" spans="1:7" x14ac:dyDescent="0.2">
      <c r="A1218" t="s">
        <v>314</v>
      </c>
      <c r="B1218" t="s">
        <v>454</v>
      </c>
      <c r="C1218" t="s">
        <v>478</v>
      </c>
      <c r="E1218" t="s">
        <v>478</v>
      </c>
      <c r="F1218" t="s">
        <v>530</v>
      </c>
      <c r="G1218" t="s">
        <v>569</v>
      </c>
    </row>
    <row r="1219" spans="1:7" x14ac:dyDescent="0.2">
      <c r="A1219" t="s">
        <v>314</v>
      </c>
      <c r="B1219" t="s">
        <v>455</v>
      </c>
      <c r="C1219" t="s">
        <v>478</v>
      </c>
      <c r="E1219" t="s">
        <v>478</v>
      </c>
      <c r="F1219" t="s">
        <v>538</v>
      </c>
      <c r="G1219" t="s">
        <v>569</v>
      </c>
    </row>
    <row r="1220" spans="1:7" x14ac:dyDescent="0.2">
      <c r="A1220" t="s">
        <v>314</v>
      </c>
      <c r="B1220" t="s">
        <v>456</v>
      </c>
      <c r="C1220" t="s">
        <v>478</v>
      </c>
      <c r="E1220" t="s">
        <v>478</v>
      </c>
      <c r="F1220" t="s">
        <v>530</v>
      </c>
      <c r="G1220" t="s">
        <v>569</v>
      </c>
    </row>
    <row r="1221" spans="1:7" x14ac:dyDescent="0.2">
      <c r="A1221" t="s">
        <v>277</v>
      </c>
      <c r="B1221" t="s">
        <v>457</v>
      </c>
      <c r="C1221" t="s">
        <v>501</v>
      </c>
      <c r="E1221" t="s">
        <v>501</v>
      </c>
      <c r="F1221" t="s">
        <v>564</v>
      </c>
      <c r="G1221" t="s">
        <v>571</v>
      </c>
    </row>
    <row r="1222" spans="1:7" x14ac:dyDescent="0.2">
      <c r="A1222" t="s">
        <v>263</v>
      </c>
      <c r="B1222" t="s">
        <v>458</v>
      </c>
      <c r="C1222" t="s">
        <v>476</v>
      </c>
      <c r="E1222" t="s">
        <v>476</v>
      </c>
      <c r="F1222" t="s">
        <v>565</v>
      </c>
      <c r="G1222" t="s">
        <v>580</v>
      </c>
    </row>
    <row r="1223" spans="1:7" x14ac:dyDescent="0.2">
      <c r="A1223" t="s">
        <v>316</v>
      </c>
      <c r="B1223" t="s">
        <v>459</v>
      </c>
      <c r="C1223" t="s">
        <v>478</v>
      </c>
      <c r="E1223" t="s">
        <v>478</v>
      </c>
      <c r="F1223" t="s">
        <v>557</v>
      </c>
      <c r="G1223" t="s">
        <v>569</v>
      </c>
    </row>
    <row r="1224" spans="1:7" x14ac:dyDescent="0.2">
      <c r="A1224" t="s">
        <v>317</v>
      </c>
      <c r="B1224" t="s">
        <v>460</v>
      </c>
      <c r="C1224" t="s">
        <v>478</v>
      </c>
      <c r="E1224" t="s">
        <v>478</v>
      </c>
      <c r="F1224" t="s">
        <v>560</v>
      </c>
      <c r="G1224" t="s">
        <v>569</v>
      </c>
    </row>
    <row r="1225" spans="1:7" x14ac:dyDescent="0.2">
      <c r="A1225" t="s">
        <v>318</v>
      </c>
      <c r="B1225" t="s">
        <v>461</v>
      </c>
      <c r="C1225" t="s">
        <v>478</v>
      </c>
      <c r="E1225" t="s">
        <v>478</v>
      </c>
      <c r="F1225" t="s">
        <v>561</v>
      </c>
      <c r="G1225" t="s">
        <v>574</v>
      </c>
    </row>
    <row r="1226" spans="1:7" x14ac:dyDescent="0.2">
      <c r="A1226" t="s">
        <v>319</v>
      </c>
      <c r="B1226" t="s">
        <v>462</v>
      </c>
      <c r="C1226" t="s">
        <v>482</v>
      </c>
      <c r="E1226" t="s">
        <v>482</v>
      </c>
      <c r="F1226" t="s">
        <v>526</v>
      </c>
      <c r="G1226" t="s">
        <v>580</v>
      </c>
    </row>
    <row r="1227" spans="1:7" x14ac:dyDescent="0.2">
      <c r="A1227" t="s">
        <v>320</v>
      </c>
      <c r="B1227" t="s">
        <v>463</v>
      </c>
      <c r="C1227" t="s">
        <v>488</v>
      </c>
      <c r="E1227" t="s">
        <v>488</v>
      </c>
      <c r="F1227" t="s">
        <v>562</v>
      </c>
      <c r="G1227" t="s">
        <v>580</v>
      </c>
    </row>
    <row r="1228" spans="1:7" x14ac:dyDescent="0.2">
      <c r="A1228" t="s">
        <v>319</v>
      </c>
      <c r="B1228" t="s">
        <v>464</v>
      </c>
      <c r="C1228" t="s">
        <v>482</v>
      </c>
      <c r="E1228" t="s">
        <v>482</v>
      </c>
      <c r="F1228" t="s">
        <v>563</v>
      </c>
      <c r="G1228" t="s">
        <v>580</v>
      </c>
    </row>
    <row r="1229" spans="1:7" x14ac:dyDescent="0.2">
      <c r="A1229" t="s">
        <v>319</v>
      </c>
      <c r="B1229" t="s">
        <v>465</v>
      </c>
      <c r="C1229" t="s">
        <v>481</v>
      </c>
      <c r="E1229" t="s">
        <v>481</v>
      </c>
      <c r="F1229" t="s">
        <v>526</v>
      </c>
      <c r="G1229" t="s">
        <v>580</v>
      </c>
    </row>
    <row r="1230" spans="1:7" x14ac:dyDescent="0.2">
      <c r="A1230" t="s">
        <v>321</v>
      </c>
      <c r="B1230" t="s">
        <v>466</v>
      </c>
      <c r="C1230" t="s">
        <v>488</v>
      </c>
      <c r="E1230" t="s">
        <v>488</v>
      </c>
      <c r="F1230" t="s">
        <v>547</v>
      </c>
      <c r="G1230" t="s">
        <v>574</v>
      </c>
    </row>
    <row r="1231" spans="1:7" x14ac:dyDescent="0.2">
      <c r="A1231" t="s">
        <v>322</v>
      </c>
      <c r="B1231" t="s">
        <v>467</v>
      </c>
      <c r="C1231" t="s">
        <v>482</v>
      </c>
      <c r="E1231" t="s">
        <v>482</v>
      </c>
      <c r="F1231" t="s">
        <v>566</v>
      </c>
      <c r="G1231" t="s">
        <v>574</v>
      </c>
    </row>
    <row r="1232" spans="1:7" x14ac:dyDescent="0.2">
      <c r="A1232" t="s">
        <v>283</v>
      </c>
      <c r="B1232" t="s">
        <v>468</v>
      </c>
      <c r="C1232" t="s">
        <v>478</v>
      </c>
      <c r="E1232" t="s">
        <v>478</v>
      </c>
      <c r="F1232" t="s">
        <v>524</v>
      </c>
      <c r="G1232" t="s">
        <v>581</v>
      </c>
    </row>
    <row r="1233" spans="1:7" x14ac:dyDescent="0.2">
      <c r="A1233" t="s">
        <v>275</v>
      </c>
      <c r="B1233" t="s">
        <v>469</v>
      </c>
      <c r="C1233" t="s">
        <v>478</v>
      </c>
      <c r="E1233" t="s">
        <v>478</v>
      </c>
      <c r="F1233" t="s">
        <v>530</v>
      </c>
      <c r="G1233" t="s">
        <v>581</v>
      </c>
    </row>
    <row r="1234" spans="1:7" x14ac:dyDescent="0.2">
      <c r="A1234" t="s">
        <v>275</v>
      </c>
      <c r="B1234" t="s">
        <v>470</v>
      </c>
      <c r="C1234" t="s">
        <v>478</v>
      </c>
      <c r="E1234" t="s">
        <v>478</v>
      </c>
      <c r="F1234" t="s">
        <v>530</v>
      </c>
      <c r="G1234" t="s">
        <v>581</v>
      </c>
    </row>
    <row r="1235" spans="1:7" x14ac:dyDescent="0.2">
      <c r="A1235" t="s">
        <v>275</v>
      </c>
      <c r="B1235" t="s">
        <v>471</v>
      </c>
      <c r="C1235" t="s">
        <v>478</v>
      </c>
      <c r="E1235" t="s">
        <v>478</v>
      </c>
      <c r="F1235" t="s">
        <v>530</v>
      </c>
      <c r="G1235" t="s">
        <v>581</v>
      </c>
    </row>
    <row r="1236" spans="1:7" x14ac:dyDescent="0.2">
      <c r="A1236" t="s">
        <v>275</v>
      </c>
      <c r="B1236" t="s">
        <v>472</v>
      </c>
      <c r="C1236" t="s">
        <v>478</v>
      </c>
      <c r="E1236" t="s">
        <v>478</v>
      </c>
      <c r="F1236" t="s">
        <v>530</v>
      </c>
      <c r="G1236" t="s">
        <v>581</v>
      </c>
    </row>
    <row r="1237" spans="1:7" x14ac:dyDescent="0.2">
      <c r="A1237" t="s">
        <v>286</v>
      </c>
      <c r="B1237" t="s">
        <v>473</v>
      </c>
      <c r="C1237" t="s">
        <v>486</v>
      </c>
      <c r="E1237" t="s">
        <v>486</v>
      </c>
      <c r="F1237" t="s">
        <v>542</v>
      </c>
      <c r="G1237" t="s">
        <v>580</v>
      </c>
    </row>
    <row r="1238" spans="1:7" x14ac:dyDescent="0.2">
      <c r="A1238" t="s">
        <v>286</v>
      </c>
      <c r="B1238" t="s">
        <v>474</v>
      </c>
      <c r="C1238" t="s">
        <v>486</v>
      </c>
      <c r="E1238" t="s">
        <v>486</v>
      </c>
      <c r="F1238" t="s">
        <v>542</v>
      </c>
      <c r="G1238" t="s">
        <v>580</v>
      </c>
    </row>
    <row r="1239" spans="1:7" x14ac:dyDescent="0.2">
      <c r="A1239" t="s">
        <v>289</v>
      </c>
      <c r="B1239" t="s">
        <v>475</v>
      </c>
      <c r="C1239" t="s">
        <v>478</v>
      </c>
      <c r="E1239" t="s">
        <v>478</v>
      </c>
      <c r="F1239" t="s">
        <v>559</v>
      </c>
      <c r="G1239" t="s">
        <v>574</v>
      </c>
    </row>
    <row r="1240" spans="1:7" x14ac:dyDescent="0.2">
      <c r="A1240" t="s">
        <v>302</v>
      </c>
      <c r="B1240" t="s">
        <v>302</v>
      </c>
      <c r="C1240" t="s">
        <v>478</v>
      </c>
      <c r="E1240" t="s">
        <v>478</v>
      </c>
      <c r="F1240" t="s">
        <v>567</v>
      </c>
      <c r="G1240" t="s">
        <v>579</v>
      </c>
    </row>
    <row r="1241" spans="1:7" x14ac:dyDescent="0.2">
      <c r="A1241" t="s">
        <v>323</v>
      </c>
      <c r="B1241" t="s">
        <v>302</v>
      </c>
      <c r="C1241" t="s">
        <v>478</v>
      </c>
      <c r="E1241" t="s">
        <v>478</v>
      </c>
      <c r="F1241" t="s">
        <v>568</v>
      </c>
      <c r="G1241" t="s">
        <v>569</v>
      </c>
    </row>
    <row r="1242" spans="1:7" x14ac:dyDescent="0.2">
      <c r="A1242" t="s">
        <v>263</v>
      </c>
      <c r="B1242" t="s">
        <v>324</v>
      </c>
      <c r="C1242" t="s">
        <v>476</v>
      </c>
      <c r="E1242" t="s">
        <v>478</v>
      </c>
      <c r="F1242" t="s">
        <v>515</v>
      </c>
      <c r="G1242" t="s">
        <v>319</v>
      </c>
    </row>
    <row r="1243" spans="1:7" x14ac:dyDescent="0.2">
      <c r="A1243" t="s">
        <v>264</v>
      </c>
      <c r="B1243" t="s">
        <v>325</v>
      </c>
      <c r="C1243" t="s">
        <v>477</v>
      </c>
      <c r="E1243" t="s">
        <v>477</v>
      </c>
      <c r="F1243" t="s">
        <v>516</v>
      </c>
      <c r="G1243" t="s">
        <v>569</v>
      </c>
    </row>
    <row r="1244" spans="1:7" x14ac:dyDescent="0.2">
      <c r="A1244" t="s">
        <v>265</v>
      </c>
      <c r="B1244" t="s">
        <v>326</v>
      </c>
      <c r="C1244" t="s">
        <v>478</v>
      </c>
      <c r="E1244" t="s">
        <v>478</v>
      </c>
      <c r="F1244" t="s">
        <v>517</v>
      </c>
      <c r="G1244" t="s">
        <v>570</v>
      </c>
    </row>
    <row r="1245" spans="1:7" x14ac:dyDescent="0.2">
      <c r="A1245" t="s">
        <v>266</v>
      </c>
      <c r="B1245" t="s">
        <v>327</v>
      </c>
      <c r="C1245" t="s">
        <v>479</v>
      </c>
      <c r="E1245" t="s">
        <v>479</v>
      </c>
      <c r="F1245" t="s">
        <v>518</v>
      </c>
      <c r="G1245" t="s">
        <v>571</v>
      </c>
    </row>
    <row r="1246" spans="1:7" x14ac:dyDescent="0.2">
      <c r="A1246" t="s">
        <v>267</v>
      </c>
      <c r="B1246" t="s">
        <v>328</v>
      </c>
      <c r="C1246" t="s">
        <v>480</v>
      </c>
      <c r="E1246" t="s">
        <v>480</v>
      </c>
      <c r="F1246" t="s">
        <v>519</v>
      </c>
      <c r="G1246" t="s">
        <v>572</v>
      </c>
    </row>
    <row r="1247" spans="1:7" x14ac:dyDescent="0.2">
      <c r="A1247" t="s">
        <v>268</v>
      </c>
      <c r="B1247" t="s">
        <v>329</v>
      </c>
      <c r="C1247" t="s">
        <v>478</v>
      </c>
      <c r="E1247" t="s">
        <v>478</v>
      </c>
      <c r="F1247" t="s">
        <v>520</v>
      </c>
      <c r="G1247" t="s">
        <v>571</v>
      </c>
    </row>
    <row r="1248" spans="1:7" x14ac:dyDescent="0.2">
      <c r="A1248" t="s">
        <v>268</v>
      </c>
      <c r="B1248" t="s">
        <v>330</v>
      </c>
      <c r="C1248" t="s">
        <v>478</v>
      </c>
      <c r="E1248" t="s">
        <v>478</v>
      </c>
      <c r="F1248" t="s">
        <v>516</v>
      </c>
      <c r="G1248" t="s">
        <v>571</v>
      </c>
    </row>
    <row r="1249" spans="1:7" x14ac:dyDescent="0.2">
      <c r="A1249" t="s">
        <v>268</v>
      </c>
      <c r="B1249" t="s">
        <v>331</v>
      </c>
      <c r="C1249" t="s">
        <v>478</v>
      </c>
      <c r="E1249" t="s">
        <v>478</v>
      </c>
      <c r="F1249" t="s">
        <v>520</v>
      </c>
      <c r="G1249" t="s">
        <v>571</v>
      </c>
    </row>
    <row r="1250" spans="1:7" x14ac:dyDescent="0.2">
      <c r="A1250" t="s">
        <v>269</v>
      </c>
      <c r="B1250" t="s">
        <v>332</v>
      </c>
      <c r="C1250" t="s">
        <v>481</v>
      </c>
      <c r="E1250" t="s">
        <v>481</v>
      </c>
      <c r="F1250" t="s">
        <v>521</v>
      </c>
      <c r="G1250" t="s">
        <v>573</v>
      </c>
    </row>
    <row r="1251" spans="1:7" x14ac:dyDescent="0.2">
      <c r="A1251" t="s">
        <v>270</v>
      </c>
      <c r="B1251" t="s">
        <v>333</v>
      </c>
      <c r="C1251" t="s">
        <v>481</v>
      </c>
      <c r="E1251" t="s">
        <v>481</v>
      </c>
      <c r="F1251" t="s">
        <v>522</v>
      </c>
      <c r="G1251" t="s">
        <v>573</v>
      </c>
    </row>
    <row r="1252" spans="1:7" x14ac:dyDescent="0.2">
      <c r="A1252" t="s">
        <v>270</v>
      </c>
      <c r="B1252" t="s">
        <v>334</v>
      </c>
      <c r="C1252" t="s">
        <v>481</v>
      </c>
      <c r="E1252" t="s">
        <v>481</v>
      </c>
      <c r="F1252" t="s">
        <v>523</v>
      </c>
      <c r="G1252" t="s">
        <v>573</v>
      </c>
    </row>
    <row r="1253" spans="1:7" x14ac:dyDescent="0.2">
      <c r="A1253" t="s">
        <v>271</v>
      </c>
      <c r="B1253" t="s">
        <v>335</v>
      </c>
      <c r="C1253" t="s">
        <v>478</v>
      </c>
      <c r="E1253" t="s">
        <v>478</v>
      </c>
      <c r="F1253" t="s">
        <v>524</v>
      </c>
      <c r="G1253" t="s">
        <v>574</v>
      </c>
    </row>
    <row r="1254" spans="1:7" x14ac:dyDescent="0.2">
      <c r="A1254" t="s">
        <v>269</v>
      </c>
      <c r="B1254" t="s">
        <v>336</v>
      </c>
      <c r="C1254" t="s">
        <v>481</v>
      </c>
      <c r="E1254" t="s">
        <v>481</v>
      </c>
      <c r="F1254" t="s">
        <v>525</v>
      </c>
      <c r="G1254" t="s">
        <v>573</v>
      </c>
    </row>
    <row r="1255" spans="1:7" x14ac:dyDescent="0.2">
      <c r="A1255" t="s">
        <v>272</v>
      </c>
      <c r="B1255" t="s">
        <v>337</v>
      </c>
      <c r="C1255" t="s">
        <v>481</v>
      </c>
      <c r="E1255" t="s">
        <v>481</v>
      </c>
      <c r="F1255" t="s">
        <v>526</v>
      </c>
      <c r="G1255" t="s">
        <v>572</v>
      </c>
    </row>
    <row r="1256" spans="1:7" x14ac:dyDescent="0.2">
      <c r="A1256" t="s">
        <v>272</v>
      </c>
      <c r="B1256" t="s">
        <v>338</v>
      </c>
      <c r="C1256" t="s">
        <v>481</v>
      </c>
      <c r="E1256" t="s">
        <v>481</v>
      </c>
      <c r="F1256" t="s">
        <v>527</v>
      </c>
      <c r="G1256" t="s">
        <v>572</v>
      </c>
    </row>
    <row r="1257" spans="1:7" x14ac:dyDescent="0.2">
      <c r="A1257" t="s">
        <v>273</v>
      </c>
      <c r="B1257" t="s">
        <v>339</v>
      </c>
      <c r="C1257" t="s">
        <v>481</v>
      </c>
      <c r="E1257" t="s">
        <v>481</v>
      </c>
      <c r="F1257" t="s">
        <v>527</v>
      </c>
      <c r="G1257" t="s">
        <v>572</v>
      </c>
    </row>
    <row r="1258" spans="1:7" x14ac:dyDescent="0.2">
      <c r="A1258" t="s">
        <v>273</v>
      </c>
      <c r="B1258" t="s">
        <v>340</v>
      </c>
      <c r="C1258" t="s">
        <v>482</v>
      </c>
      <c r="E1258" t="s">
        <v>482</v>
      </c>
      <c r="F1258" t="s">
        <v>528</v>
      </c>
      <c r="G1258" t="s">
        <v>572</v>
      </c>
    </row>
    <row r="1259" spans="1:7" x14ac:dyDescent="0.2">
      <c r="A1259" t="s">
        <v>273</v>
      </c>
      <c r="B1259" t="s">
        <v>341</v>
      </c>
      <c r="C1259" t="s">
        <v>481</v>
      </c>
      <c r="E1259" t="s">
        <v>481</v>
      </c>
      <c r="F1259" t="s">
        <v>527</v>
      </c>
      <c r="G1259" t="s">
        <v>572</v>
      </c>
    </row>
    <row r="1260" spans="1:7" x14ac:dyDescent="0.2">
      <c r="A1260" t="s">
        <v>273</v>
      </c>
      <c r="B1260" t="s">
        <v>342</v>
      </c>
      <c r="C1260" t="s">
        <v>481</v>
      </c>
      <c r="E1260" t="s">
        <v>481</v>
      </c>
      <c r="F1260" t="s">
        <v>526</v>
      </c>
      <c r="G1260" t="s">
        <v>572</v>
      </c>
    </row>
    <row r="1261" spans="1:7" x14ac:dyDescent="0.2">
      <c r="A1261" t="s">
        <v>274</v>
      </c>
      <c r="B1261" t="s">
        <v>343</v>
      </c>
      <c r="C1261" t="s">
        <v>483</v>
      </c>
      <c r="E1261" t="s">
        <v>483</v>
      </c>
      <c r="F1261" t="s">
        <v>529</v>
      </c>
      <c r="G1261" t="s">
        <v>575</v>
      </c>
    </row>
    <row r="1262" spans="1:7" x14ac:dyDescent="0.2">
      <c r="A1262" t="s">
        <v>275</v>
      </c>
      <c r="B1262" t="s">
        <v>344</v>
      </c>
      <c r="C1262" t="s">
        <v>478</v>
      </c>
      <c r="E1262" t="s">
        <v>477</v>
      </c>
      <c r="F1262" t="s">
        <v>530</v>
      </c>
      <c r="G1262" t="s">
        <v>575</v>
      </c>
    </row>
    <row r="1263" spans="1:7" x14ac:dyDescent="0.2">
      <c r="A1263" t="s">
        <v>275</v>
      </c>
      <c r="B1263" t="s">
        <v>345</v>
      </c>
      <c r="C1263" t="s">
        <v>478</v>
      </c>
      <c r="E1263" t="s">
        <v>477</v>
      </c>
      <c r="F1263" t="s">
        <v>530</v>
      </c>
      <c r="G1263" t="s">
        <v>575</v>
      </c>
    </row>
    <row r="1264" spans="1:7" x14ac:dyDescent="0.2">
      <c r="A1264" t="s">
        <v>275</v>
      </c>
      <c r="B1264" t="s">
        <v>346</v>
      </c>
      <c r="C1264" t="s">
        <v>478</v>
      </c>
      <c r="E1264" t="s">
        <v>477</v>
      </c>
      <c r="F1264" t="s">
        <v>530</v>
      </c>
      <c r="G1264" t="s">
        <v>575</v>
      </c>
    </row>
    <row r="1265" spans="1:7" x14ac:dyDescent="0.2">
      <c r="A1265" t="s">
        <v>275</v>
      </c>
      <c r="B1265" t="s">
        <v>347</v>
      </c>
      <c r="C1265" t="s">
        <v>478</v>
      </c>
      <c r="E1265" t="s">
        <v>477</v>
      </c>
      <c r="F1265" t="s">
        <v>530</v>
      </c>
      <c r="G1265" t="s">
        <v>575</v>
      </c>
    </row>
    <row r="1266" spans="1:7" x14ac:dyDescent="0.2">
      <c r="A1266" t="s">
        <v>275</v>
      </c>
      <c r="B1266" t="s">
        <v>348</v>
      </c>
      <c r="C1266" t="s">
        <v>478</v>
      </c>
      <c r="E1266" t="s">
        <v>477</v>
      </c>
      <c r="F1266" t="s">
        <v>530</v>
      </c>
      <c r="G1266" t="s">
        <v>575</v>
      </c>
    </row>
    <row r="1267" spans="1:7" x14ac:dyDescent="0.2">
      <c r="A1267" t="s">
        <v>275</v>
      </c>
      <c r="B1267" t="s">
        <v>349</v>
      </c>
      <c r="C1267" t="s">
        <v>478</v>
      </c>
      <c r="E1267" t="s">
        <v>477</v>
      </c>
      <c r="F1267" t="s">
        <v>530</v>
      </c>
      <c r="G1267" t="s">
        <v>575</v>
      </c>
    </row>
    <row r="1268" spans="1:7" x14ac:dyDescent="0.2">
      <c r="A1268" t="s">
        <v>275</v>
      </c>
      <c r="B1268" t="s">
        <v>350</v>
      </c>
      <c r="C1268" t="s">
        <v>478</v>
      </c>
      <c r="E1268" t="s">
        <v>477</v>
      </c>
      <c r="F1268" t="s">
        <v>530</v>
      </c>
      <c r="G1268" t="s">
        <v>575</v>
      </c>
    </row>
    <row r="1269" spans="1:7" x14ac:dyDescent="0.2">
      <c r="A1269" t="s">
        <v>275</v>
      </c>
      <c r="B1269" t="s">
        <v>351</v>
      </c>
      <c r="C1269" t="s">
        <v>478</v>
      </c>
      <c r="E1269" t="s">
        <v>477</v>
      </c>
      <c r="F1269" t="s">
        <v>530</v>
      </c>
      <c r="G1269" t="s">
        <v>575</v>
      </c>
    </row>
    <row r="1270" spans="1:7" x14ac:dyDescent="0.2">
      <c r="A1270" t="s">
        <v>275</v>
      </c>
      <c r="B1270" t="s">
        <v>352</v>
      </c>
      <c r="C1270" t="s">
        <v>478</v>
      </c>
      <c r="E1270" t="s">
        <v>477</v>
      </c>
      <c r="F1270" t="s">
        <v>530</v>
      </c>
      <c r="G1270" t="s">
        <v>575</v>
      </c>
    </row>
    <row r="1271" spans="1:7" x14ac:dyDescent="0.2">
      <c r="A1271" t="s">
        <v>264</v>
      </c>
      <c r="B1271" t="s">
        <v>353</v>
      </c>
      <c r="C1271" t="s">
        <v>478</v>
      </c>
      <c r="E1271" t="s">
        <v>477</v>
      </c>
      <c r="F1271" t="s">
        <v>516</v>
      </c>
      <c r="G1271" t="s">
        <v>575</v>
      </c>
    </row>
    <row r="1272" spans="1:7" x14ac:dyDescent="0.2">
      <c r="A1272" t="s">
        <v>276</v>
      </c>
      <c r="B1272" t="s">
        <v>354</v>
      </c>
      <c r="C1272" t="s">
        <v>484</v>
      </c>
      <c r="E1272" t="s">
        <v>484</v>
      </c>
      <c r="F1272" t="s">
        <v>531</v>
      </c>
      <c r="G1272" t="s">
        <v>575</v>
      </c>
    </row>
    <row r="1273" spans="1:7" x14ac:dyDescent="0.2">
      <c r="A1273" t="s">
        <v>275</v>
      </c>
      <c r="B1273" t="s">
        <v>355</v>
      </c>
      <c r="C1273" t="s">
        <v>478</v>
      </c>
      <c r="E1273" t="s">
        <v>477</v>
      </c>
      <c r="F1273" t="s">
        <v>530</v>
      </c>
      <c r="G1273" t="s">
        <v>575</v>
      </c>
    </row>
    <row r="1274" spans="1:7" x14ac:dyDescent="0.2">
      <c r="A1274" t="s">
        <v>275</v>
      </c>
      <c r="B1274" t="s">
        <v>356</v>
      </c>
      <c r="C1274" t="s">
        <v>478</v>
      </c>
      <c r="E1274" t="s">
        <v>477</v>
      </c>
      <c r="F1274" t="s">
        <v>530</v>
      </c>
      <c r="G1274" t="s">
        <v>575</v>
      </c>
    </row>
    <row r="1275" spans="1:7" x14ac:dyDescent="0.2">
      <c r="A1275" t="s">
        <v>275</v>
      </c>
      <c r="B1275" t="s">
        <v>357</v>
      </c>
      <c r="C1275" t="s">
        <v>478</v>
      </c>
      <c r="E1275" t="s">
        <v>477</v>
      </c>
      <c r="F1275" t="s">
        <v>530</v>
      </c>
      <c r="G1275" t="s">
        <v>575</v>
      </c>
    </row>
    <row r="1276" spans="1:7" x14ac:dyDescent="0.2">
      <c r="A1276" t="s">
        <v>275</v>
      </c>
      <c r="B1276" t="s">
        <v>358</v>
      </c>
      <c r="C1276" t="s">
        <v>478</v>
      </c>
      <c r="E1276" t="s">
        <v>477</v>
      </c>
      <c r="F1276" t="s">
        <v>530</v>
      </c>
      <c r="G1276" t="s">
        <v>575</v>
      </c>
    </row>
    <row r="1277" spans="1:7" x14ac:dyDescent="0.2">
      <c r="A1277" t="s">
        <v>275</v>
      </c>
      <c r="B1277" t="s">
        <v>359</v>
      </c>
      <c r="C1277" t="s">
        <v>478</v>
      </c>
      <c r="E1277" t="s">
        <v>477</v>
      </c>
      <c r="F1277" t="s">
        <v>530</v>
      </c>
      <c r="G1277" t="s">
        <v>575</v>
      </c>
    </row>
    <row r="1278" spans="1:7" x14ac:dyDescent="0.2">
      <c r="A1278" t="s">
        <v>275</v>
      </c>
      <c r="B1278" t="s">
        <v>360</v>
      </c>
      <c r="C1278" t="s">
        <v>478</v>
      </c>
      <c r="E1278" t="s">
        <v>477</v>
      </c>
      <c r="F1278" t="s">
        <v>530</v>
      </c>
      <c r="G1278" t="s">
        <v>575</v>
      </c>
    </row>
    <row r="1279" spans="1:7" x14ac:dyDescent="0.2">
      <c r="A1279" t="s">
        <v>264</v>
      </c>
      <c r="B1279" t="s">
        <v>361</v>
      </c>
      <c r="C1279" t="s">
        <v>478</v>
      </c>
      <c r="E1279" t="s">
        <v>477</v>
      </c>
      <c r="F1279" t="s">
        <v>516</v>
      </c>
      <c r="G1279" t="s">
        <v>575</v>
      </c>
    </row>
    <row r="1280" spans="1:7" x14ac:dyDescent="0.2">
      <c r="A1280" t="s">
        <v>265</v>
      </c>
      <c r="B1280" t="s">
        <v>362</v>
      </c>
      <c r="C1280" t="s">
        <v>478</v>
      </c>
      <c r="E1280" t="s">
        <v>491</v>
      </c>
      <c r="F1280" t="s">
        <v>532</v>
      </c>
      <c r="G1280" t="s">
        <v>570</v>
      </c>
    </row>
    <row r="1281" spans="1:7" x14ac:dyDescent="0.2">
      <c r="A1281" t="s">
        <v>277</v>
      </c>
      <c r="B1281" t="s">
        <v>363</v>
      </c>
      <c r="C1281" t="s">
        <v>485</v>
      </c>
      <c r="E1281" t="s">
        <v>485</v>
      </c>
      <c r="F1281" t="s">
        <v>525</v>
      </c>
      <c r="G1281" t="s">
        <v>571</v>
      </c>
    </row>
    <row r="1282" spans="1:7" x14ac:dyDescent="0.2">
      <c r="A1282" t="s">
        <v>267</v>
      </c>
      <c r="B1282" t="s">
        <v>364</v>
      </c>
      <c r="C1282" t="s">
        <v>480</v>
      </c>
      <c r="E1282" t="s">
        <v>480</v>
      </c>
      <c r="F1282" t="s">
        <v>533</v>
      </c>
      <c r="G1282" t="s">
        <v>572</v>
      </c>
    </row>
    <row r="1283" spans="1:7" x14ac:dyDescent="0.2">
      <c r="A1283" t="s">
        <v>278</v>
      </c>
      <c r="B1283" t="s">
        <v>365</v>
      </c>
      <c r="C1283" t="s">
        <v>486</v>
      </c>
      <c r="E1283" t="s">
        <v>486</v>
      </c>
      <c r="F1283" t="s">
        <v>534</v>
      </c>
      <c r="G1283" t="s">
        <v>573</v>
      </c>
    </row>
    <row r="1284" spans="1:7" x14ac:dyDescent="0.2">
      <c r="A1284" t="s">
        <v>278</v>
      </c>
      <c r="B1284" t="s">
        <v>366</v>
      </c>
      <c r="C1284" t="s">
        <v>486</v>
      </c>
      <c r="E1284" t="s">
        <v>486</v>
      </c>
      <c r="F1284" t="s">
        <v>534</v>
      </c>
      <c r="G1284" t="s">
        <v>573</v>
      </c>
    </row>
    <row r="1285" spans="1:7" x14ac:dyDescent="0.2">
      <c r="A1285" t="s">
        <v>279</v>
      </c>
      <c r="B1285" t="s">
        <v>367</v>
      </c>
      <c r="C1285" t="s">
        <v>487</v>
      </c>
      <c r="E1285" t="s">
        <v>487</v>
      </c>
      <c r="F1285" t="s">
        <v>535</v>
      </c>
      <c r="G1285" t="s">
        <v>573</v>
      </c>
    </row>
    <row r="1286" spans="1:7" x14ac:dyDescent="0.2">
      <c r="A1286" t="s">
        <v>279</v>
      </c>
      <c r="B1286" t="s">
        <v>368</v>
      </c>
      <c r="C1286" t="s">
        <v>487</v>
      </c>
      <c r="E1286" t="s">
        <v>487</v>
      </c>
      <c r="F1286" t="s">
        <v>527</v>
      </c>
      <c r="G1286" t="s">
        <v>573</v>
      </c>
    </row>
    <row r="1287" spans="1:7" x14ac:dyDescent="0.2">
      <c r="A1287" t="s">
        <v>280</v>
      </c>
      <c r="B1287" t="s">
        <v>369</v>
      </c>
      <c r="C1287" t="s">
        <v>482</v>
      </c>
      <c r="E1287" t="s">
        <v>482</v>
      </c>
      <c r="F1287" t="s">
        <v>526</v>
      </c>
      <c r="G1287" t="s">
        <v>572</v>
      </c>
    </row>
    <row r="1288" spans="1:7" x14ac:dyDescent="0.2">
      <c r="A1288" t="s">
        <v>280</v>
      </c>
      <c r="B1288" t="s">
        <v>370</v>
      </c>
      <c r="C1288" t="s">
        <v>482</v>
      </c>
      <c r="E1288" t="s">
        <v>482</v>
      </c>
      <c r="F1288" t="s">
        <v>527</v>
      </c>
      <c r="G1288" t="s">
        <v>572</v>
      </c>
    </row>
    <row r="1289" spans="1:7" x14ac:dyDescent="0.2">
      <c r="A1289" t="s">
        <v>272</v>
      </c>
      <c r="B1289" t="s">
        <v>371</v>
      </c>
      <c r="C1289" t="s">
        <v>482</v>
      </c>
      <c r="E1289" t="s">
        <v>482</v>
      </c>
      <c r="F1289" t="s">
        <v>527</v>
      </c>
      <c r="G1289" t="s">
        <v>572</v>
      </c>
    </row>
    <row r="1290" spans="1:7" x14ac:dyDescent="0.2">
      <c r="A1290" t="s">
        <v>272</v>
      </c>
      <c r="B1290" t="s">
        <v>372</v>
      </c>
      <c r="C1290" t="s">
        <v>488</v>
      </c>
      <c r="E1290" t="s">
        <v>488</v>
      </c>
      <c r="F1290" t="s">
        <v>528</v>
      </c>
      <c r="G1290" t="s">
        <v>572</v>
      </c>
    </row>
    <row r="1291" spans="1:7" x14ac:dyDescent="0.2">
      <c r="A1291" t="s">
        <v>281</v>
      </c>
      <c r="B1291" t="s">
        <v>373</v>
      </c>
      <c r="C1291" t="s">
        <v>482</v>
      </c>
      <c r="E1291" t="s">
        <v>482</v>
      </c>
      <c r="F1291" t="s">
        <v>527</v>
      </c>
      <c r="G1291" t="s">
        <v>572</v>
      </c>
    </row>
    <row r="1292" spans="1:7" x14ac:dyDescent="0.2">
      <c r="A1292" t="s">
        <v>273</v>
      </c>
      <c r="B1292" t="s">
        <v>374</v>
      </c>
      <c r="C1292" t="s">
        <v>481</v>
      </c>
      <c r="E1292" t="s">
        <v>481</v>
      </c>
      <c r="F1292" t="s">
        <v>526</v>
      </c>
      <c r="G1292" t="s">
        <v>572</v>
      </c>
    </row>
    <row r="1293" spans="1:7" x14ac:dyDescent="0.2">
      <c r="A1293" t="s">
        <v>282</v>
      </c>
      <c r="B1293" t="s">
        <v>375</v>
      </c>
      <c r="C1293" t="s">
        <v>489</v>
      </c>
      <c r="E1293" t="s">
        <v>489</v>
      </c>
      <c r="F1293" t="s">
        <v>526</v>
      </c>
      <c r="G1293" t="s">
        <v>572</v>
      </c>
    </row>
    <row r="1294" spans="1:7" x14ac:dyDescent="0.2">
      <c r="A1294" t="s">
        <v>283</v>
      </c>
      <c r="B1294" t="s">
        <v>376</v>
      </c>
      <c r="C1294" t="s">
        <v>490</v>
      </c>
      <c r="E1294" t="s">
        <v>478</v>
      </c>
      <c r="F1294" t="s">
        <v>536</v>
      </c>
      <c r="G1294" t="s">
        <v>575</v>
      </c>
    </row>
    <row r="1295" spans="1:7" x14ac:dyDescent="0.2">
      <c r="A1295" t="s">
        <v>275</v>
      </c>
      <c r="B1295" t="s">
        <v>377</v>
      </c>
      <c r="C1295" t="s">
        <v>478</v>
      </c>
      <c r="E1295" t="s">
        <v>477</v>
      </c>
      <c r="F1295" t="s">
        <v>537</v>
      </c>
      <c r="G1295" t="s">
        <v>575</v>
      </c>
    </row>
    <row r="1296" spans="1:7" x14ac:dyDescent="0.2">
      <c r="A1296" t="s">
        <v>275</v>
      </c>
      <c r="B1296" t="s">
        <v>378</v>
      </c>
      <c r="C1296" t="s">
        <v>478</v>
      </c>
      <c r="E1296" t="s">
        <v>477</v>
      </c>
      <c r="F1296" t="s">
        <v>538</v>
      </c>
      <c r="G1296" t="s">
        <v>575</v>
      </c>
    </row>
    <row r="1297" spans="1:7" x14ac:dyDescent="0.2">
      <c r="A1297" t="s">
        <v>275</v>
      </c>
      <c r="B1297" t="s">
        <v>379</v>
      </c>
      <c r="C1297" t="s">
        <v>478</v>
      </c>
      <c r="E1297" t="s">
        <v>477</v>
      </c>
      <c r="F1297" t="s">
        <v>538</v>
      </c>
      <c r="G1297" t="s">
        <v>575</v>
      </c>
    </row>
    <row r="1298" spans="1:7" x14ac:dyDescent="0.2">
      <c r="A1298" t="s">
        <v>275</v>
      </c>
      <c r="B1298" t="s">
        <v>380</v>
      </c>
      <c r="C1298" t="s">
        <v>478</v>
      </c>
      <c r="E1298" t="s">
        <v>477</v>
      </c>
      <c r="F1298" t="s">
        <v>530</v>
      </c>
      <c r="G1298" t="s">
        <v>575</v>
      </c>
    </row>
    <row r="1299" spans="1:7" x14ac:dyDescent="0.2">
      <c r="A1299" t="s">
        <v>275</v>
      </c>
      <c r="B1299" t="s">
        <v>381</v>
      </c>
      <c r="C1299" t="s">
        <v>478</v>
      </c>
      <c r="E1299" t="s">
        <v>477</v>
      </c>
      <c r="F1299" t="s">
        <v>530</v>
      </c>
      <c r="G1299" t="s">
        <v>575</v>
      </c>
    </row>
    <row r="1300" spans="1:7" x14ac:dyDescent="0.2">
      <c r="A1300" t="s">
        <v>275</v>
      </c>
      <c r="B1300" t="s">
        <v>382</v>
      </c>
      <c r="C1300" t="s">
        <v>478</v>
      </c>
      <c r="E1300" t="s">
        <v>477</v>
      </c>
      <c r="F1300" t="s">
        <v>530</v>
      </c>
      <c r="G1300" t="s">
        <v>575</v>
      </c>
    </row>
    <row r="1301" spans="1:7" x14ac:dyDescent="0.2">
      <c r="A1301" t="s">
        <v>275</v>
      </c>
      <c r="B1301" t="s">
        <v>383</v>
      </c>
      <c r="C1301" t="s">
        <v>478</v>
      </c>
      <c r="E1301" t="s">
        <v>477</v>
      </c>
      <c r="F1301" t="s">
        <v>530</v>
      </c>
      <c r="G1301" t="s">
        <v>575</v>
      </c>
    </row>
    <row r="1302" spans="1:7" x14ac:dyDescent="0.2">
      <c r="A1302" t="s">
        <v>264</v>
      </c>
      <c r="B1302" t="s">
        <v>384</v>
      </c>
      <c r="C1302" t="s">
        <v>478</v>
      </c>
      <c r="E1302" t="s">
        <v>477</v>
      </c>
      <c r="F1302" t="s">
        <v>516</v>
      </c>
      <c r="G1302" t="s">
        <v>575</v>
      </c>
    </row>
    <row r="1303" spans="1:7" x14ac:dyDescent="0.2">
      <c r="A1303" t="s">
        <v>284</v>
      </c>
      <c r="B1303" t="s">
        <v>385</v>
      </c>
      <c r="C1303" t="s">
        <v>477</v>
      </c>
      <c r="E1303" t="s">
        <v>477</v>
      </c>
      <c r="F1303" t="s">
        <v>539</v>
      </c>
      <c r="G1303" t="s">
        <v>570</v>
      </c>
    </row>
    <row r="1304" spans="1:7" x14ac:dyDescent="0.2">
      <c r="A1304" t="s">
        <v>285</v>
      </c>
      <c r="B1304" t="s">
        <v>386</v>
      </c>
      <c r="C1304" t="s">
        <v>477</v>
      </c>
      <c r="E1304" t="s">
        <v>477</v>
      </c>
      <c r="F1304" t="s">
        <v>531</v>
      </c>
      <c r="G1304" t="s">
        <v>570</v>
      </c>
    </row>
    <row r="1305" spans="1:7" x14ac:dyDescent="0.2">
      <c r="A1305" t="s">
        <v>286</v>
      </c>
      <c r="B1305" t="s">
        <v>387</v>
      </c>
      <c r="C1305" t="s">
        <v>486</v>
      </c>
      <c r="E1305" t="s">
        <v>486</v>
      </c>
      <c r="F1305" t="s">
        <v>540</v>
      </c>
      <c r="G1305" t="s">
        <v>572</v>
      </c>
    </row>
    <row r="1306" spans="1:7" x14ac:dyDescent="0.2">
      <c r="A1306" t="s">
        <v>286</v>
      </c>
      <c r="B1306" t="s">
        <v>388</v>
      </c>
      <c r="C1306" t="s">
        <v>491</v>
      </c>
      <c r="E1306" t="s">
        <v>491</v>
      </c>
      <c r="F1306" t="s">
        <v>524</v>
      </c>
      <c r="G1306" t="s">
        <v>573</v>
      </c>
    </row>
    <row r="1307" spans="1:7" x14ac:dyDescent="0.2">
      <c r="A1307" t="s">
        <v>286</v>
      </c>
      <c r="B1307" t="s">
        <v>389</v>
      </c>
      <c r="C1307" t="s">
        <v>491</v>
      </c>
      <c r="E1307" t="s">
        <v>491</v>
      </c>
      <c r="F1307" t="s">
        <v>524</v>
      </c>
      <c r="G1307" t="s">
        <v>573</v>
      </c>
    </row>
    <row r="1308" spans="1:7" x14ac:dyDescent="0.2">
      <c r="A1308" t="s">
        <v>286</v>
      </c>
      <c r="B1308" t="s">
        <v>390</v>
      </c>
      <c r="C1308" t="s">
        <v>491</v>
      </c>
      <c r="E1308" t="s">
        <v>491</v>
      </c>
      <c r="F1308" t="s">
        <v>524</v>
      </c>
      <c r="G1308" t="s">
        <v>573</v>
      </c>
    </row>
    <row r="1309" spans="1:7" x14ac:dyDescent="0.2">
      <c r="A1309" t="s">
        <v>286</v>
      </c>
      <c r="B1309" t="s">
        <v>391</v>
      </c>
      <c r="C1309" t="s">
        <v>491</v>
      </c>
      <c r="E1309" t="s">
        <v>491</v>
      </c>
      <c r="F1309" t="s">
        <v>524</v>
      </c>
      <c r="G1309" t="s">
        <v>573</v>
      </c>
    </row>
    <row r="1310" spans="1:7" x14ac:dyDescent="0.2">
      <c r="A1310" t="s">
        <v>286</v>
      </c>
      <c r="B1310" t="s">
        <v>392</v>
      </c>
      <c r="C1310" t="s">
        <v>491</v>
      </c>
      <c r="E1310" t="s">
        <v>491</v>
      </c>
      <c r="F1310" t="s">
        <v>524</v>
      </c>
      <c r="G1310" t="s">
        <v>573</v>
      </c>
    </row>
    <row r="1311" spans="1:7" x14ac:dyDescent="0.2">
      <c r="A1311" t="s">
        <v>286</v>
      </c>
      <c r="B1311" t="s">
        <v>393</v>
      </c>
      <c r="C1311" t="s">
        <v>491</v>
      </c>
      <c r="E1311" t="s">
        <v>491</v>
      </c>
      <c r="F1311" t="s">
        <v>524</v>
      </c>
      <c r="G1311" t="s">
        <v>573</v>
      </c>
    </row>
    <row r="1312" spans="1:7" x14ac:dyDescent="0.2">
      <c r="A1312" t="s">
        <v>286</v>
      </c>
      <c r="B1312" t="s">
        <v>394</v>
      </c>
      <c r="C1312" t="s">
        <v>491</v>
      </c>
      <c r="E1312" t="s">
        <v>491</v>
      </c>
      <c r="F1312" t="s">
        <v>524</v>
      </c>
      <c r="G1312" t="s">
        <v>573</v>
      </c>
    </row>
    <row r="1313" spans="1:7" x14ac:dyDescent="0.2">
      <c r="A1313" t="s">
        <v>286</v>
      </c>
      <c r="B1313" t="s">
        <v>394</v>
      </c>
      <c r="C1313" t="s">
        <v>491</v>
      </c>
      <c r="E1313" t="s">
        <v>491</v>
      </c>
      <c r="F1313" t="s">
        <v>524</v>
      </c>
      <c r="G1313" t="s">
        <v>573</v>
      </c>
    </row>
    <row r="1314" spans="1:7" x14ac:dyDescent="0.2">
      <c r="A1314" t="s">
        <v>286</v>
      </c>
      <c r="B1314" t="s">
        <v>395</v>
      </c>
      <c r="C1314" t="s">
        <v>491</v>
      </c>
      <c r="E1314" t="s">
        <v>491</v>
      </c>
      <c r="F1314" t="s">
        <v>524</v>
      </c>
      <c r="G1314" t="s">
        <v>573</v>
      </c>
    </row>
    <row r="1315" spans="1:7" x14ac:dyDescent="0.2">
      <c r="A1315" t="s">
        <v>286</v>
      </c>
      <c r="B1315" t="s">
        <v>396</v>
      </c>
      <c r="C1315" t="s">
        <v>486</v>
      </c>
      <c r="E1315" t="s">
        <v>486</v>
      </c>
      <c r="F1315" t="s">
        <v>541</v>
      </c>
      <c r="G1315" t="s">
        <v>573</v>
      </c>
    </row>
    <row r="1316" spans="1:7" x14ac:dyDescent="0.2">
      <c r="A1316" t="s">
        <v>286</v>
      </c>
      <c r="B1316" t="s">
        <v>397</v>
      </c>
      <c r="C1316" t="s">
        <v>486</v>
      </c>
      <c r="E1316" t="s">
        <v>486</v>
      </c>
      <c r="F1316" t="s">
        <v>541</v>
      </c>
      <c r="G1316" t="s">
        <v>573</v>
      </c>
    </row>
    <row r="1317" spans="1:7" x14ac:dyDescent="0.2">
      <c r="A1317" t="s">
        <v>286</v>
      </c>
      <c r="B1317" t="s">
        <v>398</v>
      </c>
      <c r="C1317" t="s">
        <v>486</v>
      </c>
      <c r="E1317" t="s">
        <v>486</v>
      </c>
      <c r="F1317" t="s">
        <v>541</v>
      </c>
      <c r="G1317" t="s">
        <v>573</v>
      </c>
    </row>
    <row r="1318" spans="1:7" x14ac:dyDescent="0.2">
      <c r="A1318" t="s">
        <v>287</v>
      </c>
      <c r="B1318" t="s">
        <v>399</v>
      </c>
      <c r="C1318" t="s">
        <v>477</v>
      </c>
      <c r="E1318" t="s">
        <v>477</v>
      </c>
      <c r="F1318" t="s">
        <v>542</v>
      </c>
      <c r="G1318" t="s">
        <v>573</v>
      </c>
    </row>
    <row r="1319" spans="1:7" x14ac:dyDescent="0.2">
      <c r="A1319" t="s">
        <v>288</v>
      </c>
      <c r="B1319" t="s">
        <v>400</v>
      </c>
      <c r="C1319" t="s">
        <v>477</v>
      </c>
      <c r="E1319" t="s">
        <v>477</v>
      </c>
      <c r="F1319" t="s">
        <v>543</v>
      </c>
      <c r="G1319" t="s">
        <v>573</v>
      </c>
    </row>
    <row r="1320" spans="1:7" x14ac:dyDescent="0.2">
      <c r="A1320" t="s">
        <v>285</v>
      </c>
      <c r="B1320" t="s">
        <v>401</v>
      </c>
      <c r="C1320" t="s">
        <v>477</v>
      </c>
      <c r="E1320" t="s">
        <v>477</v>
      </c>
      <c r="F1320" t="s">
        <v>529</v>
      </c>
      <c r="G1320" t="s">
        <v>570</v>
      </c>
    </row>
    <row r="1321" spans="1:7" x14ac:dyDescent="0.2">
      <c r="A1321" t="s">
        <v>289</v>
      </c>
      <c r="B1321" t="s">
        <v>402</v>
      </c>
      <c r="C1321" t="s">
        <v>492</v>
      </c>
      <c r="E1321" t="s">
        <v>492</v>
      </c>
      <c r="F1321" t="s">
        <v>529</v>
      </c>
      <c r="G1321" t="s">
        <v>572</v>
      </c>
    </row>
    <row r="1322" spans="1:7" x14ac:dyDescent="0.2">
      <c r="A1322" t="s">
        <v>289</v>
      </c>
      <c r="B1322" t="s">
        <v>403</v>
      </c>
      <c r="C1322" t="s">
        <v>492</v>
      </c>
      <c r="E1322" t="s">
        <v>492</v>
      </c>
      <c r="F1322" t="s">
        <v>543</v>
      </c>
      <c r="G1322" t="s">
        <v>572</v>
      </c>
    </row>
    <row r="1323" spans="1:7" x14ac:dyDescent="0.2">
      <c r="A1323" t="s">
        <v>289</v>
      </c>
      <c r="B1323" t="s">
        <v>404</v>
      </c>
      <c r="C1323" t="s">
        <v>492</v>
      </c>
      <c r="E1323" t="s">
        <v>492</v>
      </c>
      <c r="F1323" t="s">
        <v>529</v>
      </c>
      <c r="G1323" t="s">
        <v>572</v>
      </c>
    </row>
    <row r="1324" spans="1:7" x14ac:dyDescent="0.2">
      <c r="A1324" t="s">
        <v>286</v>
      </c>
      <c r="B1324" t="s">
        <v>405</v>
      </c>
      <c r="C1324" t="s">
        <v>486</v>
      </c>
      <c r="E1324" t="s">
        <v>486</v>
      </c>
      <c r="F1324" t="s">
        <v>540</v>
      </c>
      <c r="G1324" t="s">
        <v>572</v>
      </c>
    </row>
    <row r="1325" spans="1:7" x14ac:dyDescent="0.2">
      <c r="A1325" t="s">
        <v>286</v>
      </c>
      <c r="B1325" t="s">
        <v>406</v>
      </c>
      <c r="C1325" t="s">
        <v>486</v>
      </c>
      <c r="E1325" t="s">
        <v>486</v>
      </c>
      <c r="F1325" t="s">
        <v>536</v>
      </c>
      <c r="G1325" t="s">
        <v>572</v>
      </c>
    </row>
    <row r="1326" spans="1:7" x14ac:dyDescent="0.2">
      <c r="A1326" t="s">
        <v>290</v>
      </c>
      <c r="B1326" t="s">
        <v>407</v>
      </c>
      <c r="C1326" t="s">
        <v>478</v>
      </c>
      <c r="E1326" t="s">
        <v>478</v>
      </c>
      <c r="F1326" t="s">
        <v>544</v>
      </c>
      <c r="G1326" t="s">
        <v>569</v>
      </c>
    </row>
    <row r="1327" spans="1:7" x14ac:dyDescent="0.2">
      <c r="A1327" t="s">
        <v>291</v>
      </c>
      <c r="B1327" t="s">
        <v>408</v>
      </c>
      <c r="C1327" t="s">
        <v>478</v>
      </c>
      <c r="E1327" t="s">
        <v>478</v>
      </c>
      <c r="F1327" t="s">
        <v>545</v>
      </c>
      <c r="G1327" t="s">
        <v>576</v>
      </c>
    </row>
    <row r="1328" spans="1:7" x14ac:dyDescent="0.2">
      <c r="A1328" t="s">
        <v>292</v>
      </c>
      <c r="B1328" t="s">
        <v>409</v>
      </c>
      <c r="C1328" t="s">
        <v>478</v>
      </c>
      <c r="E1328" t="s">
        <v>478</v>
      </c>
      <c r="F1328" t="s">
        <v>546</v>
      </c>
      <c r="G1328" t="s">
        <v>576</v>
      </c>
    </row>
    <row r="1329" spans="1:7" x14ac:dyDescent="0.2">
      <c r="A1329" t="s">
        <v>292</v>
      </c>
      <c r="B1329" t="s">
        <v>410</v>
      </c>
      <c r="C1329" t="s">
        <v>478</v>
      </c>
      <c r="E1329" t="s">
        <v>478</v>
      </c>
      <c r="F1329" t="s">
        <v>547</v>
      </c>
      <c r="G1329" t="s">
        <v>576</v>
      </c>
    </row>
    <row r="1330" spans="1:7" x14ac:dyDescent="0.2">
      <c r="A1330" t="s">
        <v>268</v>
      </c>
      <c r="B1330" t="s">
        <v>411</v>
      </c>
      <c r="C1330" t="s">
        <v>478</v>
      </c>
      <c r="E1330" t="s">
        <v>478</v>
      </c>
      <c r="F1330" t="s">
        <v>520</v>
      </c>
      <c r="G1330" t="s">
        <v>576</v>
      </c>
    </row>
    <row r="1331" spans="1:7" x14ac:dyDescent="0.2">
      <c r="A1331" t="s">
        <v>293</v>
      </c>
      <c r="B1331" t="s">
        <v>412</v>
      </c>
      <c r="C1331" t="s">
        <v>478</v>
      </c>
      <c r="E1331" t="s">
        <v>478</v>
      </c>
      <c r="F1331" t="s">
        <v>536</v>
      </c>
      <c r="G1331" t="s">
        <v>571</v>
      </c>
    </row>
    <row r="1332" spans="1:7" x14ac:dyDescent="0.2">
      <c r="A1332" t="s">
        <v>294</v>
      </c>
      <c r="B1332" t="s">
        <v>413</v>
      </c>
      <c r="C1332" t="s">
        <v>493</v>
      </c>
      <c r="E1332" t="s">
        <v>493</v>
      </c>
      <c r="F1332" t="s">
        <v>548</v>
      </c>
      <c r="G1332" t="s">
        <v>577</v>
      </c>
    </row>
    <row r="1333" spans="1:7" x14ac:dyDescent="0.2">
      <c r="A1333" t="s">
        <v>295</v>
      </c>
      <c r="B1333" t="s">
        <v>414</v>
      </c>
      <c r="C1333" t="s">
        <v>494</v>
      </c>
      <c r="E1333" t="s">
        <v>494</v>
      </c>
      <c r="F1333" t="s">
        <v>549</v>
      </c>
      <c r="G1333" t="s">
        <v>577</v>
      </c>
    </row>
    <row r="1334" spans="1:7" x14ac:dyDescent="0.2">
      <c r="A1334" t="s">
        <v>296</v>
      </c>
      <c r="B1334" t="s">
        <v>415</v>
      </c>
      <c r="C1334" t="s">
        <v>494</v>
      </c>
      <c r="E1334" t="s">
        <v>494</v>
      </c>
      <c r="F1334" t="s">
        <v>550</v>
      </c>
      <c r="G1334" t="s">
        <v>577</v>
      </c>
    </row>
    <row r="1335" spans="1:7" x14ac:dyDescent="0.2">
      <c r="A1335" t="s">
        <v>297</v>
      </c>
      <c r="B1335" t="s">
        <v>416</v>
      </c>
      <c r="C1335" t="s">
        <v>488</v>
      </c>
      <c r="E1335" t="s">
        <v>488</v>
      </c>
      <c r="F1335" t="s">
        <v>551</v>
      </c>
      <c r="G1335" t="s">
        <v>577</v>
      </c>
    </row>
    <row r="1336" spans="1:7" x14ac:dyDescent="0.2">
      <c r="A1336" t="s">
        <v>298</v>
      </c>
      <c r="B1336" t="s">
        <v>417</v>
      </c>
      <c r="C1336" t="s">
        <v>495</v>
      </c>
      <c r="E1336" t="s">
        <v>495</v>
      </c>
      <c r="F1336" t="s">
        <v>552</v>
      </c>
      <c r="G1336" t="s">
        <v>577</v>
      </c>
    </row>
    <row r="1337" spans="1:7" x14ac:dyDescent="0.2">
      <c r="A1337" t="s">
        <v>299</v>
      </c>
      <c r="B1337" t="s">
        <v>418</v>
      </c>
      <c r="C1337" t="s">
        <v>496</v>
      </c>
      <c r="E1337" t="s">
        <v>496</v>
      </c>
      <c r="F1337" t="s">
        <v>516</v>
      </c>
      <c r="G1337" t="s">
        <v>577</v>
      </c>
    </row>
    <row r="1338" spans="1:7" x14ac:dyDescent="0.2">
      <c r="A1338" t="s">
        <v>300</v>
      </c>
      <c r="B1338" t="s">
        <v>419</v>
      </c>
      <c r="C1338" t="s">
        <v>497</v>
      </c>
      <c r="E1338" t="s">
        <v>497</v>
      </c>
      <c r="F1338" t="s">
        <v>553</v>
      </c>
      <c r="G1338" t="s">
        <v>577</v>
      </c>
    </row>
    <row r="1339" spans="1:7" x14ac:dyDescent="0.2">
      <c r="A1339" t="s">
        <v>301</v>
      </c>
      <c r="B1339" t="s">
        <v>420</v>
      </c>
      <c r="C1339" t="s">
        <v>478</v>
      </c>
      <c r="E1339" t="s">
        <v>478</v>
      </c>
      <c r="F1339" t="s">
        <v>516</v>
      </c>
      <c r="G1339" t="s">
        <v>576</v>
      </c>
    </row>
    <row r="1340" spans="1:7" x14ac:dyDescent="0.2">
      <c r="A1340" t="s">
        <v>283</v>
      </c>
      <c r="B1340" t="s">
        <v>421</v>
      </c>
      <c r="C1340" t="s">
        <v>477</v>
      </c>
      <c r="E1340" t="s">
        <v>477</v>
      </c>
      <c r="F1340" t="s">
        <v>540</v>
      </c>
      <c r="G1340" t="s">
        <v>578</v>
      </c>
    </row>
    <row r="1341" spans="1:7" x14ac:dyDescent="0.2">
      <c r="A1341" t="s">
        <v>264</v>
      </c>
      <c r="B1341" t="s">
        <v>422</v>
      </c>
      <c r="C1341" t="s">
        <v>477</v>
      </c>
      <c r="E1341" t="s">
        <v>477</v>
      </c>
      <c r="F1341" t="s">
        <v>541</v>
      </c>
      <c r="G1341" t="s">
        <v>578</v>
      </c>
    </row>
    <row r="1342" spans="1:7" x14ac:dyDescent="0.2">
      <c r="A1342" t="s">
        <v>264</v>
      </c>
      <c r="B1342" t="s">
        <v>423</v>
      </c>
      <c r="C1342" t="s">
        <v>478</v>
      </c>
      <c r="E1342" t="s">
        <v>478</v>
      </c>
      <c r="F1342" t="s">
        <v>516</v>
      </c>
      <c r="G1342" t="s">
        <v>578</v>
      </c>
    </row>
    <row r="1343" spans="1:7" x14ac:dyDescent="0.2">
      <c r="A1343" t="s">
        <v>301</v>
      </c>
      <c r="B1343" t="s">
        <v>424</v>
      </c>
      <c r="C1343" t="s">
        <v>478</v>
      </c>
      <c r="E1343" t="s">
        <v>478</v>
      </c>
      <c r="F1343" t="s">
        <v>537</v>
      </c>
      <c r="G1343" t="s">
        <v>576</v>
      </c>
    </row>
    <row r="1344" spans="1:7" x14ac:dyDescent="0.2">
      <c r="A1344" t="s">
        <v>283</v>
      </c>
      <c r="B1344" t="s">
        <v>425</v>
      </c>
      <c r="C1344" t="s">
        <v>498</v>
      </c>
      <c r="E1344" t="s">
        <v>498</v>
      </c>
      <c r="F1344" t="s">
        <v>529</v>
      </c>
      <c r="G1344" t="s">
        <v>578</v>
      </c>
    </row>
    <row r="1345" spans="1:7" x14ac:dyDescent="0.2">
      <c r="A1345" t="s">
        <v>302</v>
      </c>
      <c r="B1345" t="s">
        <v>426</v>
      </c>
      <c r="C1345" t="s">
        <v>478</v>
      </c>
      <c r="E1345" t="s">
        <v>478</v>
      </c>
      <c r="F1345" t="s">
        <v>529</v>
      </c>
      <c r="G1345" t="s">
        <v>579</v>
      </c>
    </row>
    <row r="1346" spans="1:7" x14ac:dyDescent="0.2">
      <c r="A1346" t="s">
        <v>285</v>
      </c>
      <c r="B1346" t="s">
        <v>427</v>
      </c>
      <c r="C1346" t="s">
        <v>499</v>
      </c>
      <c r="E1346" t="s">
        <v>499</v>
      </c>
      <c r="F1346" t="s">
        <v>542</v>
      </c>
      <c r="G1346" t="s">
        <v>577</v>
      </c>
    </row>
    <row r="1347" spans="1:7" x14ac:dyDescent="0.2">
      <c r="A1347" t="s">
        <v>303</v>
      </c>
      <c r="B1347" t="s">
        <v>428</v>
      </c>
      <c r="C1347" t="s">
        <v>500</v>
      </c>
      <c r="E1347" t="s">
        <v>500</v>
      </c>
      <c r="F1347" t="s">
        <v>546</v>
      </c>
      <c r="G1347" t="s">
        <v>577</v>
      </c>
    </row>
    <row r="1348" spans="1:7" x14ac:dyDescent="0.2">
      <c r="A1348" t="s">
        <v>304</v>
      </c>
      <c r="B1348" t="s">
        <v>429</v>
      </c>
      <c r="C1348" t="s">
        <v>478</v>
      </c>
      <c r="E1348" t="s">
        <v>478</v>
      </c>
      <c r="F1348" t="s">
        <v>554</v>
      </c>
      <c r="G1348" t="s">
        <v>569</v>
      </c>
    </row>
    <row r="1349" spans="1:7" x14ac:dyDescent="0.2">
      <c r="A1349" t="s">
        <v>277</v>
      </c>
      <c r="B1349" t="s">
        <v>430</v>
      </c>
      <c r="C1349" t="s">
        <v>478</v>
      </c>
      <c r="E1349" t="s">
        <v>478</v>
      </c>
      <c r="F1349" t="s">
        <v>539</v>
      </c>
      <c r="G1349" t="s">
        <v>571</v>
      </c>
    </row>
    <row r="1350" spans="1:7" x14ac:dyDescent="0.2">
      <c r="A1350" t="s">
        <v>277</v>
      </c>
      <c r="B1350" t="s">
        <v>431</v>
      </c>
      <c r="C1350" t="s">
        <v>478</v>
      </c>
      <c r="E1350" t="s">
        <v>478</v>
      </c>
      <c r="F1350" t="s">
        <v>534</v>
      </c>
      <c r="G1350" t="s">
        <v>571</v>
      </c>
    </row>
    <row r="1351" spans="1:7" x14ac:dyDescent="0.2">
      <c r="A1351" t="s">
        <v>277</v>
      </c>
      <c r="B1351" t="s">
        <v>432</v>
      </c>
      <c r="C1351" t="s">
        <v>501</v>
      </c>
      <c r="E1351" t="s">
        <v>501</v>
      </c>
      <c r="F1351" t="s">
        <v>555</v>
      </c>
      <c r="G1351" t="s">
        <v>571</v>
      </c>
    </row>
    <row r="1352" spans="1:7" x14ac:dyDescent="0.2">
      <c r="A1352" t="s">
        <v>263</v>
      </c>
      <c r="B1352" t="s">
        <v>433</v>
      </c>
      <c r="C1352" t="s">
        <v>502</v>
      </c>
      <c r="E1352" t="s">
        <v>502</v>
      </c>
      <c r="F1352" t="s">
        <v>556</v>
      </c>
      <c r="G1352" t="s">
        <v>580</v>
      </c>
    </row>
    <row r="1353" spans="1:7" x14ac:dyDescent="0.2">
      <c r="A1353" t="s">
        <v>268</v>
      </c>
      <c r="B1353" t="s">
        <v>434</v>
      </c>
      <c r="C1353" t="s">
        <v>478</v>
      </c>
      <c r="E1353" t="s">
        <v>478</v>
      </c>
      <c r="F1353" t="s">
        <v>520</v>
      </c>
      <c r="G1353" t="s">
        <v>571</v>
      </c>
    </row>
    <row r="1354" spans="1:7" x14ac:dyDescent="0.2">
      <c r="A1354" t="s">
        <v>305</v>
      </c>
      <c r="B1354" t="s">
        <v>435</v>
      </c>
      <c r="C1354" t="s">
        <v>478</v>
      </c>
      <c r="E1354" t="s">
        <v>478</v>
      </c>
      <c r="F1354" t="s">
        <v>557</v>
      </c>
      <c r="G1354" t="s">
        <v>569</v>
      </c>
    </row>
    <row r="1355" spans="1:7" x14ac:dyDescent="0.2">
      <c r="A1355" t="s">
        <v>306</v>
      </c>
      <c r="B1355" t="s">
        <v>436</v>
      </c>
      <c r="C1355" t="s">
        <v>478</v>
      </c>
      <c r="E1355" t="s">
        <v>478</v>
      </c>
      <c r="F1355" t="s">
        <v>558</v>
      </c>
      <c r="G1355" t="s">
        <v>569</v>
      </c>
    </row>
    <row r="1356" spans="1:7" x14ac:dyDescent="0.2">
      <c r="A1356" t="s">
        <v>307</v>
      </c>
      <c r="B1356" t="s">
        <v>437</v>
      </c>
      <c r="C1356" t="s">
        <v>478</v>
      </c>
      <c r="E1356" t="s">
        <v>478</v>
      </c>
      <c r="F1356" t="s">
        <v>559</v>
      </c>
      <c r="G1356" t="s">
        <v>574</v>
      </c>
    </row>
    <row r="1357" spans="1:7" x14ac:dyDescent="0.2">
      <c r="A1357" t="s">
        <v>308</v>
      </c>
      <c r="B1357" t="s">
        <v>438</v>
      </c>
      <c r="C1357" t="s">
        <v>478</v>
      </c>
      <c r="E1357" t="s">
        <v>478</v>
      </c>
      <c r="F1357" t="s">
        <v>560</v>
      </c>
      <c r="G1357" t="s">
        <v>569</v>
      </c>
    </row>
    <row r="1358" spans="1:7" x14ac:dyDescent="0.2">
      <c r="A1358" t="s">
        <v>309</v>
      </c>
      <c r="B1358" t="s">
        <v>439</v>
      </c>
      <c r="C1358" t="s">
        <v>478</v>
      </c>
      <c r="E1358" t="s">
        <v>478</v>
      </c>
      <c r="F1358" t="s">
        <v>558</v>
      </c>
      <c r="G1358" t="s">
        <v>574</v>
      </c>
    </row>
    <row r="1359" spans="1:7" x14ac:dyDescent="0.2">
      <c r="A1359" t="s">
        <v>310</v>
      </c>
      <c r="B1359" t="s">
        <v>440</v>
      </c>
      <c r="C1359" t="s">
        <v>478</v>
      </c>
      <c r="E1359" t="s">
        <v>478</v>
      </c>
      <c r="F1359" t="s">
        <v>561</v>
      </c>
      <c r="G1359" t="s">
        <v>569</v>
      </c>
    </row>
    <row r="1360" spans="1:7" x14ac:dyDescent="0.2">
      <c r="A1360" t="s">
        <v>311</v>
      </c>
      <c r="B1360" t="s">
        <v>441</v>
      </c>
      <c r="C1360" t="s">
        <v>481</v>
      </c>
      <c r="E1360" t="s">
        <v>481</v>
      </c>
      <c r="F1360" t="s">
        <v>527</v>
      </c>
      <c r="G1360" t="s">
        <v>580</v>
      </c>
    </row>
    <row r="1361" spans="1:7" x14ac:dyDescent="0.2">
      <c r="A1361" t="s">
        <v>311</v>
      </c>
      <c r="B1361" t="s">
        <v>442</v>
      </c>
      <c r="C1361" t="s">
        <v>482</v>
      </c>
      <c r="E1361" t="s">
        <v>482</v>
      </c>
      <c r="F1361" t="s">
        <v>562</v>
      </c>
      <c r="G1361" t="s">
        <v>580</v>
      </c>
    </row>
    <row r="1362" spans="1:7" x14ac:dyDescent="0.2">
      <c r="A1362" t="s">
        <v>311</v>
      </c>
      <c r="B1362" t="s">
        <v>443</v>
      </c>
      <c r="C1362" t="s">
        <v>481</v>
      </c>
      <c r="E1362" t="s">
        <v>481</v>
      </c>
      <c r="F1362" t="s">
        <v>563</v>
      </c>
      <c r="G1362" t="s">
        <v>580</v>
      </c>
    </row>
    <row r="1363" spans="1:7" x14ac:dyDescent="0.2">
      <c r="A1363" t="s">
        <v>312</v>
      </c>
      <c r="B1363" t="s">
        <v>444</v>
      </c>
      <c r="C1363" t="s">
        <v>481</v>
      </c>
      <c r="E1363" t="s">
        <v>481</v>
      </c>
      <c r="F1363" t="s">
        <v>526</v>
      </c>
      <c r="G1363" t="s">
        <v>580</v>
      </c>
    </row>
    <row r="1364" spans="1:7" x14ac:dyDescent="0.2">
      <c r="A1364" t="s">
        <v>286</v>
      </c>
      <c r="B1364" t="s">
        <v>445</v>
      </c>
      <c r="C1364" t="s">
        <v>486</v>
      </c>
      <c r="E1364" t="s">
        <v>486</v>
      </c>
      <c r="F1364" t="s">
        <v>542</v>
      </c>
      <c r="G1364" t="s">
        <v>580</v>
      </c>
    </row>
    <row r="1365" spans="1:7" x14ac:dyDescent="0.2">
      <c r="A1365" t="s">
        <v>286</v>
      </c>
      <c r="B1365" t="s">
        <v>446</v>
      </c>
      <c r="C1365" t="s">
        <v>486</v>
      </c>
      <c r="E1365" t="s">
        <v>486</v>
      </c>
      <c r="F1365" t="s">
        <v>541</v>
      </c>
      <c r="G1365" t="s">
        <v>580</v>
      </c>
    </row>
    <row r="1366" spans="1:7" x14ac:dyDescent="0.2">
      <c r="A1366" t="s">
        <v>313</v>
      </c>
      <c r="B1366" t="s">
        <v>447</v>
      </c>
      <c r="C1366" t="s">
        <v>478</v>
      </c>
      <c r="E1366" t="s">
        <v>478</v>
      </c>
      <c r="F1366" t="s">
        <v>516</v>
      </c>
      <c r="G1366" t="s">
        <v>569</v>
      </c>
    </row>
    <row r="1367" spans="1:7" x14ac:dyDescent="0.2">
      <c r="A1367" t="s">
        <v>314</v>
      </c>
      <c r="B1367" t="s">
        <v>448</v>
      </c>
      <c r="C1367" t="s">
        <v>478</v>
      </c>
      <c r="E1367" t="s">
        <v>478</v>
      </c>
      <c r="F1367" t="s">
        <v>516</v>
      </c>
      <c r="G1367" t="s">
        <v>569</v>
      </c>
    </row>
    <row r="1368" spans="1:7" x14ac:dyDescent="0.2">
      <c r="A1368" t="s">
        <v>315</v>
      </c>
      <c r="B1368" t="s">
        <v>449</v>
      </c>
      <c r="C1368" t="s">
        <v>478</v>
      </c>
      <c r="E1368" t="s">
        <v>478</v>
      </c>
      <c r="F1368" t="s">
        <v>530</v>
      </c>
      <c r="G1368" t="s">
        <v>569</v>
      </c>
    </row>
    <row r="1369" spans="1:7" x14ac:dyDescent="0.2">
      <c r="A1369" t="s">
        <v>315</v>
      </c>
      <c r="B1369" t="s">
        <v>450</v>
      </c>
      <c r="C1369" t="s">
        <v>478</v>
      </c>
      <c r="E1369" t="s">
        <v>478</v>
      </c>
      <c r="F1369" t="s">
        <v>530</v>
      </c>
      <c r="G1369" t="s">
        <v>569</v>
      </c>
    </row>
    <row r="1370" spans="1:7" x14ac:dyDescent="0.2">
      <c r="A1370" t="s">
        <v>315</v>
      </c>
      <c r="B1370" t="s">
        <v>451</v>
      </c>
      <c r="C1370" t="s">
        <v>478</v>
      </c>
      <c r="E1370" t="s">
        <v>478</v>
      </c>
      <c r="F1370" t="s">
        <v>530</v>
      </c>
      <c r="G1370" t="s">
        <v>569</v>
      </c>
    </row>
    <row r="1371" spans="1:7" x14ac:dyDescent="0.2">
      <c r="A1371" t="s">
        <v>313</v>
      </c>
      <c r="B1371" t="s">
        <v>452</v>
      </c>
      <c r="C1371" t="s">
        <v>478</v>
      </c>
      <c r="E1371" t="s">
        <v>478</v>
      </c>
      <c r="F1371" t="s">
        <v>524</v>
      </c>
      <c r="G1371" t="s">
        <v>569</v>
      </c>
    </row>
    <row r="1372" spans="1:7" x14ac:dyDescent="0.2">
      <c r="A1372" t="s">
        <v>314</v>
      </c>
      <c r="B1372" t="s">
        <v>453</v>
      </c>
      <c r="C1372" t="s">
        <v>478</v>
      </c>
      <c r="E1372" t="s">
        <v>478</v>
      </c>
      <c r="F1372" t="s">
        <v>538</v>
      </c>
      <c r="G1372" t="s">
        <v>569</v>
      </c>
    </row>
    <row r="1373" spans="1:7" x14ac:dyDescent="0.2">
      <c r="A1373" t="s">
        <v>314</v>
      </c>
      <c r="B1373" t="s">
        <v>454</v>
      </c>
      <c r="C1373" t="s">
        <v>478</v>
      </c>
      <c r="E1373" t="s">
        <v>478</v>
      </c>
      <c r="F1373" t="s">
        <v>530</v>
      </c>
      <c r="G1373" t="s">
        <v>569</v>
      </c>
    </row>
    <row r="1374" spans="1:7" x14ac:dyDescent="0.2">
      <c r="A1374" t="s">
        <v>314</v>
      </c>
      <c r="B1374" t="s">
        <v>455</v>
      </c>
      <c r="C1374" t="s">
        <v>478</v>
      </c>
      <c r="E1374" t="s">
        <v>478</v>
      </c>
      <c r="F1374" t="s">
        <v>538</v>
      </c>
      <c r="G1374" t="s">
        <v>569</v>
      </c>
    </row>
    <row r="1375" spans="1:7" x14ac:dyDescent="0.2">
      <c r="A1375" t="s">
        <v>314</v>
      </c>
      <c r="B1375" t="s">
        <v>456</v>
      </c>
      <c r="C1375" t="s">
        <v>478</v>
      </c>
      <c r="E1375" t="s">
        <v>478</v>
      </c>
      <c r="F1375" t="s">
        <v>530</v>
      </c>
      <c r="G1375" t="s">
        <v>569</v>
      </c>
    </row>
    <row r="1376" spans="1:7" x14ac:dyDescent="0.2">
      <c r="A1376" t="s">
        <v>277</v>
      </c>
      <c r="B1376" t="s">
        <v>457</v>
      </c>
      <c r="C1376" t="s">
        <v>501</v>
      </c>
      <c r="E1376" t="s">
        <v>501</v>
      </c>
      <c r="F1376" t="s">
        <v>564</v>
      </c>
      <c r="G1376" t="s">
        <v>571</v>
      </c>
    </row>
    <row r="1377" spans="1:7" x14ac:dyDescent="0.2">
      <c r="A1377" t="s">
        <v>263</v>
      </c>
      <c r="B1377" t="s">
        <v>458</v>
      </c>
      <c r="C1377" t="s">
        <v>476</v>
      </c>
      <c r="E1377" t="s">
        <v>476</v>
      </c>
      <c r="F1377" t="s">
        <v>565</v>
      </c>
      <c r="G1377" t="s">
        <v>580</v>
      </c>
    </row>
    <row r="1378" spans="1:7" x14ac:dyDescent="0.2">
      <c r="A1378" t="s">
        <v>316</v>
      </c>
      <c r="B1378" t="s">
        <v>459</v>
      </c>
      <c r="C1378" t="s">
        <v>478</v>
      </c>
      <c r="E1378" t="s">
        <v>478</v>
      </c>
      <c r="F1378" t="s">
        <v>557</v>
      </c>
      <c r="G1378" t="s">
        <v>569</v>
      </c>
    </row>
    <row r="1379" spans="1:7" x14ac:dyDescent="0.2">
      <c r="A1379" t="s">
        <v>317</v>
      </c>
      <c r="B1379" t="s">
        <v>460</v>
      </c>
      <c r="C1379" t="s">
        <v>478</v>
      </c>
      <c r="E1379" t="s">
        <v>478</v>
      </c>
      <c r="F1379" t="s">
        <v>560</v>
      </c>
      <c r="G1379" t="s">
        <v>569</v>
      </c>
    </row>
    <row r="1380" spans="1:7" x14ac:dyDescent="0.2">
      <c r="A1380" t="s">
        <v>318</v>
      </c>
      <c r="B1380" t="s">
        <v>461</v>
      </c>
      <c r="C1380" t="s">
        <v>478</v>
      </c>
      <c r="E1380" t="s">
        <v>478</v>
      </c>
      <c r="F1380" t="s">
        <v>561</v>
      </c>
      <c r="G1380" t="s">
        <v>574</v>
      </c>
    </row>
    <row r="1381" spans="1:7" x14ac:dyDescent="0.2">
      <c r="A1381" t="s">
        <v>319</v>
      </c>
      <c r="B1381" t="s">
        <v>462</v>
      </c>
      <c r="C1381" t="s">
        <v>482</v>
      </c>
      <c r="E1381" t="s">
        <v>482</v>
      </c>
      <c r="F1381" t="s">
        <v>526</v>
      </c>
      <c r="G1381" t="s">
        <v>580</v>
      </c>
    </row>
    <row r="1382" spans="1:7" x14ac:dyDescent="0.2">
      <c r="A1382" t="s">
        <v>320</v>
      </c>
      <c r="B1382" t="s">
        <v>463</v>
      </c>
      <c r="C1382" t="s">
        <v>488</v>
      </c>
      <c r="E1382" t="s">
        <v>488</v>
      </c>
      <c r="F1382" t="s">
        <v>562</v>
      </c>
      <c r="G1382" t="s">
        <v>580</v>
      </c>
    </row>
    <row r="1383" spans="1:7" x14ac:dyDescent="0.2">
      <c r="A1383" t="s">
        <v>319</v>
      </c>
      <c r="B1383" t="s">
        <v>464</v>
      </c>
      <c r="C1383" t="s">
        <v>482</v>
      </c>
      <c r="E1383" t="s">
        <v>482</v>
      </c>
      <c r="F1383" t="s">
        <v>563</v>
      </c>
      <c r="G1383" t="s">
        <v>580</v>
      </c>
    </row>
    <row r="1384" spans="1:7" x14ac:dyDescent="0.2">
      <c r="A1384" t="s">
        <v>319</v>
      </c>
      <c r="B1384" t="s">
        <v>465</v>
      </c>
      <c r="C1384" t="s">
        <v>481</v>
      </c>
      <c r="E1384" t="s">
        <v>481</v>
      </c>
      <c r="F1384" t="s">
        <v>526</v>
      </c>
      <c r="G1384" t="s">
        <v>580</v>
      </c>
    </row>
    <row r="1385" spans="1:7" x14ac:dyDescent="0.2">
      <c r="A1385" t="s">
        <v>321</v>
      </c>
      <c r="B1385" t="s">
        <v>466</v>
      </c>
      <c r="C1385" t="s">
        <v>488</v>
      </c>
      <c r="E1385" t="s">
        <v>488</v>
      </c>
      <c r="F1385" t="s">
        <v>547</v>
      </c>
      <c r="G1385" t="s">
        <v>574</v>
      </c>
    </row>
    <row r="1386" spans="1:7" x14ac:dyDescent="0.2">
      <c r="A1386" t="s">
        <v>322</v>
      </c>
      <c r="B1386" t="s">
        <v>467</v>
      </c>
      <c r="C1386" t="s">
        <v>482</v>
      </c>
      <c r="E1386" t="s">
        <v>482</v>
      </c>
      <c r="F1386" t="s">
        <v>566</v>
      </c>
      <c r="G1386" t="s">
        <v>574</v>
      </c>
    </row>
    <row r="1387" spans="1:7" x14ac:dyDescent="0.2">
      <c r="A1387" t="s">
        <v>283</v>
      </c>
      <c r="B1387" t="s">
        <v>468</v>
      </c>
      <c r="C1387" t="s">
        <v>478</v>
      </c>
      <c r="E1387" t="s">
        <v>478</v>
      </c>
      <c r="F1387" t="s">
        <v>524</v>
      </c>
      <c r="G1387" t="s">
        <v>581</v>
      </c>
    </row>
    <row r="1388" spans="1:7" x14ac:dyDescent="0.2">
      <c r="A1388" t="s">
        <v>275</v>
      </c>
      <c r="B1388" t="s">
        <v>469</v>
      </c>
      <c r="C1388" t="s">
        <v>478</v>
      </c>
      <c r="E1388" t="s">
        <v>478</v>
      </c>
      <c r="F1388" t="s">
        <v>530</v>
      </c>
      <c r="G1388" t="s">
        <v>581</v>
      </c>
    </row>
    <row r="1389" spans="1:7" x14ac:dyDescent="0.2">
      <c r="A1389" t="s">
        <v>275</v>
      </c>
      <c r="B1389" t="s">
        <v>470</v>
      </c>
      <c r="C1389" t="s">
        <v>478</v>
      </c>
      <c r="E1389" t="s">
        <v>478</v>
      </c>
      <c r="F1389" t="s">
        <v>530</v>
      </c>
      <c r="G1389" t="s">
        <v>581</v>
      </c>
    </row>
    <row r="1390" spans="1:7" x14ac:dyDescent="0.2">
      <c r="A1390" t="s">
        <v>275</v>
      </c>
      <c r="B1390" t="s">
        <v>471</v>
      </c>
      <c r="C1390" t="s">
        <v>478</v>
      </c>
      <c r="E1390" t="s">
        <v>478</v>
      </c>
      <c r="F1390" t="s">
        <v>530</v>
      </c>
      <c r="G1390" t="s">
        <v>581</v>
      </c>
    </row>
    <row r="1391" spans="1:7" x14ac:dyDescent="0.2">
      <c r="A1391" t="s">
        <v>275</v>
      </c>
      <c r="B1391" t="s">
        <v>472</v>
      </c>
      <c r="C1391" t="s">
        <v>478</v>
      </c>
      <c r="E1391" t="s">
        <v>478</v>
      </c>
      <c r="F1391" t="s">
        <v>530</v>
      </c>
      <c r="G1391" t="s">
        <v>581</v>
      </c>
    </row>
    <row r="1392" spans="1:7" x14ac:dyDescent="0.2">
      <c r="A1392" t="s">
        <v>286</v>
      </c>
      <c r="B1392" t="s">
        <v>473</v>
      </c>
      <c r="C1392" t="s">
        <v>486</v>
      </c>
      <c r="E1392" t="s">
        <v>486</v>
      </c>
      <c r="F1392" t="s">
        <v>542</v>
      </c>
      <c r="G1392" t="s">
        <v>580</v>
      </c>
    </row>
    <row r="1393" spans="1:7" x14ac:dyDescent="0.2">
      <c r="A1393" t="s">
        <v>286</v>
      </c>
      <c r="B1393" t="s">
        <v>474</v>
      </c>
      <c r="C1393" t="s">
        <v>486</v>
      </c>
      <c r="E1393" t="s">
        <v>486</v>
      </c>
      <c r="F1393" t="s">
        <v>542</v>
      </c>
      <c r="G1393" t="s">
        <v>580</v>
      </c>
    </row>
    <row r="1394" spans="1:7" x14ac:dyDescent="0.2">
      <c r="A1394" t="s">
        <v>289</v>
      </c>
      <c r="B1394" t="s">
        <v>475</v>
      </c>
      <c r="C1394" t="s">
        <v>478</v>
      </c>
      <c r="E1394" t="s">
        <v>478</v>
      </c>
      <c r="F1394" t="s">
        <v>559</v>
      </c>
      <c r="G1394" t="s">
        <v>574</v>
      </c>
    </row>
    <row r="1395" spans="1:7" x14ac:dyDescent="0.2">
      <c r="A1395" t="s">
        <v>302</v>
      </c>
      <c r="B1395" t="s">
        <v>302</v>
      </c>
      <c r="C1395" t="s">
        <v>478</v>
      </c>
      <c r="E1395" t="s">
        <v>478</v>
      </c>
      <c r="F1395" t="s">
        <v>567</v>
      </c>
      <c r="G1395" t="s">
        <v>579</v>
      </c>
    </row>
    <row r="1396" spans="1:7" x14ac:dyDescent="0.2">
      <c r="A1396" t="s">
        <v>323</v>
      </c>
      <c r="B1396" t="s">
        <v>302</v>
      </c>
      <c r="C1396" t="s">
        <v>478</v>
      </c>
      <c r="E1396" t="s">
        <v>478</v>
      </c>
      <c r="F1396" t="s">
        <v>568</v>
      </c>
      <c r="G1396" t="s">
        <v>569</v>
      </c>
    </row>
    <row r="1397" spans="1:7" x14ac:dyDescent="0.2">
      <c r="A1397" t="s">
        <v>263</v>
      </c>
      <c r="B1397" t="s">
        <v>324</v>
      </c>
      <c r="C1397" t="s">
        <v>476</v>
      </c>
      <c r="E1397" t="s">
        <v>478</v>
      </c>
      <c r="F1397" t="s">
        <v>515</v>
      </c>
      <c r="G1397" t="s">
        <v>319</v>
      </c>
    </row>
    <row r="1398" spans="1:7" x14ac:dyDescent="0.2">
      <c r="A1398" t="s">
        <v>264</v>
      </c>
      <c r="B1398" t="s">
        <v>325</v>
      </c>
      <c r="C1398" t="s">
        <v>477</v>
      </c>
      <c r="E1398" t="s">
        <v>477</v>
      </c>
      <c r="F1398" t="s">
        <v>516</v>
      </c>
      <c r="G1398" t="s">
        <v>569</v>
      </c>
    </row>
    <row r="1399" spans="1:7" x14ac:dyDescent="0.2">
      <c r="A1399" t="s">
        <v>265</v>
      </c>
      <c r="B1399" t="s">
        <v>326</v>
      </c>
      <c r="C1399" t="s">
        <v>478</v>
      </c>
      <c r="E1399" t="s">
        <v>478</v>
      </c>
      <c r="F1399" t="s">
        <v>517</v>
      </c>
      <c r="G1399" t="s">
        <v>570</v>
      </c>
    </row>
    <row r="1400" spans="1:7" x14ac:dyDescent="0.2">
      <c r="A1400" t="s">
        <v>266</v>
      </c>
      <c r="B1400" t="s">
        <v>327</v>
      </c>
      <c r="C1400" t="s">
        <v>479</v>
      </c>
      <c r="E1400" t="s">
        <v>479</v>
      </c>
      <c r="F1400" t="s">
        <v>518</v>
      </c>
      <c r="G1400" t="s">
        <v>571</v>
      </c>
    </row>
    <row r="1401" spans="1:7" x14ac:dyDescent="0.2">
      <c r="A1401" t="s">
        <v>267</v>
      </c>
      <c r="B1401" t="s">
        <v>328</v>
      </c>
      <c r="C1401" t="s">
        <v>480</v>
      </c>
      <c r="E1401" t="s">
        <v>480</v>
      </c>
      <c r="F1401" t="s">
        <v>519</v>
      </c>
      <c r="G1401" t="s">
        <v>572</v>
      </c>
    </row>
    <row r="1402" spans="1:7" x14ac:dyDescent="0.2">
      <c r="A1402" t="s">
        <v>268</v>
      </c>
      <c r="B1402" t="s">
        <v>329</v>
      </c>
      <c r="C1402" t="s">
        <v>478</v>
      </c>
      <c r="E1402" t="s">
        <v>478</v>
      </c>
      <c r="F1402" t="s">
        <v>520</v>
      </c>
      <c r="G1402" t="s">
        <v>571</v>
      </c>
    </row>
    <row r="1403" spans="1:7" x14ac:dyDescent="0.2">
      <c r="A1403" t="s">
        <v>268</v>
      </c>
      <c r="B1403" t="s">
        <v>330</v>
      </c>
      <c r="C1403" t="s">
        <v>478</v>
      </c>
      <c r="E1403" t="s">
        <v>478</v>
      </c>
      <c r="F1403" t="s">
        <v>516</v>
      </c>
      <c r="G1403" t="s">
        <v>571</v>
      </c>
    </row>
    <row r="1404" spans="1:7" x14ac:dyDescent="0.2">
      <c r="A1404" t="s">
        <v>268</v>
      </c>
      <c r="B1404" t="s">
        <v>331</v>
      </c>
      <c r="C1404" t="s">
        <v>478</v>
      </c>
      <c r="E1404" t="s">
        <v>478</v>
      </c>
      <c r="F1404" t="s">
        <v>520</v>
      </c>
      <c r="G1404" t="s">
        <v>571</v>
      </c>
    </row>
    <row r="1405" spans="1:7" x14ac:dyDescent="0.2">
      <c r="A1405" t="s">
        <v>269</v>
      </c>
      <c r="B1405" t="s">
        <v>332</v>
      </c>
      <c r="C1405" t="s">
        <v>481</v>
      </c>
      <c r="E1405" t="s">
        <v>481</v>
      </c>
      <c r="F1405" t="s">
        <v>521</v>
      </c>
      <c r="G1405" t="s">
        <v>573</v>
      </c>
    </row>
    <row r="1406" spans="1:7" x14ac:dyDescent="0.2">
      <c r="A1406" t="s">
        <v>270</v>
      </c>
      <c r="B1406" t="s">
        <v>333</v>
      </c>
      <c r="C1406" t="s">
        <v>481</v>
      </c>
      <c r="E1406" t="s">
        <v>481</v>
      </c>
      <c r="F1406" t="s">
        <v>522</v>
      </c>
      <c r="G1406" t="s">
        <v>573</v>
      </c>
    </row>
    <row r="1407" spans="1:7" x14ac:dyDescent="0.2">
      <c r="A1407" t="s">
        <v>270</v>
      </c>
      <c r="B1407" t="s">
        <v>334</v>
      </c>
      <c r="C1407" t="s">
        <v>481</v>
      </c>
      <c r="E1407" t="s">
        <v>481</v>
      </c>
      <c r="F1407" t="s">
        <v>523</v>
      </c>
      <c r="G1407" t="s">
        <v>573</v>
      </c>
    </row>
    <row r="1408" spans="1:7" x14ac:dyDescent="0.2">
      <c r="A1408" t="s">
        <v>271</v>
      </c>
      <c r="B1408" t="s">
        <v>335</v>
      </c>
      <c r="C1408" t="s">
        <v>478</v>
      </c>
      <c r="E1408" t="s">
        <v>478</v>
      </c>
      <c r="F1408" t="s">
        <v>524</v>
      </c>
      <c r="G1408" t="s">
        <v>574</v>
      </c>
    </row>
    <row r="1409" spans="1:7" x14ac:dyDescent="0.2">
      <c r="A1409" t="s">
        <v>269</v>
      </c>
      <c r="B1409" t="s">
        <v>336</v>
      </c>
      <c r="C1409" t="s">
        <v>481</v>
      </c>
      <c r="E1409" t="s">
        <v>481</v>
      </c>
      <c r="F1409" t="s">
        <v>525</v>
      </c>
      <c r="G1409" t="s">
        <v>573</v>
      </c>
    </row>
    <row r="1410" spans="1:7" x14ac:dyDescent="0.2">
      <c r="A1410" t="s">
        <v>272</v>
      </c>
      <c r="B1410" t="s">
        <v>337</v>
      </c>
      <c r="C1410" t="s">
        <v>481</v>
      </c>
      <c r="E1410" t="s">
        <v>481</v>
      </c>
      <c r="F1410" t="s">
        <v>526</v>
      </c>
      <c r="G1410" t="s">
        <v>572</v>
      </c>
    </row>
    <row r="1411" spans="1:7" x14ac:dyDescent="0.2">
      <c r="A1411" t="s">
        <v>272</v>
      </c>
      <c r="B1411" t="s">
        <v>338</v>
      </c>
      <c r="C1411" t="s">
        <v>481</v>
      </c>
      <c r="E1411" t="s">
        <v>481</v>
      </c>
      <c r="F1411" t="s">
        <v>527</v>
      </c>
      <c r="G1411" t="s">
        <v>572</v>
      </c>
    </row>
    <row r="1412" spans="1:7" x14ac:dyDescent="0.2">
      <c r="A1412" t="s">
        <v>273</v>
      </c>
      <c r="B1412" t="s">
        <v>339</v>
      </c>
      <c r="C1412" t="s">
        <v>481</v>
      </c>
      <c r="E1412" t="s">
        <v>481</v>
      </c>
      <c r="F1412" t="s">
        <v>527</v>
      </c>
      <c r="G1412" t="s">
        <v>572</v>
      </c>
    </row>
    <row r="1413" spans="1:7" x14ac:dyDescent="0.2">
      <c r="A1413" t="s">
        <v>273</v>
      </c>
      <c r="B1413" t="s">
        <v>340</v>
      </c>
      <c r="C1413" t="s">
        <v>482</v>
      </c>
      <c r="E1413" t="s">
        <v>482</v>
      </c>
      <c r="F1413" t="s">
        <v>528</v>
      </c>
      <c r="G1413" t="s">
        <v>572</v>
      </c>
    </row>
    <row r="1414" spans="1:7" x14ac:dyDescent="0.2">
      <c r="A1414" t="s">
        <v>273</v>
      </c>
      <c r="B1414" t="s">
        <v>341</v>
      </c>
      <c r="C1414" t="s">
        <v>481</v>
      </c>
      <c r="E1414" t="s">
        <v>481</v>
      </c>
      <c r="F1414" t="s">
        <v>527</v>
      </c>
      <c r="G1414" t="s">
        <v>572</v>
      </c>
    </row>
    <row r="1415" spans="1:7" x14ac:dyDescent="0.2">
      <c r="A1415" t="s">
        <v>273</v>
      </c>
      <c r="B1415" t="s">
        <v>342</v>
      </c>
      <c r="C1415" t="s">
        <v>481</v>
      </c>
      <c r="E1415" t="s">
        <v>481</v>
      </c>
      <c r="F1415" t="s">
        <v>526</v>
      </c>
      <c r="G1415" t="s">
        <v>572</v>
      </c>
    </row>
    <row r="1416" spans="1:7" x14ac:dyDescent="0.2">
      <c r="A1416" t="s">
        <v>274</v>
      </c>
      <c r="B1416" t="s">
        <v>343</v>
      </c>
      <c r="C1416" t="s">
        <v>483</v>
      </c>
      <c r="E1416" t="s">
        <v>483</v>
      </c>
      <c r="F1416" t="s">
        <v>529</v>
      </c>
      <c r="G1416" t="s">
        <v>575</v>
      </c>
    </row>
    <row r="1417" spans="1:7" x14ac:dyDescent="0.2">
      <c r="A1417" t="s">
        <v>275</v>
      </c>
      <c r="B1417" t="s">
        <v>344</v>
      </c>
      <c r="C1417" t="s">
        <v>478</v>
      </c>
      <c r="E1417" t="s">
        <v>477</v>
      </c>
      <c r="F1417" t="s">
        <v>530</v>
      </c>
      <c r="G1417" t="s">
        <v>575</v>
      </c>
    </row>
    <row r="1418" spans="1:7" x14ac:dyDescent="0.2">
      <c r="A1418" t="s">
        <v>275</v>
      </c>
      <c r="B1418" t="s">
        <v>345</v>
      </c>
      <c r="C1418" t="s">
        <v>478</v>
      </c>
      <c r="E1418" t="s">
        <v>477</v>
      </c>
      <c r="F1418" t="s">
        <v>530</v>
      </c>
      <c r="G1418" t="s">
        <v>575</v>
      </c>
    </row>
    <row r="1419" spans="1:7" x14ac:dyDescent="0.2">
      <c r="A1419" t="s">
        <v>275</v>
      </c>
      <c r="B1419" t="s">
        <v>346</v>
      </c>
      <c r="C1419" t="s">
        <v>478</v>
      </c>
      <c r="E1419" t="s">
        <v>477</v>
      </c>
      <c r="F1419" t="s">
        <v>530</v>
      </c>
      <c r="G1419" t="s">
        <v>575</v>
      </c>
    </row>
    <row r="1420" spans="1:7" x14ac:dyDescent="0.2">
      <c r="A1420" t="s">
        <v>275</v>
      </c>
      <c r="B1420" t="s">
        <v>347</v>
      </c>
      <c r="C1420" t="s">
        <v>478</v>
      </c>
      <c r="E1420" t="s">
        <v>477</v>
      </c>
      <c r="F1420" t="s">
        <v>530</v>
      </c>
      <c r="G1420" t="s">
        <v>575</v>
      </c>
    </row>
    <row r="1421" spans="1:7" x14ac:dyDescent="0.2">
      <c r="A1421" t="s">
        <v>275</v>
      </c>
      <c r="B1421" t="s">
        <v>348</v>
      </c>
      <c r="C1421" t="s">
        <v>478</v>
      </c>
      <c r="E1421" t="s">
        <v>477</v>
      </c>
      <c r="F1421" t="s">
        <v>530</v>
      </c>
      <c r="G1421" t="s">
        <v>575</v>
      </c>
    </row>
    <row r="1422" spans="1:7" x14ac:dyDescent="0.2">
      <c r="A1422" t="s">
        <v>275</v>
      </c>
      <c r="B1422" t="s">
        <v>349</v>
      </c>
      <c r="C1422" t="s">
        <v>478</v>
      </c>
      <c r="E1422" t="s">
        <v>477</v>
      </c>
      <c r="F1422" t="s">
        <v>530</v>
      </c>
      <c r="G1422" t="s">
        <v>575</v>
      </c>
    </row>
    <row r="1423" spans="1:7" x14ac:dyDescent="0.2">
      <c r="A1423" t="s">
        <v>275</v>
      </c>
      <c r="B1423" t="s">
        <v>350</v>
      </c>
      <c r="C1423" t="s">
        <v>478</v>
      </c>
      <c r="E1423" t="s">
        <v>477</v>
      </c>
      <c r="F1423" t="s">
        <v>530</v>
      </c>
      <c r="G1423" t="s">
        <v>575</v>
      </c>
    </row>
    <row r="1424" spans="1:7" x14ac:dyDescent="0.2">
      <c r="A1424" t="s">
        <v>275</v>
      </c>
      <c r="B1424" t="s">
        <v>351</v>
      </c>
      <c r="C1424" t="s">
        <v>478</v>
      </c>
      <c r="E1424" t="s">
        <v>477</v>
      </c>
      <c r="F1424" t="s">
        <v>530</v>
      </c>
      <c r="G1424" t="s">
        <v>575</v>
      </c>
    </row>
    <row r="1425" spans="1:7" x14ac:dyDescent="0.2">
      <c r="A1425" t="s">
        <v>275</v>
      </c>
      <c r="B1425" t="s">
        <v>352</v>
      </c>
      <c r="C1425" t="s">
        <v>478</v>
      </c>
      <c r="E1425" t="s">
        <v>477</v>
      </c>
      <c r="F1425" t="s">
        <v>530</v>
      </c>
      <c r="G1425" t="s">
        <v>575</v>
      </c>
    </row>
    <row r="1426" spans="1:7" x14ac:dyDescent="0.2">
      <c r="A1426" t="s">
        <v>264</v>
      </c>
      <c r="B1426" t="s">
        <v>353</v>
      </c>
      <c r="C1426" t="s">
        <v>478</v>
      </c>
      <c r="E1426" t="s">
        <v>477</v>
      </c>
      <c r="F1426" t="s">
        <v>516</v>
      </c>
      <c r="G1426" t="s">
        <v>575</v>
      </c>
    </row>
    <row r="1427" spans="1:7" x14ac:dyDescent="0.2">
      <c r="A1427" t="s">
        <v>276</v>
      </c>
      <c r="B1427" t="s">
        <v>354</v>
      </c>
      <c r="C1427" t="s">
        <v>484</v>
      </c>
      <c r="E1427" t="s">
        <v>484</v>
      </c>
      <c r="F1427" t="s">
        <v>531</v>
      </c>
      <c r="G1427" t="s">
        <v>575</v>
      </c>
    </row>
    <row r="1428" spans="1:7" x14ac:dyDescent="0.2">
      <c r="A1428" t="s">
        <v>275</v>
      </c>
      <c r="B1428" t="s">
        <v>355</v>
      </c>
      <c r="C1428" t="s">
        <v>478</v>
      </c>
      <c r="E1428" t="s">
        <v>477</v>
      </c>
      <c r="F1428" t="s">
        <v>530</v>
      </c>
      <c r="G1428" t="s">
        <v>575</v>
      </c>
    </row>
    <row r="1429" spans="1:7" x14ac:dyDescent="0.2">
      <c r="A1429" t="s">
        <v>275</v>
      </c>
      <c r="B1429" t="s">
        <v>356</v>
      </c>
      <c r="C1429" t="s">
        <v>478</v>
      </c>
      <c r="E1429" t="s">
        <v>477</v>
      </c>
      <c r="F1429" t="s">
        <v>530</v>
      </c>
      <c r="G1429" t="s">
        <v>575</v>
      </c>
    </row>
    <row r="1430" spans="1:7" x14ac:dyDescent="0.2">
      <c r="A1430" t="s">
        <v>275</v>
      </c>
      <c r="B1430" t="s">
        <v>357</v>
      </c>
      <c r="C1430" t="s">
        <v>478</v>
      </c>
      <c r="E1430" t="s">
        <v>477</v>
      </c>
      <c r="F1430" t="s">
        <v>530</v>
      </c>
      <c r="G1430" t="s">
        <v>575</v>
      </c>
    </row>
    <row r="1431" spans="1:7" x14ac:dyDescent="0.2">
      <c r="A1431" t="s">
        <v>275</v>
      </c>
      <c r="B1431" t="s">
        <v>358</v>
      </c>
      <c r="C1431" t="s">
        <v>478</v>
      </c>
      <c r="E1431" t="s">
        <v>477</v>
      </c>
      <c r="F1431" t="s">
        <v>530</v>
      </c>
      <c r="G1431" t="s">
        <v>575</v>
      </c>
    </row>
    <row r="1432" spans="1:7" x14ac:dyDescent="0.2">
      <c r="A1432" t="s">
        <v>275</v>
      </c>
      <c r="B1432" t="s">
        <v>359</v>
      </c>
      <c r="C1432" t="s">
        <v>478</v>
      </c>
      <c r="E1432" t="s">
        <v>477</v>
      </c>
      <c r="F1432" t="s">
        <v>530</v>
      </c>
      <c r="G1432" t="s">
        <v>575</v>
      </c>
    </row>
    <row r="1433" spans="1:7" x14ac:dyDescent="0.2">
      <c r="A1433" t="s">
        <v>275</v>
      </c>
      <c r="B1433" t="s">
        <v>360</v>
      </c>
      <c r="C1433" t="s">
        <v>478</v>
      </c>
      <c r="E1433" t="s">
        <v>477</v>
      </c>
      <c r="F1433" t="s">
        <v>530</v>
      </c>
      <c r="G1433" t="s">
        <v>575</v>
      </c>
    </row>
    <row r="1434" spans="1:7" x14ac:dyDescent="0.2">
      <c r="A1434" t="s">
        <v>264</v>
      </c>
      <c r="B1434" t="s">
        <v>361</v>
      </c>
      <c r="C1434" t="s">
        <v>478</v>
      </c>
      <c r="E1434" t="s">
        <v>477</v>
      </c>
      <c r="F1434" t="s">
        <v>516</v>
      </c>
      <c r="G1434" t="s">
        <v>575</v>
      </c>
    </row>
    <row r="1435" spans="1:7" x14ac:dyDescent="0.2">
      <c r="A1435" t="s">
        <v>265</v>
      </c>
      <c r="B1435" t="s">
        <v>362</v>
      </c>
      <c r="C1435" t="s">
        <v>478</v>
      </c>
      <c r="E1435" t="s">
        <v>491</v>
      </c>
      <c r="F1435" t="s">
        <v>532</v>
      </c>
      <c r="G1435" t="s">
        <v>570</v>
      </c>
    </row>
    <row r="1436" spans="1:7" x14ac:dyDescent="0.2">
      <c r="A1436" t="s">
        <v>277</v>
      </c>
      <c r="B1436" t="s">
        <v>363</v>
      </c>
      <c r="C1436" t="s">
        <v>485</v>
      </c>
      <c r="E1436" t="s">
        <v>485</v>
      </c>
      <c r="F1436" t="s">
        <v>525</v>
      </c>
      <c r="G1436" t="s">
        <v>571</v>
      </c>
    </row>
    <row r="1437" spans="1:7" x14ac:dyDescent="0.2">
      <c r="A1437" t="s">
        <v>267</v>
      </c>
      <c r="B1437" t="s">
        <v>364</v>
      </c>
      <c r="C1437" t="s">
        <v>480</v>
      </c>
      <c r="E1437" t="s">
        <v>480</v>
      </c>
      <c r="F1437" t="s">
        <v>533</v>
      </c>
      <c r="G1437" t="s">
        <v>572</v>
      </c>
    </row>
    <row r="1438" spans="1:7" x14ac:dyDescent="0.2">
      <c r="A1438" t="s">
        <v>278</v>
      </c>
      <c r="B1438" t="s">
        <v>365</v>
      </c>
      <c r="C1438" t="s">
        <v>486</v>
      </c>
      <c r="E1438" t="s">
        <v>486</v>
      </c>
      <c r="F1438" t="s">
        <v>534</v>
      </c>
      <c r="G1438" t="s">
        <v>573</v>
      </c>
    </row>
    <row r="1439" spans="1:7" x14ac:dyDescent="0.2">
      <c r="A1439" t="s">
        <v>278</v>
      </c>
      <c r="B1439" t="s">
        <v>366</v>
      </c>
      <c r="C1439" t="s">
        <v>486</v>
      </c>
      <c r="E1439" t="s">
        <v>486</v>
      </c>
      <c r="F1439" t="s">
        <v>534</v>
      </c>
      <c r="G1439" t="s">
        <v>573</v>
      </c>
    </row>
    <row r="1440" spans="1:7" x14ac:dyDescent="0.2">
      <c r="A1440" t="s">
        <v>279</v>
      </c>
      <c r="B1440" t="s">
        <v>367</v>
      </c>
      <c r="C1440" t="s">
        <v>487</v>
      </c>
      <c r="E1440" t="s">
        <v>487</v>
      </c>
      <c r="F1440" t="s">
        <v>535</v>
      </c>
      <c r="G1440" t="s">
        <v>573</v>
      </c>
    </row>
    <row r="1441" spans="1:7" x14ac:dyDescent="0.2">
      <c r="A1441" t="s">
        <v>279</v>
      </c>
      <c r="B1441" t="s">
        <v>368</v>
      </c>
      <c r="C1441" t="s">
        <v>487</v>
      </c>
      <c r="E1441" t="s">
        <v>487</v>
      </c>
      <c r="F1441" t="s">
        <v>527</v>
      </c>
      <c r="G1441" t="s">
        <v>573</v>
      </c>
    </row>
    <row r="1442" spans="1:7" x14ac:dyDescent="0.2">
      <c r="A1442" t="s">
        <v>280</v>
      </c>
      <c r="B1442" t="s">
        <v>369</v>
      </c>
      <c r="C1442" t="s">
        <v>482</v>
      </c>
      <c r="E1442" t="s">
        <v>482</v>
      </c>
      <c r="F1442" t="s">
        <v>526</v>
      </c>
      <c r="G1442" t="s">
        <v>572</v>
      </c>
    </row>
    <row r="1443" spans="1:7" x14ac:dyDescent="0.2">
      <c r="A1443" t="s">
        <v>280</v>
      </c>
      <c r="B1443" t="s">
        <v>370</v>
      </c>
      <c r="C1443" t="s">
        <v>482</v>
      </c>
      <c r="E1443" t="s">
        <v>482</v>
      </c>
      <c r="F1443" t="s">
        <v>527</v>
      </c>
      <c r="G1443" t="s">
        <v>572</v>
      </c>
    </row>
    <row r="1444" spans="1:7" x14ac:dyDescent="0.2">
      <c r="A1444" t="s">
        <v>272</v>
      </c>
      <c r="B1444" t="s">
        <v>371</v>
      </c>
      <c r="C1444" t="s">
        <v>482</v>
      </c>
      <c r="E1444" t="s">
        <v>482</v>
      </c>
      <c r="F1444" t="s">
        <v>527</v>
      </c>
      <c r="G1444" t="s">
        <v>572</v>
      </c>
    </row>
    <row r="1445" spans="1:7" x14ac:dyDescent="0.2">
      <c r="A1445" t="s">
        <v>272</v>
      </c>
      <c r="B1445" t="s">
        <v>372</v>
      </c>
      <c r="C1445" t="s">
        <v>488</v>
      </c>
      <c r="E1445" t="s">
        <v>488</v>
      </c>
      <c r="F1445" t="s">
        <v>528</v>
      </c>
      <c r="G1445" t="s">
        <v>572</v>
      </c>
    </row>
    <row r="1446" spans="1:7" x14ac:dyDescent="0.2">
      <c r="A1446" t="s">
        <v>281</v>
      </c>
      <c r="B1446" t="s">
        <v>373</v>
      </c>
      <c r="C1446" t="s">
        <v>482</v>
      </c>
      <c r="E1446" t="s">
        <v>482</v>
      </c>
      <c r="F1446" t="s">
        <v>527</v>
      </c>
      <c r="G1446" t="s">
        <v>572</v>
      </c>
    </row>
    <row r="1447" spans="1:7" x14ac:dyDescent="0.2">
      <c r="A1447" t="s">
        <v>273</v>
      </c>
      <c r="B1447" t="s">
        <v>374</v>
      </c>
      <c r="C1447" t="s">
        <v>481</v>
      </c>
      <c r="E1447" t="s">
        <v>481</v>
      </c>
      <c r="F1447" t="s">
        <v>526</v>
      </c>
      <c r="G1447" t="s">
        <v>572</v>
      </c>
    </row>
    <row r="1448" spans="1:7" x14ac:dyDescent="0.2">
      <c r="A1448" t="s">
        <v>282</v>
      </c>
      <c r="B1448" t="s">
        <v>375</v>
      </c>
      <c r="C1448" t="s">
        <v>489</v>
      </c>
      <c r="E1448" t="s">
        <v>489</v>
      </c>
      <c r="F1448" t="s">
        <v>526</v>
      </c>
      <c r="G1448" t="s">
        <v>572</v>
      </c>
    </row>
    <row r="1449" spans="1:7" x14ac:dyDescent="0.2">
      <c r="A1449" t="s">
        <v>283</v>
      </c>
      <c r="B1449" t="s">
        <v>376</v>
      </c>
      <c r="C1449" t="s">
        <v>490</v>
      </c>
      <c r="E1449" t="s">
        <v>478</v>
      </c>
      <c r="F1449" t="s">
        <v>536</v>
      </c>
      <c r="G1449" t="s">
        <v>575</v>
      </c>
    </row>
    <row r="1450" spans="1:7" x14ac:dyDescent="0.2">
      <c r="A1450" t="s">
        <v>275</v>
      </c>
      <c r="B1450" t="s">
        <v>377</v>
      </c>
      <c r="C1450" t="s">
        <v>478</v>
      </c>
      <c r="E1450" t="s">
        <v>477</v>
      </c>
      <c r="F1450" t="s">
        <v>537</v>
      </c>
      <c r="G1450" t="s">
        <v>575</v>
      </c>
    </row>
    <row r="1451" spans="1:7" x14ac:dyDescent="0.2">
      <c r="A1451" t="s">
        <v>275</v>
      </c>
      <c r="B1451" t="s">
        <v>378</v>
      </c>
      <c r="C1451" t="s">
        <v>478</v>
      </c>
      <c r="E1451" t="s">
        <v>477</v>
      </c>
      <c r="F1451" t="s">
        <v>538</v>
      </c>
      <c r="G1451" t="s">
        <v>575</v>
      </c>
    </row>
    <row r="1452" spans="1:7" x14ac:dyDescent="0.2">
      <c r="A1452" t="s">
        <v>275</v>
      </c>
      <c r="B1452" t="s">
        <v>379</v>
      </c>
      <c r="C1452" t="s">
        <v>478</v>
      </c>
      <c r="E1452" t="s">
        <v>477</v>
      </c>
      <c r="F1452" t="s">
        <v>538</v>
      </c>
      <c r="G1452" t="s">
        <v>575</v>
      </c>
    </row>
    <row r="1453" spans="1:7" x14ac:dyDescent="0.2">
      <c r="A1453" t="s">
        <v>275</v>
      </c>
      <c r="B1453" t="s">
        <v>380</v>
      </c>
      <c r="C1453" t="s">
        <v>478</v>
      </c>
      <c r="E1453" t="s">
        <v>477</v>
      </c>
      <c r="F1453" t="s">
        <v>530</v>
      </c>
      <c r="G1453" t="s">
        <v>575</v>
      </c>
    </row>
    <row r="1454" spans="1:7" x14ac:dyDescent="0.2">
      <c r="A1454" t="s">
        <v>275</v>
      </c>
      <c r="B1454" t="s">
        <v>381</v>
      </c>
      <c r="C1454" t="s">
        <v>478</v>
      </c>
      <c r="E1454" t="s">
        <v>477</v>
      </c>
      <c r="F1454" t="s">
        <v>530</v>
      </c>
      <c r="G1454" t="s">
        <v>575</v>
      </c>
    </row>
    <row r="1455" spans="1:7" x14ac:dyDescent="0.2">
      <c r="A1455" t="s">
        <v>275</v>
      </c>
      <c r="B1455" t="s">
        <v>382</v>
      </c>
      <c r="C1455" t="s">
        <v>478</v>
      </c>
      <c r="E1455" t="s">
        <v>477</v>
      </c>
      <c r="F1455" t="s">
        <v>530</v>
      </c>
      <c r="G1455" t="s">
        <v>575</v>
      </c>
    </row>
    <row r="1456" spans="1:7" x14ac:dyDescent="0.2">
      <c r="A1456" t="s">
        <v>275</v>
      </c>
      <c r="B1456" t="s">
        <v>383</v>
      </c>
      <c r="C1456" t="s">
        <v>478</v>
      </c>
      <c r="E1456" t="s">
        <v>477</v>
      </c>
      <c r="F1456" t="s">
        <v>530</v>
      </c>
      <c r="G1456" t="s">
        <v>575</v>
      </c>
    </row>
    <row r="1457" spans="1:7" x14ac:dyDescent="0.2">
      <c r="A1457" t="s">
        <v>264</v>
      </c>
      <c r="B1457" t="s">
        <v>384</v>
      </c>
      <c r="C1457" t="s">
        <v>478</v>
      </c>
      <c r="E1457" t="s">
        <v>477</v>
      </c>
      <c r="F1457" t="s">
        <v>516</v>
      </c>
      <c r="G1457" t="s">
        <v>575</v>
      </c>
    </row>
    <row r="1458" spans="1:7" x14ac:dyDescent="0.2">
      <c r="A1458" t="s">
        <v>284</v>
      </c>
      <c r="B1458" t="s">
        <v>385</v>
      </c>
      <c r="C1458" t="s">
        <v>477</v>
      </c>
      <c r="E1458" t="s">
        <v>477</v>
      </c>
      <c r="F1458" t="s">
        <v>539</v>
      </c>
      <c r="G1458" t="s">
        <v>570</v>
      </c>
    </row>
    <row r="1459" spans="1:7" x14ac:dyDescent="0.2">
      <c r="A1459" t="s">
        <v>285</v>
      </c>
      <c r="B1459" t="s">
        <v>386</v>
      </c>
      <c r="C1459" t="s">
        <v>477</v>
      </c>
      <c r="E1459" t="s">
        <v>477</v>
      </c>
      <c r="F1459" t="s">
        <v>531</v>
      </c>
      <c r="G1459" t="s">
        <v>570</v>
      </c>
    </row>
    <row r="1460" spans="1:7" x14ac:dyDescent="0.2">
      <c r="A1460" t="s">
        <v>286</v>
      </c>
      <c r="B1460" t="s">
        <v>387</v>
      </c>
      <c r="C1460" t="s">
        <v>486</v>
      </c>
      <c r="E1460" t="s">
        <v>486</v>
      </c>
      <c r="F1460" t="s">
        <v>540</v>
      </c>
      <c r="G1460" t="s">
        <v>572</v>
      </c>
    </row>
    <row r="1461" spans="1:7" x14ac:dyDescent="0.2">
      <c r="A1461" t="s">
        <v>286</v>
      </c>
      <c r="B1461" t="s">
        <v>388</v>
      </c>
      <c r="C1461" t="s">
        <v>491</v>
      </c>
      <c r="E1461" t="s">
        <v>491</v>
      </c>
      <c r="F1461" t="s">
        <v>524</v>
      </c>
      <c r="G1461" t="s">
        <v>573</v>
      </c>
    </row>
    <row r="1462" spans="1:7" x14ac:dyDescent="0.2">
      <c r="A1462" t="s">
        <v>286</v>
      </c>
      <c r="B1462" t="s">
        <v>389</v>
      </c>
      <c r="C1462" t="s">
        <v>491</v>
      </c>
      <c r="E1462" t="s">
        <v>491</v>
      </c>
      <c r="F1462" t="s">
        <v>524</v>
      </c>
      <c r="G1462" t="s">
        <v>573</v>
      </c>
    </row>
    <row r="1463" spans="1:7" x14ac:dyDescent="0.2">
      <c r="A1463" t="s">
        <v>286</v>
      </c>
      <c r="B1463" t="s">
        <v>390</v>
      </c>
      <c r="C1463" t="s">
        <v>491</v>
      </c>
      <c r="E1463" t="s">
        <v>491</v>
      </c>
      <c r="F1463" t="s">
        <v>524</v>
      </c>
      <c r="G1463" t="s">
        <v>573</v>
      </c>
    </row>
    <row r="1464" spans="1:7" x14ac:dyDescent="0.2">
      <c r="A1464" t="s">
        <v>286</v>
      </c>
      <c r="B1464" t="s">
        <v>391</v>
      </c>
      <c r="C1464" t="s">
        <v>491</v>
      </c>
      <c r="E1464" t="s">
        <v>491</v>
      </c>
      <c r="F1464" t="s">
        <v>524</v>
      </c>
      <c r="G1464" t="s">
        <v>573</v>
      </c>
    </row>
    <row r="1465" spans="1:7" x14ac:dyDescent="0.2">
      <c r="A1465" t="s">
        <v>286</v>
      </c>
      <c r="B1465" t="s">
        <v>392</v>
      </c>
      <c r="C1465" t="s">
        <v>491</v>
      </c>
      <c r="E1465" t="s">
        <v>491</v>
      </c>
      <c r="F1465" t="s">
        <v>524</v>
      </c>
      <c r="G1465" t="s">
        <v>573</v>
      </c>
    </row>
    <row r="1466" spans="1:7" x14ac:dyDescent="0.2">
      <c r="A1466" t="s">
        <v>286</v>
      </c>
      <c r="B1466" t="s">
        <v>393</v>
      </c>
      <c r="C1466" t="s">
        <v>491</v>
      </c>
      <c r="E1466" t="s">
        <v>491</v>
      </c>
      <c r="F1466" t="s">
        <v>524</v>
      </c>
      <c r="G1466" t="s">
        <v>573</v>
      </c>
    </row>
    <row r="1467" spans="1:7" x14ac:dyDescent="0.2">
      <c r="A1467" t="s">
        <v>286</v>
      </c>
      <c r="B1467" t="s">
        <v>394</v>
      </c>
      <c r="C1467" t="s">
        <v>491</v>
      </c>
      <c r="E1467" t="s">
        <v>491</v>
      </c>
      <c r="F1467" t="s">
        <v>524</v>
      </c>
      <c r="G1467" t="s">
        <v>573</v>
      </c>
    </row>
    <row r="1468" spans="1:7" x14ac:dyDescent="0.2">
      <c r="A1468" t="s">
        <v>286</v>
      </c>
      <c r="B1468" t="s">
        <v>394</v>
      </c>
      <c r="C1468" t="s">
        <v>491</v>
      </c>
      <c r="E1468" t="s">
        <v>491</v>
      </c>
      <c r="F1468" t="s">
        <v>524</v>
      </c>
      <c r="G1468" t="s">
        <v>573</v>
      </c>
    </row>
    <row r="1469" spans="1:7" x14ac:dyDescent="0.2">
      <c r="A1469" t="s">
        <v>286</v>
      </c>
      <c r="B1469" t="s">
        <v>395</v>
      </c>
      <c r="C1469" t="s">
        <v>491</v>
      </c>
      <c r="E1469" t="s">
        <v>491</v>
      </c>
      <c r="F1469" t="s">
        <v>524</v>
      </c>
      <c r="G1469" t="s">
        <v>573</v>
      </c>
    </row>
    <row r="1470" spans="1:7" x14ac:dyDescent="0.2">
      <c r="A1470" t="s">
        <v>286</v>
      </c>
      <c r="B1470" t="s">
        <v>396</v>
      </c>
      <c r="C1470" t="s">
        <v>486</v>
      </c>
      <c r="E1470" t="s">
        <v>486</v>
      </c>
      <c r="F1470" t="s">
        <v>541</v>
      </c>
      <c r="G1470" t="s">
        <v>573</v>
      </c>
    </row>
    <row r="1471" spans="1:7" x14ac:dyDescent="0.2">
      <c r="A1471" t="s">
        <v>286</v>
      </c>
      <c r="B1471" t="s">
        <v>397</v>
      </c>
      <c r="C1471" t="s">
        <v>486</v>
      </c>
      <c r="E1471" t="s">
        <v>486</v>
      </c>
      <c r="F1471" t="s">
        <v>541</v>
      </c>
      <c r="G1471" t="s">
        <v>573</v>
      </c>
    </row>
    <row r="1472" spans="1:7" x14ac:dyDescent="0.2">
      <c r="A1472" t="s">
        <v>286</v>
      </c>
      <c r="B1472" t="s">
        <v>398</v>
      </c>
      <c r="C1472" t="s">
        <v>486</v>
      </c>
      <c r="E1472" t="s">
        <v>486</v>
      </c>
      <c r="F1472" t="s">
        <v>541</v>
      </c>
      <c r="G1472" t="s">
        <v>573</v>
      </c>
    </row>
    <row r="1473" spans="1:7" x14ac:dyDescent="0.2">
      <c r="A1473" t="s">
        <v>287</v>
      </c>
      <c r="B1473" t="s">
        <v>399</v>
      </c>
      <c r="C1473" t="s">
        <v>477</v>
      </c>
      <c r="E1473" t="s">
        <v>477</v>
      </c>
      <c r="F1473" t="s">
        <v>542</v>
      </c>
      <c r="G1473" t="s">
        <v>573</v>
      </c>
    </row>
    <row r="1474" spans="1:7" x14ac:dyDescent="0.2">
      <c r="A1474" t="s">
        <v>288</v>
      </c>
      <c r="B1474" t="s">
        <v>400</v>
      </c>
      <c r="C1474" t="s">
        <v>477</v>
      </c>
      <c r="E1474" t="s">
        <v>477</v>
      </c>
      <c r="F1474" t="s">
        <v>543</v>
      </c>
      <c r="G1474" t="s">
        <v>573</v>
      </c>
    </row>
    <row r="1475" spans="1:7" x14ac:dyDescent="0.2">
      <c r="A1475" t="s">
        <v>285</v>
      </c>
      <c r="B1475" t="s">
        <v>401</v>
      </c>
      <c r="C1475" t="s">
        <v>477</v>
      </c>
      <c r="E1475" t="s">
        <v>477</v>
      </c>
      <c r="F1475" t="s">
        <v>529</v>
      </c>
      <c r="G1475" t="s">
        <v>570</v>
      </c>
    </row>
    <row r="1476" spans="1:7" x14ac:dyDescent="0.2">
      <c r="A1476" t="s">
        <v>289</v>
      </c>
      <c r="B1476" t="s">
        <v>402</v>
      </c>
      <c r="C1476" t="s">
        <v>492</v>
      </c>
      <c r="E1476" t="s">
        <v>492</v>
      </c>
      <c r="F1476" t="s">
        <v>529</v>
      </c>
      <c r="G1476" t="s">
        <v>572</v>
      </c>
    </row>
    <row r="1477" spans="1:7" x14ac:dyDescent="0.2">
      <c r="A1477" t="s">
        <v>289</v>
      </c>
      <c r="B1477" t="s">
        <v>403</v>
      </c>
      <c r="C1477" t="s">
        <v>492</v>
      </c>
      <c r="E1477" t="s">
        <v>492</v>
      </c>
      <c r="F1477" t="s">
        <v>543</v>
      </c>
      <c r="G1477" t="s">
        <v>572</v>
      </c>
    </row>
    <row r="1478" spans="1:7" x14ac:dyDescent="0.2">
      <c r="A1478" t="s">
        <v>289</v>
      </c>
      <c r="B1478" t="s">
        <v>404</v>
      </c>
      <c r="C1478" t="s">
        <v>492</v>
      </c>
      <c r="E1478" t="s">
        <v>492</v>
      </c>
      <c r="F1478" t="s">
        <v>529</v>
      </c>
      <c r="G1478" t="s">
        <v>572</v>
      </c>
    </row>
    <row r="1479" spans="1:7" x14ac:dyDescent="0.2">
      <c r="A1479" t="s">
        <v>286</v>
      </c>
      <c r="B1479" t="s">
        <v>405</v>
      </c>
      <c r="C1479" t="s">
        <v>486</v>
      </c>
      <c r="E1479" t="s">
        <v>486</v>
      </c>
      <c r="F1479" t="s">
        <v>540</v>
      </c>
      <c r="G1479" t="s">
        <v>572</v>
      </c>
    </row>
    <row r="1480" spans="1:7" x14ac:dyDescent="0.2">
      <c r="A1480" t="s">
        <v>286</v>
      </c>
      <c r="B1480" t="s">
        <v>406</v>
      </c>
      <c r="C1480" t="s">
        <v>486</v>
      </c>
      <c r="E1480" t="s">
        <v>486</v>
      </c>
      <c r="F1480" t="s">
        <v>536</v>
      </c>
      <c r="G1480" t="s">
        <v>572</v>
      </c>
    </row>
    <row r="1481" spans="1:7" x14ac:dyDescent="0.2">
      <c r="A1481" t="s">
        <v>290</v>
      </c>
      <c r="B1481" t="s">
        <v>407</v>
      </c>
      <c r="C1481" t="s">
        <v>478</v>
      </c>
      <c r="E1481" t="s">
        <v>478</v>
      </c>
      <c r="F1481" t="s">
        <v>544</v>
      </c>
      <c r="G1481" t="s">
        <v>569</v>
      </c>
    </row>
    <row r="1482" spans="1:7" x14ac:dyDescent="0.2">
      <c r="A1482" t="s">
        <v>291</v>
      </c>
      <c r="B1482" t="s">
        <v>408</v>
      </c>
      <c r="C1482" t="s">
        <v>478</v>
      </c>
      <c r="E1482" t="s">
        <v>478</v>
      </c>
      <c r="F1482" t="s">
        <v>545</v>
      </c>
      <c r="G1482" t="s">
        <v>576</v>
      </c>
    </row>
    <row r="1483" spans="1:7" x14ac:dyDescent="0.2">
      <c r="A1483" t="s">
        <v>292</v>
      </c>
      <c r="B1483" t="s">
        <v>409</v>
      </c>
      <c r="C1483" t="s">
        <v>478</v>
      </c>
      <c r="E1483" t="s">
        <v>478</v>
      </c>
      <c r="F1483" t="s">
        <v>546</v>
      </c>
      <c r="G1483" t="s">
        <v>576</v>
      </c>
    </row>
    <row r="1484" spans="1:7" x14ac:dyDescent="0.2">
      <c r="A1484" t="s">
        <v>292</v>
      </c>
      <c r="B1484" t="s">
        <v>410</v>
      </c>
      <c r="C1484" t="s">
        <v>478</v>
      </c>
      <c r="E1484" t="s">
        <v>478</v>
      </c>
      <c r="F1484" t="s">
        <v>547</v>
      </c>
      <c r="G1484" t="s">
        <v>576</v>
      </c>
    </row>
    <row r="1485" spans="1:7" x14ac:dyDescent="0.2">
      <c r="A1485" t="s">
        <v>268</v>
      </c>
      <c r="B1485" t="s">
        <v>411</v>
      </c>
      <c r="C1485" t="s">
        <v>478</v>
      </c>
      <c r="E1485" t="s">
        <v>478</v>
      </c>
      <c r="F1485" t="s">
        <v>520</v>
      </c>
      <c r="G1485" t="s">
        <v>576</v>
      </c>
    </row>
    <row r="1486" spans="1:7" x14ac:dyDescent="0.2">
      <c r="A1486" t="s">
        <v>293</v>
      </c>
      <c r="B1486" t="s">
        <v>412</v>
      </c>
      <c r="C1486" t="s">
        <v>478</v>
      </c>
      <c r="E1486" t="s">
        <v>478</v>
      </c>
      <c r="F1486" t="s">
        <v>536</v>
      </c>
      <c r="G1486" t="s">
        <v>571</v>
      </c>
    </row>
    <row r="1487" spans="1:7" x14ac:dyDescent="0.2">
      <c r="A1487" t="s">
        <v>294</v>
      </c>
      <c r="B1487" t="s">
        <v>413</v>
      </c>
      <c r="C1487" t="s">
        <v>493</v>
      </c>
      <c r="E1487" t="s">
        <v>493</v>
      </c>
      <c r="F1487" t="s">
        <v>548</v>
      </c>
      <c r="G1487" t="s">
        <v>577</v>
      </c>
    </row>
    <row r="1488" spans="1:7" x14ac:dyDescent="0.2">
      <c r="A1488" t="s">
        <v>295</v>
      </c>
      <c r="B1488" t="s">
        <v>414</v>
      </c>
      <c r="C1488" t="s">
        <v>494</v>
      </c>
      <c r="E1488" t="s">
        <v>494</v>
      </c>
      <c r="F1488" t="s">
        <v>549</v>
      </c>
      <c r="G1488" t="s">
        <v>577</v>
      </c>
    </row>
    <row r="1489" spans="1:7" x14ac:dyDescent="0.2">
      <c r="A1489" t="s">
        <v>296</v>
      </c>
      <c r="B1489" t="s">
        <v>415</v>
      </c>
      <c r="C1489" t="s">
        <v>494</v>
      </c>
      <c r="E1489" t="s">
        <v>494</v>
      </c>
      <c r="F1489" t="s">
        <v>550</v>
      </c>
      <c r="G1489" t="s">
        <v>577</v>
      </c>
    </row>
    <row r="1490" spans="1:7" x14ac:dyDescent="0.2">
      <c r="A1490" t="s">
        <v>297</v>
      </c>
      <c r="B1490" t="s">
        <v>416</v>
      </c>
      <c r="C1490" t="s">
        <v>488</v>
      </c>
      <c r="E1490" t="s">
        <v>488</v>
      </c>
      <c r="F1490" t="s">
        <v>551</v>
      </c>
      <c r="G1490" t="s">
        <v>577</v>
      </c>
    </row>
    <row r="1491" spans="1:7" x14ac:dyDescent="0.2">
      <c r="A1491" t="s">
        <v>298</v>
      </c>
      <c r="B1491" t="s">
        <v>417</v>
      </c>
      <c r="C1491" t="s">
        <v>495</v>
      </c>
      <c r="E1491" t="s">
        <v>495</v>
      </c>
      <c r="F1491" t="s">
        <v>552</v>
      </c>
      <c r="G1491" t="s">
        <v>577</v>
      </c>
    </row>
    <row r="1492" spans="1:7" x14ac:dyDescent="0.2">
      <c r="A1492" t="s">
        <v>299</v>
      </c>
      <c r="B1492" t="s">
        <v>418</v>
      </c>
      <c r="C1492" t="s">
        <v>496</v>
      </c>
      <c r="E1492" t="s">
        <v>496</v>
      </c>
      <c r="F1492" t="s">
        <v>516</v>
      </c>
      <c r="G1492" t="s">
        <v>577</v>
      </c>
    </row>
    <row r="1493" spans="1:7" x14ac:dyDescent="0.2">
      <c r="A1493" t="s">
        <v>300</v>
      </c>
      <c r="B1493" t="s">
        <v>419</v>
      </c>
      <c r="C1493" t="s">
        <v>497</v>
      </c>
      <c r="E1493" t="s">
        <v>497</v>
      </c>
      <c r="F1493" t="s">
        <v>553</v>
      </c>
      <c r="G1493" t="s">
        <v>577</v>
      </c>
    </row>
    <row r="1494" spans="1:7" x14ac:dyDescent="0.2">
      <c r="A1494" t="s">
        <v>301</v>
      </c>
      <c r="B1494" t="s">
        <v>420</v>
      </c>
      <c r="C1494" t="s">
        <v>478</v>
      </c>
      <c r="E1494" t="s">
        <v>478</v>
      </c>
      <c r="F1494" t="s">
        <v>516</v>
      </c>
      <c r="G1494" t="s">
        <v>576</v>
      </c>
    </row>
    <row r="1495" spans="1:7" x14ac:dyDescent="0.2">
      <c r="A1495" t="s">
        <v>283</v>
      </c>
      <c r="B1495" t="s">
        <v>421</v>
      </c>
      <c r="C1495" t="s">
        <v>477</v>
      </c>
      <c r="E1495" t="s">
        <v>477</v>
      </c>
      <c r="F1495" t="s">
        <v>540</v>
      </c>
      <c r="G1495" t="s">
        <v>578</v>
      </c>
    </row>
    <row r="1496" spans="1:7" x14ac:dyDescent="0.2">
      <c r="A1496" t="s">
        <v>264</v>
      </c>
      <c r="B1496" t="s">
        <v>422</v>
      </c>
      <c r="C1496" t="s">
        <v>477</v>
      </c>
      <c r="E1496" t="s">
        <v>477</v>
      </c>
      <c r="F1496" t="s">
        <v>541</v>
      </c>
      <c r="G1496" t="s">
        <v>578</v>
      </c>
    </row>
    <row r="1497" spans="1:7" x14ac:dyDescent="0.2">
      <c r="A1497" t="s">
        <v>264</v>
      </c>
      <c r="B1497" t="s">
        <v>423</v>
      </c>
      <c r="C1497" t="s">
        <v>478</v>
      </c>
      <c r="E1497" t="s">
        <v>478</v>
      </c>
      <c r="F1497" t="s">
        <v>516</v>
      </c>
      <c r="G1497" t="s">
        <v>578</v>
      </c>
    </row>
    <row r="1498" spans="1:7" x14ac:dyDescent="0.2">
      <c r="A1498" t="s">
        <v>301</v>
      </c>
      <c r="B1498" t="s">
        <v>424</v>
      </c>
      <c r="C1498" t="s">
        <v>478</v>
      </c>
      <c r="E1498" t="s">
        <v>478</v>
      </c>
      <c r="F1498" t="s">
        <v>537</v>
      </c>
      <c r="G1498" t="s">
        <v>576</v>
      </c>
    </row>
    <row r="1499" spans="1:7" x14ac:dyDescent="0.2">
      <c r="A1499" t="s">
        <v>283</v>
      </c>
      <c r="B1499" t="s">
        <v>425</v>
      </c>
      <c r="C1499" t="s">
        <v>498</v>
      </c>
      <c r="E1499" t="s">
        <v>498</v>
      </c>
      <c r="F1499" t="s">
        <v>529</v>
      </c>
      <c r="G1499" t="s">
        <v>578</v>
      </c>
    </row>
    <row r="1500" spans="1:7" x14ac:dyDescent="0.2">
      <c r="A1500" t="s">
        <v>302</v>
      </c>
      <c r="B1500" t="s">
        <v>426</v>
      </c>
      <c r="C1500" t="s">
        <v>478</v>
      </c>
      <c r="E1500" t="s">
        <v>478</v>
      </c>
      <c r="F1500" t="s">
        <v>529</v>
      </c>
      <c r="G1500" t="s">
        <v>579</v>
      </c>
    </row>
    <row r="1501" spans="1:7" x14ac:dyDescent="0.2">
      <c r="A1501" t="s">
        <v>285</v>
      </c>
      <c r="B1501" t="s">
        <v>427</v>
      </c>
      <c r="C1501" t="s">
        <v>499</v>
      </c>
      <c r="E1501" t="s">
        <v>499</v>
      </c>
      <c r="F1501" t="s">
        <v>542</v>
      </c>
      <c r="G1501" t="s">
        <v>577</v>
      </c>
    </row>
    <row r="1502" spans="1:7" x14ac:dyDescent="0.2">
      <c r="A1502" t="s">
        <v>303</v>
      </c>
      <c r="B1502" t="s">
        <v>428</v>
      </c>
      <c r="C1502" t="s">
        <v>500</v>
      </c>
      <c r="E1502" t="s">
        <v>500</v>
      </c>
      <c r="F1502" t="s">
        <v>546</v>
      </c>
      <c r="G1502" t="s">
        <v>577</v>
      </c>
    </row>
    <row r="1503" spans="1:7" x14ac:dyDescent="0.2">
      <c r="A1503" t="s">
        <v>304</v>
      </c>
      <c r="B1503" t="s">
        <v>429</v>
      </c>
      <c r="C1503" t="s">
        <v>478</v>
      </c>
      <c r="E1503" t="s">
        <v>478</v>
      </c>
      <c r="F1503" t="s">
        <v>554</v>
      </c>
      <c r="G1503" t="s">
        <v>569</v>
      </c>
    </row>
    <row r="1504" spans="1:7" x14ac:dyDescent="0.2">
      <c r="A1504" t="s">
        <v>277</v>
      </c>
      <c r="B1504" t="s">
        <v>430</v>
      </c>
      <c r="C1504" t="s">
        <v>478</v>
      </c>
      <c r="E1504" t="s">
        <v>478</v>
      </c>
      <c r="F1504" t="s">
        <v>539</v>
      </c>
      <c r="G1504" t="s">
        <v>571</v>
      </c>
    </row>
    <row r="1505" spans="1:7" x14ac:dyDescent="0.2">
      <c r="A1505" t="s">
        <v>277</v>
      </c>
      <c r="B1505" t="s">
        <v>431</v>
      </c>
      <c r="C1505" t="s">
        <v>478</v>
      </c>
      <c r="E1505" t="s">
        <v>478</v>
      </c>
      <c r="F1505" t="s">
        <v>534</v>
      </c>
      <c r="G1505" t="s">
        <v>571</v>
      </c>
    </row>
    <row r="1506" spans="1:7" x14ac:dyDescent="0.2">
      <c r="A1506" t="s">
        <v>277</v>
      </c>
      <c r="B1506" t="s">
        <v>432</v>
      </c>
      <c r="C1506" t="s">
        <v>501</v>
      </c>
      <c r="E1506" t="s">
        <v>501</v>
      </c>
      <c r="F1506" t="s">
        <v>555</v>
      </c>
      <c r="G1506" t="s">
        <v>571</v>
      </c>
    </row>
    <row r="1507" spans="1:7" x14ac:dyDescent="0.2">
      <c r="A1507" t="s">
        <v>263</v>
      </c>
      <c r="B1507" t="s">
        <v>433</v>
      </c>
      <c r="C1507" t="s">
        <v>502</v>
      </c>
      <c r="E1507" t="s">
        <v>502</v>
      </c>
      <c r="F1507" t="s">
        <v>556</v>
      </c>
      <c r="G1507" t="s">
        <v>580</v>
      </c>
    </row>
    <row r="1508" spans="1:7" x14ac:dyDescent="0.2">
      <c r="A1508" t="s">
        <v>268</v>
      </c>
      <c r="B1508" t="s">
        <v>434</v>
      </c>
      <c r="C1508" t="s">
        <v>478</v>
      </c>
      <c r="E1508" t="s">
        <v>478</v>
      </c>
      <c r="F1508" t="s">
        <v>520</v>
      </c>
      <c r="G1508" t="s">
        <v>571</v>
      </c>
    </row>
    <row r="1509" spans="1:7" x14ac:dyDescent="0.2">
      <c r="A1509" t="s">
        <v>305</v>
      </c>
      <c r="B1509" t="s">
        <v>435</v>
      </c>
      <c r="C1509" t="s">
        <v>478</v>
      </c>
      <c r="E1509" t="s">
        <v>478</v>
      </c>
      <c r="F1509" t="s">
        <v>557</v>
      </c>
      <c r="G1509" t="s">
        <v>569</v>
      </c>
    </row>
    <row r="1510" spans="1:7" x14ac:dyDescent="0.2">
      <c r="A1510" t="s">
        <v>306</v>
      </c>
      <c r="B1510" t="s">
        <v>436</v>
      </c>
      <c r="C1510" t="s">
        <v>478</v>
      </c>
      <c r="E1510" t="s">
        <v>478</v>
      </c>
      <c r="F1510" t="s">
        <v>558</v>
      </c>
      <c r="G1510" t="s">
        <v>569</v>
      </c>
    </row>
    <row r="1511" spans="1:7" x14ac:dyDescent="0.2">
      <c r="A1511" t="s">
        <v>307</v>
      </c>
      <c r="B1511" t="s">
        <v>437</v>
      </c>
      <c r="C1511" t="s">
        <v>478</v>
      </c>
      <c r="E1511" t="s">
        <v>478</v>
      </c>
      <c r="F1511" t="s">
        <v>559</v>
      </c>
      <c r="G1511" t="s">
        <v>574</v>
      </c>
    </row>
    <row r="1512" spans="1:7" x14ac:dyDescent="0.2">
      <c r="A1512" t="s">
        <v>308</v>
      </c>
      <c r="B1512" t="s">
        <v>438</v>
      </c>
      <c r="C1512" t="s">
        <v>478</v>
      </c>
      <c r="E1512" t="s">
        <v>478</v>
      </c>
      <c r="F1512" t="s">
        <v>560</v>
      </c>
      <c r="G1512" t="s">
        <v>569</v>
      </c>
    </row>
    <row r="1513" spans="1:7" x14ac:dyDescent="0.2">
      <c r="A1513" t="s">
        <v>309</v>
      </c>
      <c r="B1513" t="s">
        <v>439</v>
      </c>
      <c r="C1513" t="s">
        <v>478</v>
      </c>
      <c r="E1513" t="s">
        <v>478</v>
      </c>
      <c r="F1513" t="s">
        <v>558</v>
      </c>
      <c r="G1513" t="s">
        <v>574</v>
      </c>
    </row>
    <row r="1514" spans="1:7" x14ac:dyDescent="0.2">
      <c r="A1514" t="s">
        <v>310</v>
      </c>
      <c r="B1514" t="s">
        <v>440</v>
      </c>
      <c r="C1514" t="s">
        <v>478</v>
      </c>
      <c r="E1514" t="s">
        <v>478</v>
      </c>
      <c r="F1514" t="s">
        <v>561</v>
      </c>
      <c r="G1514" t="s">
        <v>569</v>
      </c>
    </row>
    <row r="1515" spans="1:7" x14ac:dyDescent="0.2">
      <c r="A1515" t="s">
        <v>311</v>
      </c>
      <c r="B1515" t="s">
        <v>441</v>
      </c>
      <c r="C1515" t="s">
        <v>481</v>
      </c>
      <c r="E1515" t="s">
        <v>481</v>
      </c>
      <c r="F1515" t="s">
        <v>527</v>
      </c>
      <c r="G1515" t="s">
        <v>580</v>
      </c>
    </row>
    <row r="1516" spans="1:7" x14ac:dyDescent="0.2">
      <c r="A1516" t="s">
        <v>311</v>
      </c>
      <c r="B1516" t="s">
        <v>442</v>
      </c>
      <c r="C1516" t="s">
        <v>482</v>
      </c>
      <c r="E1516" t="s">
        <v>482</v>
      </c>
      <c r="F1516" t="s">
        <v>562</v>
      </c>
      <c r="G1516" t="s">
        <v>580</v>
      </c>
    </row>
    <row r="1517" spans="1:7" x14ac:dyDescent="0.2">
      <c r="A1517" t="s">
        <v>311</v>
      </c>
      <c r="B1517" t="s">
        <v>443</v>
      </c>
      <c r="C1517" t="s">
        <v>481</v>
      </c>
      <c r="E1517" t="s">
        <v>481</v>
      </c>
      <c r="F1517" t="s">
        <v>563</v>
      </c>
      <c r="G1517" t="s">
        <v>580</v>
      </c>
    </row>
    <row r="1518" spans="1:7" x14ac:dyDescent="0.2">
      <c r="A1518" t="s">
        <v>312</v>
      </c>
      <c r="B1518" t="s">
        <v>444</v>
      </c>
      <c r="C1518" t="s">
        <v>481</v>
      </c>
      <c r="E1518" t="s">
        <v>481</v>
      </c>
      <c r="F1518" t="s">
        <v>526</v>
      </c>
      <c r="G1518" t="s">
        <v>580</v>
      </c>
    </row>
    <row r="1519" spans="1:7" x14ac:dyDescent="0.2">
      <c r="A1519" t="s">
        <v>286</v>
      </c>
      <c r="B1519" t="s">
        <v>445</v>
      </c>
      <c r="C1519" t="s">
        <v>486</v>
      </c>
      <c r="E1519" t="s">
        <v>486</v>
      </c>
      <c r="F1519" t="s">
        <v>542</v>
      </c>
      <c r="G1519" t="s">
        <v>580</v>
      </c>
    </row>
    <row r="1520" spans="1:7" x14ac:dyDescent="0.2">
      <c r="A1520" t="s">
        <v>286</v>
      </c>
      <c r="B1520" t="s">
        <v>446</v>
      </c>
      <c r="C1520" t="s">
        <v>486</v>
      </c>
      <c r="E1520" t="s">
        <v>486</v>
      </c>
      <c r="F1520" t="s">
        <v>541</v>
      </c>
      <c r="G1520" t="s">
        <v>580</v>
      </c>
    </row>
    <row r="1521" spans="1:7" x14ac:dyDescent="0.2">
      <c r="A1521" t="s">
        <v>313</v>
      </c>
      <c r="B1521" t="s">
        <v>447</v>
      </c>
      <c r="C1521" t="s">
        <v>478</v>
      </c>
      <c r="E1521" t="s">
        <v>478</v>
      </c>
      <c r="F1521" t="s">
        <v>516</v>
      </c>
      <c r="G1521" t="s">
        <v>569</v>
      </c>
    </row>
    <row r="1522" spans="1:7" x14ac:dyDescent="0.2">
      <c r="A1522" t="s">
        <v>314</v>
      </c>
      <c r="B1522" t="s">
        <v>448</v>
      </c>
      <c r="C1522" t="s">
        <v>478</v>
      </c>
      <c r="E1522" t="s">
        <v>478</v>
      </c>
      <c r="F1522" t="s">
        <v>516</v>
      </c>
      <c r="G1522" t="s">
        <v>569</v>
      </c>
    </row>
    <row r="1523" spans="1:7" x14ac:dyDescent="0.2">
      <c r="A1523" t="s">
        <v>315</v>
      </c>
      <c r="B1523" t="s">
        <v>449</v>
      </c>
      <c r="C1523" t="s">
        <v>478</v>
      </c>
      <c r="E1523" t="s">
        <v>478</v>
      </c>
      <c r="F1523" t="s">
        <v>530</v>
      </c>
      <c r="G1523" t="s">
        <v>569</v>
      </c>
    </row>
    <row r="1524" spans="1:7" x14ac:dyDescent="0.2">
      <c r="A1524" t="s">
        <v>315</v>
      </c>
      <c r="B1524" t="s">
        <v>450</v>
      </c>
      <c r="C1524" t="s">
        <v>478</v>
      </c>
      <c r="E1524" t="s">
        <v>478</v>
      </c>
      <c r="F1524" t="s">
        <v>530</v>
      </c>
      <c r="G1524" t="s">
        <v>569</v>
      </c>
    </row>
    <row r="1525" spans="1:7" x14ac:dyDescent="0.2">
      <c r="A1525" t="s">
        <v>315</v>
      </c>
      <c r="B1525" t="s">
        <v>451</v>
      </c>
      <c r="C1525" t="s">
        <v>478</v>
      </c>
      <c r="E1525" t="s">
        <v>478</v>
      </c>
      <c r="F1525" t="s">
        <v>530</v>
      </c>
      <c r="G1525" t="s">
        <v>569</v>
      </c>
    </row>
    <row r="1526" spans="1:7" x14ac:dyDescent="0.2">
      <c r="A1526" t="s">
        <v>313</v>
      </c>
      <c r="B1526" t="s">
        <v>452</v>
      </c>
      <c r="C1526" t="s">
        <v>478</v>
      </c>
      <c r="E1526" t="s">
        <v>478</v>
      </c>
      <c r="F1526" t="s">
        <v>524</v>
      </c>
      <c r="G1526" t="s">
        <v>569</v>
      </c>
    </row>
    <row r="1527" spans="1:7" x14ac:dyDescent="0.2">
      <c r="A1527" t="s">
        <v>314</v>
      </c>
      <c r="B1527" t="s">
        <v>453</v>
      </c>
      <c r="C1527" t="s">
        <v>478</v>
      </c>
      <c r="E1527" t="s">
        <v>478</v>
      </c>
      <c r="F1527" t="s">
        <v>538</v>
      </c>
      <c r="G1527" t="s">
        <v>569</v>
      </c>
    </row>
    <row r="1528" spans="1:7" x14ac:dyDescent="0.2">
      <c r="A1528" t="s">
        <v>314</v>
      </c>
      <c r="B1528" t="s">
        <v>454</v>
      </c>
      <c r="C1528" t="s">
        <v>478</v>
      </c>
      <c r="E1528" t="s">
        <v>478</v>
      </c>
      <c r="F1528" t="s">
        <v>530</v>
      </c>
      <c r="G1528" t="s">
        <v>569</v>
      </c>
    </row>
    <row r="1529" spans="1:7" x14ac:dyDescent="0.2">
      <c r="A1529" t="s">
        <v>314</v>
      </c>
      <c r="B1529" t="s">
        <v>455</v>
      </c>
      <c r="C1529" t="s">
        <v>478</v>
      </c>
      <c r="E1529" t="s">
        <v>478</v>
      </c>
      <c r="F1529" t="s">
        <v>538</v>
      </c>
      <c r="G1529" t="s">
        <v>569</v>
      </c>
    </row>
    <row r="1530" spans="1:7" x14ac:dyDescent="0.2">
      <c r="A1530" t="s">
        <v>314</v>
      </c>
      <c r="B1530" t="s">
        <v>456</v>
      </c>
      <c r="C1530" t="s">
        <v>478</v>
      </c>
      <c r="E1530" t="s">
        <v>478</v>
      </c>
      <c r="F1530" t="s">
        <v>530</v>
      </c>
      <c r="G1530" t="s">
        <v>569</v>
      </c>
    </row>
    <row r="1531" spans="1:7" x14ac:dyDescent="0.2">
      <c r="A1531" t="s">
        <v>277</v>
      </c>
      <c r="B1531" t="s">
        <v>457</v>
      </c>
      <c r="C1531" t="s">
        <v>501</v>
      </c>
      <c r="E1531" t="s">
        <v>501</v>
      </c>
      <c r="F1531" t="s">
        <v>564</v>
      </c>
      <c r="G1531" t="s">
        <v>571</v>
      </c>
    </row>
    <row r="1532" spans="1:7" x14ac:dyDescent="0.2">
      <c r="A1532" t="s">
        <v>263</v>
      </c>
      <c r="B1532" t="s">
        <v>458</v>
      </c>
      <c r="C1532" t="s">
        <v>476</v>
      </c>
      <c r="E1532" t="s">
        <v>476</v>
      </c>
      <c r="F1532" t="s">
        <v>565</v>
      </c>
      <c r="G1532" t="s">
        <v>580</v>
      </c>
    </row>
    <row r="1533" spans="1:7" x14ac:dyDescent="0.2">
      <c r="A1533" t="s">
        <v>316</v>
      </c>
      <c r="B1533" t="s">
        <v>459</v>
      </c>
      <c r="C1533" t="s">
        <v>478</v>
      </c>
      <c r="E1533" t="s">
        <v>478</v>
      </c>
      <c r="F1533" t="s">
        <v>557</v>
      </c>
      <c r="G1533" t="s">
        <v>569</v>
      </c>
    </row>
    <row r="1534" spans="1:7" x14ac:dyDescent="0.2">
      <c r="A1534" t="s">
        <v>317</v>
      </c>
      <c r="B1534" t="s">
        <v>460</v>
      </c>
      <c r="C1534" t="s">
        <v>478</v>
      </c>
      <c r="E1534" t="s">
        <v>478</v>
      </c>
      <c r="F1534" t="s">
        <v>560</v>
      </c>
      <c r="G1534" t="s">
        <v>569</v>
      </c>
    </row>
    <row r="1535" spans="1:7" x14ac:dyDescent="0.2">
      <c r="A1535" t="s">
        <v>318</v>
      </c>
      <c r="B1535" t="s">
        <v>461</v>
      </c>
      <c r="C1535" t="s">
        <v>478</v>
      </c>
      <c r="E1535" t="s">
        <v>478</v>
      </c>
      <c r="F1535" t="s">
        <v>561</v>
      </c>
      <c r="G1535" t="s">
        <v>574</v>
      </c>
    </row>
    <row r="1536" spans="1:7" x14ac:dyDescent="0.2">
      <c r="A1536" t="s">
        <v>319</v>
      </c>
      <c r="B1536" t="s">
        <v>462</v>
      </c>
      <c r="C1536" t="s">
        <v>482</v>
      </c>
      <c r="E1536" t="s">
        <v>482</v>
      </c>
      <c r="F1536" t="s">
        <v>526</v>
      </c>
      <c r="G1536" t="s">
        <v>580</v>
      </c>
    </row>
    <row r="1537" spans="1:7" x14ac:dyDescent="0.2">
      <c r="A1537" t="s">
        <v>320</v>
      </c>
      <c r="B1537" t="s">
        <v>463</v>
      </c>
      <c r="C1537" t="s">
        <v>488</v>
      </c>
      <c r="E1537" t="s">
        <v>488</v>
      </c>
      <c r="F1537" t="s">
        <v>562</v>
      </c>
      <c r="G1537" t="s">
        <v>580</v>
      </c>
    </row>
    <row r="1538" spans="1:7" x14ac:dyDescent="0.2">
      <c r="A1538" t="s">
        <v>319</v>
      </c>
      <c r="B1538" t="s">
        <v>464</v>
      </c>
      <c r="C1538" t="s">
        <v>482</v>
      </c>
      <c r="E1538" t="s">
        <v>482</v>
      </c>
      <c r="F1538" t="s">
        <v>563</v>
      </c>
      <c r="G1538" t="s">
        <v>580</v>
      </c>
    </row>
    <row r="1539" spans="1:7" x14ac:dyDescent="0.2">
      <c r="A1539" t="s">
        <v>319</v>
      </c>
      <c r="B1539" t="s">
        <v>465</v>
      </c>
      <c r="C1539" t="s">
        <v>481</v>
      </c>
      <c r="E1539" t="s">
        <v>481</v>
      </c>
      <c r="F1539" t="s">
        <v>526</v>
      </c>
      <c r="G1539" t="s">
        <v>580</v>
      </c>
    </row>
    <row r="1540" spans="1:7" x14ac:dyDescent="0.2">
      <c r="A1540" t="s">
        <v>321</v>
      </c>
      <c r="B1540" t="s">
        <v>466</v>
      </c>
      <c r="C1540" t="s">
        <v>488</v>
      </c>
      <c r="E1540" t="s">
        <v>488</v>
      </c>
      <c r="F1540" t="s">
        <v>547</v>
      </c>
      <c r="G1540" t="s">
        <v>574</v>
      </c>
    </row>
    <row r="1541" spans="1:7" x14ac:dyDescent="0.2">
      <c r="A1541" t="s">
        <v>322</v>
      </c>
      <c r="B1541" t="s">
        <v>467</v>
      </c>
      <c r="C1541" t="s">
        <v>482</v>
      </c>
      <c r="E1541" t="s">
        <v>482</v>
      </c>
      <c r="F1541" t="s">
        <v>566</v>
      </c>
      <c r="G1541" t="s">
        <v>574</v>
      </c>
    </row>
    <row r="1542" spans="1:7" x14ac:dyDescent="0.2">
      <c r="A1542" t="s">
        <v>283</v>
      </c>
      <c r="B1542" t="s">
        <v>468</v>
      </c>
      <c r="C1542" t="s">
        <v>478</v>
      </c>
      <c r="E1542" t="s">
        <v>478</v>
      </c>
      <c r="F1542" t="s">
        <v>524</v>
      </c>
      <c r="G1542" t="s">
        <v>581</v>
      </c>
    </row>
    <row r="1543" spans="1:7" x14ac:dyDescent="0.2">
      <c r="A1543" t="s">
        <v>275</v>
      </c>
      <c r="B1543" t="s">
        <v>469</v>
      </c>
      <c r="C1543" t="s">
        <v>478</v>
      </c>
      <c r="E1543" t="s">
        <v>478</v>
      </c>
      <c r="F1543" t="s">
        <v>530</v>
      </c>
      <c r="G1543" t="s">
        <v>581</v>
      </c>
    </row>
    <row r="1544" spans="1:7" x14ac:dyDescent="0.2">
      <c r="A1544" t="s">
        <v>275</v>
      </c>
      <c r="B1544" t="s">
        <v>470</v>
      </c>
      <c r="C1544" t="s">
        <v>478</v>
      </c>
      <c r="E1544" t="s">
        <v>478</v>
      </c>
      <c r="F1544" t="s">
        <v>530</v>
      </c>
      <c r="G1544" t="s">
        <v>581</v>
      </c>
    </row>
    <row r="1545" spans="1:7" x14ac:dyDescent="0.2">
      <c r="A1545" t="s">
        <v>275</v>
      </c>
      <c r="B1545" t="s">
        <v>471</v>
      </c>
      <c r="C1545" t="s">
        <v>478</v>
      </c>
      <c r="E1545" t="s">
        <v>478</v>
      </c>
      <c r="F1545" t="s">
        <v>530</v>
      </c>
      <c r="G1545" t="s">
        <v>581</v>
      </c>
    </row>
    <row r="1546" spans="1:7" x14ac:dyDescent="0.2">
      <c r="A1546" t="s">
        <v>275</v>
      </c>
      <c r="B1546" t="s">
        <v>472</v>
      </c>
      <c r="C1546" t="s">
        <v>478</v>
      </c>
      <c r="E1546" t="s">
        <v>478</v>
      </c>
      <c r="F1546" t="s">
        <v>530</v>
      </c>
      <c r="G1546" t="s">
        <v>581</v>
      </c>
    </row>
    <row r="1547" spans="1:7" x14ac:dyDescent="0.2">
      <c r="A1547" t="s">
        <v>286</v>
      </c>
      <c r="B1547" t="s">
        <v>473</v>
      </c>
      <c r="C1547" t="s">
        <v>486</v>
      </c>
      <c r="E1547" t="s">
        <v>486</v>
      </c>
      <c r="F1547" t="s">
        <v>542</v>
      </c>
      <c r="G1547" t="s">
        <v>580</v>
      </c>
    </row>
    <row r="1548" spans="1:7" x14ac:dyDescent="0.2">
      <c r="A1548" t="s">
        <v>286</v>
      </c>
      <c r="B1548" t="s">
        <v>474</v>
      </c>
      <c r="C1548" t="s">
        <v>486</v>
      </c>
      <c r="E1548" t="s">
        <v>486</v>
      </c>
      <c r="F1548" t="s">
        <v>542</v>
      </c>
      <c r="G1548" t="s">
        <v>580</v>
      </c>
    </row>
    <row r="1549" spans="1:7" x14ac:dyDescent="0.2">
      <c r="A1549" t="s">
        <v>289</v>
      </c>
      <c r="B1549" t="s">
        <v>475</v>
      </c>
      <c r="C1549" t="s">
        <v>478</v>
      </c>
      <c r="E1549" t="s">
        <v>478</v>
      </c>
      <c r="F1549" t="s">
        <v>559</v>
      </c>
      <c r="G1549" t="s">
        <v>574</v>
      </c>
    </row>
    <row r="1550" spans="1:7" x14ac:dyDescent="0.2">
      <c r="A1550" t="s">
        <v>302</v>
      </c>
      <c r="B1550" t="s">
        <v>302</v>
      </c>
      <c r="C1550" t="s">
        <v>478</v>
      </c>
      <c r="E1550" t="s">
        <v>478</v>
      </c>
      <c r="F1550" t="s">
        <v>567</v>
      </c>
      <c r="G1550" t="s">
        <v>579</v>
      </c>
    </row>
    <row r="1551" spans="1:7" x14ac:dyDescent="0.2">
      <c r="A1551" t="s">
        <v>323</v>
      </c>
      <c r="B1551" t="s">
        <v>302</v>
      </c>
      <c r="C1551" t="s">
        <v>478</v>
      </c>
      <c r="E1551" t="s">
        <v>478</v>
      </c>
      <c r="F1551" t="s">
        <v>568</v>
      </c>
      <c r="G1551" t="s">
        <v>569</v>
      </c>
    </row>
    <row r="1552" spans="1:7" x14ac:dyDescent="0.2">
      <c r="A1552" t="s">
        <v>263</v>
      </c>
      <c r="B1552" t="s">
        <v>324</v>
      </c>
      <c r="C1552" t="s">
        <v>476</v>
      </c>
      <c r="E1552" t="s">
        <v>478</v>
      </c>
      <c r="F1552" t="s">
        <v>515</v>
      </c>
      <c r="G1552" t="s">
        <v>319</v>
      </c>
    </row>
    <row r="1553" spans="1:7" x14ac:dyDescent="0.2">
      <c r="A1553" t="s">
        <v>264</v>
      </c>
      <c r="B1553" t="s">
        <v>325</v>
      </c>
      <c r="C1553" t="s">
        <v>477</v>
      </c>
      <c r="E1553" t="s">
        <v>477</v>
      </c>
      <c r="F1553" t="s">
        <v>516</v>
      </c>
      <c r="G1553" t="s">
        <v>569</v>
      </c>
    </row>
    <row r="1554" spans="1:7" x14ac:dyDescent="0.2">
      <c r="A1554" t="s">
        <v>265</v>
      </c>
      <c r="B1554" t="s">
        <v>326</v>
      </c>
      <c r="C1554" t="s">
        <v>478</v>
      </c>
      <c r="E1554" t="s">
        <v>478</v>
      </c>
      <c r="F1554" t="s">
        <v>517</v>
      </c>
      <c r="G1554" t="s">
        <v>570</v>
      </c>
    </row>
    <row r="1555" spans="1:7" x14ac:dyDescent="0.2">
      <c r="A1555" t="s">
        <v>266</v>
      </c>
      <c r="B1555" t="s">
        <v>327</v>
      </c>
      <c r="C1555" t="s">
        <v>479</v>
      </c>
      <c r="E1555" t="s">
        <v>479</v>
      </c>
      <c r="F1555" t="s">
        <v>518</v>
      </c>
      <c r="G1555" t="s">
        <v>571</v>
      </c>
    </row>
    <row r="1556" spans="1:7" x14ac:dyDescent="0.2">
      <c r="A1556" t="s">
        <v>267</v>
      </c>
      <c r="B1556" t="s">
        <v>328</v>
      </c>
      <c r="C1556" t="s">
        <v>480</v>
      </c>
      <c r="E1556" t="s">
        <v>480</v>
      </c>
      <c r="F1556" t="s">
        <v>519</v>
      </c>
      <c r="G1556" t="s">
        <v>572</v>
      </c>
    </row>
    <row r="1557" spans="1:7" x14ac:dyDescent="0.2">
      <c r="A1557" t="s">
        <v>268</v>
      </c>
      <c r="B1557" t="s">
        <v>329</v>
      </c>
      <c r="C1557" t="s">
        <v>478</v>
      </c>
      <c r="E1557" t="s">
        <v>478</v>
      </c>
      <c r="F1557" t="s">
        <v>520</v>
      </c>
      <c r="G1557" t="s">
        <v>571</v>
      </c>
    </row>
    <row r="1558" spans="1:7" x14ac:dyDescent="0.2">
      <c r="A1558" t="s">
        <v>268</v>
      </c>
      <c r="B1558" t="s">
        <v>330</v>
      </c>
      <c r="C1558" t="s">
        <v>478</v>
      </c>
      <c r="E1558" t="s">
        <v>478</v>
      </c>
      <c r="F1558" t="s">
        <v>516</v>
      </c>
      <c r="G1558" t="s">
        <v>571</v>
      </c>
    </row>
    <row r="1559" spans="1:7" x14ac:dyDescent="0.2">
      <c r="A1559" t="s">
        <v>268</v>
      </c>
      <c r="B1559" t="s">
        <v>331</v>
      </c>
      <c r="C1559" t="s">
        <v>478</v>
      </c>
      <c r="E1559" t="s">
        <v>478</v>
      </c>
      <c r="F1559" t="s">
        <v>520</v>
      </c>
      <c r="G1559" t="s">
        <v>571</v>
      </c>
    </row>
    <row r="1560" spans="1:7" x14ac:dyDescent="0.2">
      <c r="A1560" t="s">
        <v>269</v>
      </c>
      <c r="B1560" t="s">
        <v>332</v>
      </c>
      <c r="C1560" t="s">
        <v>481</v>
      </c>
      <c r="E1560" t="s">
        <v>481</v>
      </c>
      <c r="F1560" t="s">
        <v>521</v>
      </c>
      <c r="G1560" t="s">
        <v>573</v>
      </c>
    </row>
    <row r="1561" spans="1:7" x14ac:dyDescent="0.2">
      <c r="A1561" t="s">
        <v>270</v>
      </c>
      <c r="B1561" t="s">
        <v>333</v>
      </c>
      <c r="C1561" t="s">
        <v>481</v>
      </c>
      <c r="E1561" t="s">
        <v>481</v>
      </c>
      <c r="F1561" t="s">
        <v>522</v>
      </c>
      <c r="G1561" t="s">
        <v>573</v>
      </c>
    </row>
    <row r="1562" spans="1:7" x14ac:dyDescent="0.2">
      <c r="A1562" t="s">
        <v>270</v>
      </c>
      <c r="B1562" t="s">
        <v>334</v>
      </c>
      <c r="C1562" t="s">
        <v>481</v>
      </c>
      <c r="E1562" t="s">
        <v>481</v>
      </c>
      <c r="F1562" t="s">
        <v>523</v>
      </c>
      <c r="G1562" t="s">
        <v>573</v>
      </c>
    </row>
    <row r="1563" spans="1:7" x14ac:dyDescent="0.2">
      <c r="A1563" t="s">
        <v>271</v>
      </c>
      <c r="B1563" t="s">
        <v>335</v>
      </c>
      <c r="C1563" t="s">
        <v>478</v>
      </c>
      <c r="E1563" t="s">
        <v>478</v>
      </c>
      <c r="F1563" t="s">
        <v>524</v>
      </c>
      <c r="G1563" t="s">
        <v>574</v>
      </c>
    </row>
    <row r="1564" spans="1:7" x14ac:dyDescent="0.2">
      <c r="A1564" t="s">
        <v>269</v>
      </c>
      <c r="B1564" t="s">
        <v>336</v>
      </c>
      <c r="C1564" t="s">
        <v>481</v>
      </c>
      <c r="E1564" t="s">
        <v>481</v>
      </c>
      <c r="F1564" t="s">
        <v>525</v>
      </c>
      <c r="G1564" t="s">
        <v>573</v>
      </c>
    </row>
    <row r="1565" spans="1:7" x14ac:dyDescent="0.2">
      <c r="A1565" t="s">
        <v>272</v>
      </c>
      <c r="B1565" t="s">
        <v>337</v>
      </c>
      <c r="C1565" t="s">
        <v>481</v>
      </c>
      <c r="E1565" t="s">
        <v>481</v>
      </c>
      <c r="F1565" t="s">
        <v>526</v>
      </c>
      <c r="G1565" t="s">
        <v>572</v>
      </c>
    </row>
    <row r="1566" spans="1:7" x14ac:dyDescent="0.2">
      <c r="A1566" t="s">
        <v>272</v>
      </c>
      <c r="B1566" t="s">
        <v>338</v>
      </c>
      <c r="C1566" t="s">
        <v>481</v>
      </c>
      <c r="E1566" t="s">
        <v>481</v>
      </c>
      <c r="F1566" t="s">
        <v>527</v>
      </c>
      <c r="G1566" t="s">
        <v>572</v>
      </c>
    </row>
    <row r="1567" spans="1:7" x14ac:dyDescent="0.2">
      <c r="A1567" t="s">
        <v>273</v>
      </c>
      <c r="B1567" t="s">
        <v>339</v>
      </c>
      <c r="C1567" t="s">
        <v>481</v>
      </c>
      <c r="E1567" t="s">
        <v>481</v>
      </c>
      <c r="F1567" t="s">
        <v>527</v>
      </c>
      <c r="G1567" t="s">
        <v>572</v>
      </c>
    </row>
    <row r="1568" spans="1:7" x14ac:dyDescent="0.2">
      <c r="A1568" t="s">
        <v>273</v>
      </c>
      <c r="B1568" t="s">
        <v>340</v>
      </c>
      <c r="C1568" t="s">
        <v>482</v>
      </c>
      <c r="E1568" t="s">
        <v>482</v>
      </c>
      <c r="F1568" t="s">
        <v>528</v>
      </c>
      <c r="G1568" t="s">
        <v>572</v>
      </c>
    </row>
    <row r="1569" spans="1:7" x14ac:dyDescent="0.2">
      <c r="A1569" t="s">
        <v>273</v>
      </c>
      <c r="B1569" t="s">
        <v>341</v>
      </c>
      <c r="C1569" t="s">
        <v>481</v>
      </c>
      <c r="E1569" t="s">
        <v>481</v>
      </c>
      <c r="F1569" t="s">
        <v>527</v>
      </c>
      <c r="G1569" t="s">
        <v>572</v>
      </c>
    </row>
    <row r="1570" spans="1:7" x14ac:dyDescent="0.2">
      <c r="A1570" t="s">
        <v>273</v>
      </c>
      <c r="B1570" t="s">
        <v>342</v>
      </c>
      <c r="C1570" t="s">
        <v>481</v>
      </c>
      <c r="E1570" t="s">
        <v>481</v>
      </c>
      <c r="F1570" t="s">
        <v>526</v>
      </c>
      <c r="G1570" t="s">
        <v>572</v>
      </c>
    </row>
    <row r="1571" spans="1:7" x14ac:dyDescent="0.2">
      <c r="A1571" t="s">
        <v>274</v>
      </c>
      <c r="B1571" t="s">
        <v>343</v>
      </c>
      <c r="C1571" t="s">
        <v>483</v>
      </c>
      <c r="E1571" t="s">
        <v>483</v>
      </c>
      <c r="F1571" t="s">
        <v>529</v>
      </c>
      <c r="G1571" t="s">
        <v>575</v>
      </c>
    </row>
    <row r="1572" spans="1:7" x14ac:dyDescent="0.2">
      <c r="A1572" t="s">
        <v>275</v>
      </c>
      <c r="B1572" t="s">
        <v>344</v>
      </c>
      <c r="C1572" t="s">
        <v>478</v>
      </c>
      <c r="E1572" t="s">
        <v>477</v>
      </c>
      <c r="F1572" t="s">
        <v>530</v>
      </c>
      <c r="G1572" t="s">
        <v>575</v>
      </c>
    </row>
    <row r="1573" spans="1:7" x14ac:dyDescent="0.2">
      <c r="A1573" t="s">
        <v>275</v>
      </c>
      <c r="B1573" t="s">
        <v>345</v>
      </c>
      <c r="C1573" t="s">
        <v>478</v>
      </c>
      <c r="E1573" t="s">
        <v>477</v>
      </c>
      <c r="F1573" t="s">
        <v>530</v>
      </c>
      <c r="G1573" t="s">
        <v>575</v>
      </c>
    </row>
    <row r="1574" spans="1:7" x14ac:dyDescent="0.2">
      <c r="A1574" t="s">
        <v>275</v>
      </c>
      <c r="B1574" t="s">
        <v>346</v>
      </c>
      <c r="C1574" t="s">
        <v>478</v>
      </c>
      <c r="E1574" t="s">
        <v>477</v>
      </c>
      <c r="F1574" t="s">
        <v>530</v>
      </c>
      <c r="G1574" t="s">
        <v>575</v>
      </c>
    </row>
    <row r="1575" spans="1:7" x14ac:dyDescent="0.2">
      <c r="A1575" t="s">
        <v>275</v>
      </c>
      <c r="B1575" t="s">
        <v>347</v>
      </c>
      <c r="C1575" t="s">
        <v>478</v>
      </c>
      <c r="E1575" t="s">
        <v>477</v>
      </c>
      <c r="F1575" t="s">
        <v>530</v>
      </c>
      <c r="G1575" t="s">
        <v>575</v>
      </c>
    </row>
    <row r="1576" spans="1:7" x14ac:dyDescent="0.2">
      <c r="A1576" t="s">
        <v>275</v>
      </c>
      <c r="B1576" t="s">
        <v>348</v>
      </c>
      <c r="C1576" t="s">
        <v>478</v>
      </c>
      <c r="E1576" t="s">
        <v>477</v>
      </c>
      <c r="F1576" t="s">
        <v>530</v>
      </c>
      <c r="G1576" t="s">
        <v>575</v>
      </c>
    </row>
    <row r="1577" spans="1:7" x14ac:dyDescent="0.2">
      <c r="A1577" t="s">
        <v>275</v>
      </c>
      <c r="B1577" t="s">
        <v>349</v>
      </c>
      <c r="C1577" t="s">
        <v>478</v>
      </c>
      <c r="E1577" t="s">
        <v>477</v>
      </c>
      <c r="F1577" t="s">
        <v>530</v>
      </c>
      <c r="G1577" t="s">
        <v>575</v>
      </c>
    </row>
    <row r="1578" spans="1:7" x14ac:dyDescent="0.2">
      <c r="A1578" t="s">
        <v>275</v>
      </c>
      <c r="B1578" t="s">
        <v>350</v>
      </c>
      <c r="C1578" t="s">
        <v>478</v>
      </c>
      <c r="E1578" t="s">
        <v>477</v>
      </c>
      <c r="F1578" t="s">
        <v>530</v>
      </c>
      <c r="G1578" t="s">
        <v>575</v>
      </c>
    </row>
    <row r="1579" spans="1:7" x14ac:dyDescent="0.2">
      <c r="A1579" t="s">
        <v>275</v>
      </c>
      <c r="B1579" t="s">
        <v>351</v>
      </c>
      <c r="C1579" t="s">
        <v>478</v>
      </c>
      <c r="E1579" t="s">
        <v>477</v>
      </c>
      <c r="F1579" t="s">
        <v>530</v>
      </c>
      <c r="G1579" t="s">
        <v>575</v>
      </c>
    </row>
    <row r="1580" spans="1:7" x14ac:dyDescent="0.2">
      <c r="A1580" t="s">
        <v>275</v>
      </c>
      <c r="B1580" t="s">
        <v>352</v>
      </c>
      <c r="C1580" t="s">
        <v>478</v>
      </c>
      <c r="E1580" t="s">
        <v>477</v>
      </c>
      <c r="F1580" t="s">
        <v>530</v>
      </c>
      <c r="G1580" t="s">
        <v>575</v>
      </c>
    </row>
    <row r="1581" spans="1:7" x14ac:dyDescent="0.2">
      <c r="A1581" t="s">
        <v>264</v>
      </c>
      <c r="B1581" t="s">
        <v>353</v>
      </c>
      <c r="C1581" t="s">
        <v>478</v>
      </c>
      <c r="E1581" t="s">
        <v>477</v>
      </c>
      <c r="F1581" t="s">
        <v>516</v>
      </c>
      <c r="G1581" t="s">
        <v>575</v>
      </c>
    </row>
    <row r="1582" spans="1:7" x14ac:dyDescent="0.2">
      <c r="A1582" t="s">
        <v>276</v>
      </c>
      <c r="B1582" t="s">
        <v>354</v>
      </c>
      <c r="C1582" t="s">
        <v>484</v>
      </c>
      <c r="E1582" t="s">
        <v>484</v>
      </c>
      <c r="F1582" t="s">
        <v>531</v>
      </c>
      <c r="G1582" t="s">
        <v>575</v>
      </c>
    </row>
    <row r="1583" spans="1:7" x14ac:dyDescent="0.2">
      <c r="A1583" t="s">
        <v>275</v>
      </c>
      <c r="B1583" t="s">
        <v>355</v>
      </c>
      <c r="C1583" t="s">
        <v>478</v>
      </c>
      <c r="E1583" t="s">
        <v>477</v>
      </c>
      <c r="F1583" t="s">
        <v>530</v>
      </c>
      <c r="G1583" t="s">
        <v>575</v>
      </c>
    </row>
    <row r="1584" spans="1:7" x14ac:dyDescent="0.2">
      <c r="A1584" t="s">
        <v>275</v>
      </c>
      <c r="B1584" t="s">
        <v>356</v>
      </c>
      <c r="C1584" t="s">
        <v>478</v>
      </c>
      <c r="E1584" t="s">
        <v>477</v>
      </c>
      <c r="F1584" t="s">
        <v>530</v>
      </c>
      <c r="G1584" t="s">
        <v>575</v>
      </c>
    </row>
    <row r="1585" spans="1:7" x14ac:dyDescent="0.2">
      <c r="A1585" t="s">
        <v>275</v>
      </c>
      <c r="B1585" t="s">
        <v>357</v>
      </c>
      <c r="C1585" t="s">
        <v>478</v>
      </c>
      <c r="E1585" t="s">
        <v>477</v>
      </c>
      <c r="F1585" t="s">
        <v>530</v>
      </c>
      <c r="G1585" t="s">
        <v>575</v>
      </c>
    </row>
    <row r="1586" spans="1:7" x14ac:dyDescent="0.2">
      <c r="A1586" t="s">
        <v>275</v>
      </c>
      <c r="B1586" t="s">
        <v>358</v>
      </c>
      <c r="C1586" t="s">
        <v>478</v>
      </c>
      <c r="E1586" t="s">
        <v>477</v>
      </c>
      <c r="F1586" t="s">
        <v>530</v>
      </c>
      <c r="G1586" t="s">
        <v>575</v>
      </c>
    </row>
    <row r="1587" spans="1:7" x14ac:dyDescent="0.2">
      <c r="A1587" t="s">
        <v>275</v>
      </c>
      <c r="B1587" t="s">
        <v>359</v>
      </c>
      <c r="C1587" t="s">
        <v>478</v>
      </c>
      <c r="E1587" t="s">
        <v>477</v>
      </c>
      <c r="F1587" t="s">
        <v>530</v>
      </c>
      <c r="G1587" t="s">
        <v>575</v>
      </c>
    </row>
    <row r="1588" spans="1:7" x14ac:dyDescent="0.2">
      <c r="A1588" t="s">
        <v>275</v>
      </c>
      <c r="B1588" t="s">
        <v>360</v>
      </c>
      <c r="C1588" t="s">
        <v>478</v>
      </c>
      <c r="E1588" t="s">
        <v>477</v>
      </c>
      <c r="F1588" t="s">
        <v>530</v>
      </c>
      <c r="G1588" t="s">
        <v>575</v>
      </c>
    </row>
    <row r="1589" spans="1:7" x14ac:dyDescent="0.2">
      <c r="A1589" t="s">
        <v>264</v>
      </c>
      <c r="B1589" t="s">
        <v>361</v>
      </c>
      <c r="C1589" t="s">
        <v>478</v>
      </c>
      <c r="E1589" t="s">
        <v>477</v>
      </c>
      <c r="F1589" t="s">
        <v>516</v>
      </c>
      <c r="G1589" t="s">
        <v>575</v>
      </c>
    </row>
    <row r="1590" spans="1:7" x14ac:dyDescent="0.2">
      <c r="A1590" t="s">
        <v>265</v>
      </c>
      <c r="B1590" t="s">
        <v>362</v>
      </c>
      <c r="C1590" t="s">
        <v>478</v>
      </c>
      <c r="E1590" t="s">
        <v>491</v>
      </c>
      <c r="F1590" t="s">
        <v>532</v>
      </c>
      <c r="G1590" t="s">
        <v>570</v>
      </c>
    </row>
    <row r="1591" spans="1:7" x14ac:dyDescent="0.2">
      <c r="A1591" t="s">
        <v>277</v>
      </c>
      <c r="B1591" t="s">
        <v>363</v>
      </c>
      <c r="C1591" t="s">
        <v>485</v>
      </c>
      <c r="E1591" t="s">
        <v>485</v>
      </c>
      <c r="F1591" t="s">
        <v>525</v>
      </c>
      <c r="G1591" t="s">
        <v>571</v>
      </c>
    </row>
    <row r="1592" spans="1:7" x14ac:dyDescent="0.2">
      <c r="A1592" t="s">
        <v>267</v>
      </c>
      <c r="B1592" t="s">
        <v>364</v>
      </c>
      <c r="C1592" t="s">
        <v>480</v>
      </c>
      <c r="E1592" t="s">
        <v>480</v>
      </c>
      <c r="F1592" t="s">
        <v>533</v>
      </c>
      <c r="G1592" t="s">
        <v>572</v>
      </c>
    </row>
    <row r="1593" spans="1:7" x14ac:dyDescent="0.2">
      <c r="A1593" t="s">
        <v>278</v>
      </c>
      <c r="B1593" t="s">
        <v>365</v>
      </c>
      <c r="C1593" t="s">
        <v>486</v>
      </c>
      <c r="E1593" t="s">
        <v>486</v>
      </c>
      <c r="F1593" t="s">
        <v>534</v>
      </c>
      <c r="G1593" t="s">
        <v>573</v>
      </c>
    </row>
    <row r="1594" spans="1:7" x14ac:dyDescent="0.2">
      <c r="A1594" t="s">
        <v>278</v>
      </c>
      <c r="B1594" t="s">
        <v>366</v>
      </c>
      <c r="C1594" t="s">
        <v>486</v>
      </c>
      <c r="E1594" t="s">
        <v>486</v>
      </c>
      <c r="F1594" t="s">
        <v>534</v>
      </c>
      <c r="G1594" t="s">
        <v>573</v>
      </c>
    </row>
    <row r="1595" spans="1:7" x14ac:dyDescent="0.2">
      <c r="A1595" t="s">
        <v>279</v>
      </c>
      <c r="B1595" t="s">
        <v>367</v>
      </c>
      <c r="C1595" t="s">
        <v>487</v>
      </c>
      <c r="E1595" t="s">
        <v>487</v>
      </c>
      <c r="F1595" t="s">
        <v>535</v>
      </c>
      <c r="G1595" t="s">
        <v>573</v>
      </c>
    </row>
    <row r="1596" spans="1:7" x14ac:dyDescent="0.2">
      <c r="A1596" t="s">
        <v>279</v>
      </c>
      <c r="B1596" t="s">
        <v>368</v>
      </c>
      <c r="C1596" t="s">
        <v>487</v>
      </c>
      <c r="E1596" t="s">
        <v>487</v>
      </c>
      <c r="F1596" t="s">
        <v>527</v>
      </c>
      <c r="G1596" t="s">
        <v>573</v>
      </c>
    </row>
    <row r="1597" spans="1:7" x14ac:dyDescent="0.2">
      <c r="A1597" t="s">
        <v>280</v>
      </c>
      <c r="B1597" t="s">
        <v>369</v>
      </c>
      <c r="C1597" t="s">
        <v>482</v>
      </c>
      <c r="E1597" t="s">
        <v>482</v>
      </c>
      <c r="F1597" t="s">
        <v>526</v>
      </c>
      <c r="G1597" t="s">
        <v>572</v>
      </c>
    </row>
    <row r="1598" spans="1:7" x14ac:dyDescent="0.2">
      <c r="A1598" t="s">
        <v>280</v>
      </c>
      <c r="B1598" t="s">
        <v>370</v>
      </c>
      <c r="C1598" t="s">
        <v>482</v>
      </c>
      <c r="E1598" t="s">
        <v>482</v>
      </c>
      <c r="F1598" t="s">
        <v>527</v>
      </c>
      <c r="G1598" t="s">
        <v>572</v>
      </c>
    </row>
    <row r="1599" spans="1:7" x14ac:dyDescent="0.2">
      <c r="A1599" t="s">
        <v>272</v>
      </c>
      <c r="B1599" t="s">
        <v>371</v>
      </c>
      <c r="C1599" t="s">
        <v>482</v>
      </c>
      <c r="E1599" t="s">
        <v>482</v>
      </c>
      <c r="F1599" t="s">
        <v>527</v>
      </c>
      <c r="G1599" t="s">
        <v>572</v>
      </c>
    </row>
    <row r="1600" spans="1:7" x14ac:dyDescent="0.2">
      <c r="A1600" t="s">
        <v>272</v>
      </c>
      <c r="B1600" t="s">
        <v>372</v>
      </c>
      <c r="C1600" t="s">
        <v>488</v>
      </c>
      <c r="E1600" t="s">
        <v>488</v>
      </c>
      <c r="F1600" t="s">
        <v>528</v>
      </c>
      <c r="G1600" t="s">
        <v>572</v>
      </c>
    </row>
    <row r="1601" spans="1:7" x14ac:dyDescent="0.2">
      <c r="A1601" t="s">
        <v>281</v>
      </c>
      <c r="B1601" t="s">
        <v>373</v>
      </c>
      <c r="C1601" t="s">
        <v>482</v>
      </c>
      <c r="E1601" t="s">
        <v>482</v>
      </c>
      <c r="F1601" t="s">
        <v>527</v>
      </c>
      <c r="G1601" t="s">
        <v>572</v>
      </c>
    </row>
    <row r="1602" spans="1:7" x14ac:dyDescent="0.2">
      <c r="A1602" t="s">
        <v>273</v>
      </c>
      <c r="B1602" t="s">
        <v>374</v>
      </c>
      <c r="C1602" t="s">
        <v>481</v>
      </c>
      <c r="E1602" t="s">
        <v>481</v>
      </c>
      <c r="F1602" t="s">
        <v>526</v>
      </c>
      <c r="G1602" t="s">
        <v>572</v>
      </c>
    </row>
    <row r="1603" spans="1:7" x14ac:dyDescent="0.2">
      <c r="A1603" t="s">
        <v>282</v>
      </c>
      <c r="B1603" t="s">
        <v>375</v>
      </c>
      <c r="C1603" t="s">
        <v>489</v>
      </c>
      <c r="E1603" t="s">
        <v>489</v>
      </c>
      <c r="F1603" t="s">
        <v>526</v>
      </c>
      <c r="G1603" t="s">
        <v>572</v>
      </c>
    </row>
    <row r="1604" spans="1:7" x14ac:dyDescent="0.2">
      <c r="A1604" t="s">
        <v>283</v>
      </c>
      <c r="B1604" t="s">
        <v>376</v>
      </c>
      <c r="C1604" t="s">
        <v>490</v>
      </c>
      <c r="E1604" t="s">
        <v>478</v>
      </c>
      <c r="F1604" t="s">
        <v>536</v>
      </c>
      <c r="G1604" t="s">
        <v>575</v>
      </c>
    </row>
    <row r="1605" spans="1:7" x14ac:dyDescent="0.2">
      <c r="A1605" t="s">
        <v>275</v>
      </c>
      <c r="B1605" t="s">
        <v>377</v>
      </c>
      <c r="C1605" t="s">
        <v>478</v>
      </c>
      <c r="E1605" t="s">
        <v>477</v>
      </c>
      <c r="F1605" t="s">
        <v>537</v>
      </c>
      <c r="G1605" t="s">
        <v>575</v>
      </c>
    </row>
    <row r="1606" spans="1:7" x14ac:dyDescent="0.2">
      <c r="A1606" t="s">
        <v>275</v>
      </c>
      <c r="B1606" t="s">
        <v>378</v>
      </c>
      <c r="C1606" t="s">
        <v>478</v>
      </c>
      <c r="E1606" t="s">
        <v>477</v>
      </c>
      <c r="F1606" t="s">
        <v>538</v>
      </c>
      <c r="G1606" t="s">
        <v>575</v>
      </c>
    </row>
    <row r="1607" spans="1:7" x14ac:dyDescent="0.2">
      <c r="A1607" t="s">
        <v>275</v>
      </c>
      <c r="B1607" t="s">
        <v>379</v>
      </c>
      <c r="C1607" t="s">
        <v>478</v>
      </c>
      <c r="E1607" t="s">
        <v>477</v>
      </c>
      <c r="F1607" t="s">
        <v>538</v>
      </c>
      <c r="G1607" t="s">
        <v>575</v>
      </c>
    </row>
    <row r="1608" spans="1:7" x14ac:dyDescent="0.2">
      <c r="A1608" t="s">
        <v>275</v>
      </c>
      <c r="B1608" t="s">
        <v>380</v>
      </c>
      <c r="C1608" t="s">
        <v>478</v>
      </c>
      <c r="E1608" t="s">
        <v>477</v>
      </c>
      <c r="F1608" t="s">
        <v>530</v>
      </c>
      <c r="G1608" t="s">
        <v>575</v>
      </c>
    </row>
    <row r="1609" spans="1:7" x14ac:dyDescent="0.2">
      <c r="A1609" t="s">
        <v>275</v>
      </c>
      <c r="B1609" t="s">
        <v>381</v>
      </c>
      <c r="C1609" t="s">
        <v>478</v>
      </c>
      <c r="E1609" t="s">
        <v>477</v>
      </c>
      <c r="F1609" t="s">
        <v>530</v>
      </c>
      <c r="G1609" t="s">
        <v>575</v>
      </c>
    </row>
    <row r="1610" spans="1:7" x14ac:dyDescent="0.2">
      <c r="A1610" t="s">
        <v>275</v>
      </c>
      <c r="B1610" t="s">
        <v>382</v>
      </c>
      <c r="C1610" t="s">
        <v>478</v>
      </c>
      <c r="E1610" t="s">
        <v>477</v>
      </c>
      <c r="F1610" t="s">
        <v>530</v>
      </c>
      <c r="G1610" t="s">
        <v>575</v>
      </c>
    </row>
    <row r="1611" spans="1:7" x14ac:dyDescent="0.2">
      <c r="A1611" t="s">
        <v>275</v>
      </c>
      <c r="B1611" t="s">
        <v>383</v>
      </c>
      <c r="C1611" t="s">
        <v>478</v>
      </c>
      <c r="E1611" t="s">
        <v>477</v>
      </c>
      <c r="F1611" t="s">
        <v>530</v>
      </c>
      <c r="G1611" t="s">
        <v>575</v>
      </c>
    </row>
    <row r="1612" spans="1:7" x14ac:dyDescent="0.2">
      <c r="A1612" t="s">
        <v>264</v>
      </c>
      <c r="B1612" t="s">
        <v>384</v>
      </c>
      <c r="C1612" t="s">
        <v>478</v>
      </c>
      <c r="E1612" t="s">
        <v>477</v>
      </c>
      <c r="F1612" t="s">
        <v>516</v>
      </c>
      <c r="G1612" t="s">
        <v>575</v>
      </c>
    </row>
    <row r="1613" spans="1:7" x14ac:dyDescent="0.2">
      <c r="A1613" t="s">
        <v>284</v>
      </c>
      <c r="B1613" t="s">
        <v>385</v>
      </c>
      <c r="C1613" t="s">
        <v>477</v>
      </c>
      <c r="E1613" t="s">
        <v>477</v>
      </c>
      <c r="F1613" t="s">
        <v>539</v>
      </c>
      <c r="G1613" t="s">
        <v>570</v>
      </c>
    </row>
    <row r="1614" spans="1:7" x14ac:dyDescent="0.2">
      <c r="A1614" t="s">
        <v>285</v>
      </c>
      <c r="B1614" t="s">
        <v>386</v>
      </c>
      <c r="C1614" t="s">
        <v>477</v>
      </c>
      <c r="E1614" t="s">
        <v>477</v>
      </c>
      <c r="F1614" t="s">
        <v>531</v>
      </c>
      <c r="G1614" t="s">
        <v>570</v>
      </c>
    </row>
    <row r="1615" spans="1:7" x14ac:dyDescent="0.2">
      <c r="A1615" t="s">
        <v>286</v>
      </c>
      <c r="B1615" t="s">
        <v>387</v>
      </c>
      <c r="C1615" t="s">
        <v>486</v>
      </c>
      <c r="E1615" t="s">
        <v>486</v>
      </c>
      <c r="F1615" t="s">
        <v>540</v>
      </c>
      <c r="G1615" t="s">
        <v>572</v>
      </c>
    </row>
    <row r="1616" spans="1:7" x14ac:dyDescent="0.2">
      <c r="A1616" t="s">
        <v>286</v>
      </c>
      <c r="B1616" t="s">
        <v>388</v>
      </c>
      <c r="C1616" t="s">
        <v>491</v>
      </c>
      <c r="E1616" t="s">
        <v>491</v>
      </c>
      <c r="F1616" t="s">
        <v>524</v>
      </c>
      <c r="G1616" t="s">
        <v>573</v>
      </c>
    </row>
    <row r="1617" spans="1:7" x14ac:dyDescent="0.2">
      <c r="A1617" t="s">
        <v>286</v>
      </c>
      <c r="B1617" t="s">
        <v>389</v>
      </c>
      <c r="C1617" t="s">
        <v>491</v>
      </c>
      <c r="E1617" t="s">
        <v>491</v>
      </c>
      <c r="F1617" t="s">
        <v>524</v>
      </c>
      <c r="G1617" t="s">
        <v>573</v>
      </c>
    </row>
    <row r="1618" spans="1:7" x14ac:dyDescent="0.2">
      <c r="A1618" t="s">
        <v>286</v>
      </c>
      <c r="B1618" t="s">
        <v>390</v>
      </c>
      <c r="C1618" t="s">
        <v>491</v>
      </c>
      <c r="E1618" t="s">
        <v>491</v>
      </c>
      <c r="F1618" t="s">
        <v>524</v>
      </c>
      <c r="G1618" t="s">
        <v>573</v>
      </c>
    </row>
    <row r="1619" spans="1:7" x14ac:dyDescent="0.2">
      <c r="A1619" t="s">
        <v>286</v>
      </c>
      <c r="B1619" t="s">
        <v>391</v>
      </c>
      <c r="C1619" t="s">
        <v>491</v>
      </c>
      <c r="E1619" t="s">
        <v>491</v>
      </c>
      <c r="F1619" t="s">
        <v>524</v>
      </c>
      <c r="G1619" t="s">
        <v>573</v>
      </c>
    </row>
    <row r="1620" spans="1:7" x14ac:dyDescent="0.2">
      <c r="A1620" t="s">
        <v>286</v>
      </c>
      <c r="B1620" t="s">
        <v>392</v>
      </c>
      <c r="C1620" t="s">
        <v>491</v>
      </c>
      <c r="E1620" t="s">
        <v>491</v>
      </c>
      <c r="F1620" t="s">
        <v>524</v>
      </c>
      <c r="G1620" t="s">
        <v>573</v>
      </c>
    </row>
    <row r="1621" spans="1:7" x14ac:dyDescent="0.2">
      <c r="A1621" t="s">
        <v>286</v>
      </c>
      <c r="B1621" t="s">
        <v>393</v>
      </c>
      <c r="C1621" t="s">
        <v>491</v>
      </c>
      <c r="E1621" t="s">
        <v>491</v>
      </c>
      <c r="F1621" t="s">
        <v>524</v>
      </c>
      <c r="G1621" t="s">
        <v>573</v>
      </c>
    </row>
    <row r="1622" spans="1:7" x14ac:dyDescent="0.2">
      <c r="A1622" t="s">
        <v>286</v>
      </c>
      <c r="B1622" t="s">
        <v>394</v>
      </c>
      <c r="C1622" t="s">
        <v>491</v>
      </c>
      <c r="E1622" t="s">
        <v>491</v>
      </c>
      <c r="F1622" t="s">
        <v>524</v>
      </c>
      <c r="G1622" t="s">
        <v>573</v>
      </c>
    </row>
    <row r="1623" spans="1:7" x14ac:dyDescent="0.2">
      <c r="A1623" t="s">
        <v>286</v>
      </c>
      <c r="B1623" t="s">
        <v>394</v>
      </c>
      <c r="C1623" t="s">
        <v>491</v>
      </c>
      <c r="E1623" t="s">
        <v>491</v>
      </c>
      <c r="F1623" t="s">
        <v>524</v>
      </c>
      <c r="G1623" t="s">
        <v>573</v>
      </c>
    </row>
    <row r="1624" spans="1:7" x14ac:dyDescent="0.2">
      <c r="A1624" t="s">
        <v>286</v>
      </c>
      <c r="B1624" t="s">
        <v>395</v>
      </c>
      <c r="C1624" t="s">
        <v>491</v>
      </c>
      <c r="E1624" t="s">
        <v>491</v>
      </c>
      <c r="F1624" t="s">
        <v>524</v>
      </c>
      <c r="G1624" t="s">
        <v>573</v>
      </c>
    </row>
    <row r="1625" spans="1:7" x14ac:dyDescent="0.2">
      <c r="A1625" t="s">
        <v>286</v>
      </c>
      <c r="B1625" t="s">
        <v>396</v>
      </c>
      <c r="C1625" t="s">
        <v>486</v>
      </c>
      <c r="E1625" t="s">
        <v>486</v>
      </c>
      <c r="F1625" t="s">
        <v>541</v>
      </c>
      <c r="G1625" t="s">
        <v>573</v>
      </c>
    </row>
    <row r="1626" spans="1:7" x14ac:dyDescent="0.2">
      <c r="A1626" t="s">
        <v>286</v>
      </c>
      <c r="B1626" t="s">
        <v>397</v>
      </c>
      <c r="C1626" t="s">
        <v>486</v>
      </c>
      <c r="E1626" t="s">
        <v>486</v>
      </c>
      <c r="F1626" t="s">
        <v>541</v>
      </c>
      <c r="G1626" t="s">
        <v>573</v>
      </c>
    </row>
    <row r="1627" spans="1:7" x14ac:dyDescent="0.2">
      <c r="A1627" t="s">
        <v>286</v>
      </c>
      <c r="B1627" t="s">
        <v>398</v>
      </c>
      <c r="C1627" t="s">
        <v>486</v>
      </c>
      <c r="E1627" t="s">
        <v>486</v>
      </c>
      <c r="F1627" t="s">
        <v>541</v>
      </c>
      <c r="G1627" t="s">
        <v>573</v>
      </c>
    </row>
    <row r="1628" spans="1:7" x14ac:dyDescent="0.2">
      <c r="A1628" t="s">
        <v>287</v>
      </c>
      <c r="B1628" t="s">
        <v>399</v>
      </c>
      <c r="C1628" t="s">
        <v>477</v>
      </c>
      <c r="E1628" t="s">
        <v>477</v>
      </c>
      <c r="F1628" t="s">
        <v>542</v>
      </c>
      <c r="G1628" t="s">
        <v>573</v>
      </c>
    </row>
    <row r="1629" spans="1:7" x14ac:dyDescent="0.2">
      <c r="A1629" t="s">
        <v>288</v>
      </c>
      <c r="B1629" t="s">
        <v>400</v>
      </c>
      <c r="C1629" t="s">
        <v>477</v>
      </c>
      <c r="E1629" t="s">
        <v>477</v>
      </c>
      <c r="F1629" t="s">
        <v>543</v>
      </c>
      <c r="G1629" t="s">
        <v>573</v>
      </c>
    </row>
    <row r="1630" spans="1:7" x14ac:dyDescent="0.2">
      <c r="A1630" t="s">
        <v>285</v>
      </c>
      <c r="B1630" t="s">
        <v>401</v>
      </c>
      <c r="C1630" t="s">
        <v>477</v>
      </c>
      <c r="E1630" t="s">
        <v>477</v>
      </c>
      <c r="F1630" t="s">
        <v>529</v>
      </c>
      <c r="G1630" t="s">
        <v>570</v>
      </c>
    </row>
    <row r="1631" spans="1:7" x14ac:dyDescent="0.2">
      <c r="A1631" t="s">
        <v>289</v>
      </c>
      <c r="B1631" t="s">
        <v>402</v>
      </c>
      <c r="C1631" t="s">
        <v>492</v>
      </c>
      <c r="E1631" t="s">
        <v>492</v>
      </c>
      <c r="F1631" t="s">
        <v>529</v>
      </c>
      <c r="G1631" t="s">
        <v>572</v>
      </c>
    </row>
    <row r="1632" spans="1:7" x14ac:dyDescent="0.2">
      <c r="A1632" t="s">
        <v>289</v>
      </c>
      <c r="B1632" t="s">
        <v>403</v>
      </c>
      <c r="C1632" t="s">
        <v>492</v>
      </c>
      <c r="E1632" t="s">
        <v>492</v>
      </c>
      <c r="F1632" t="s">
        <v>543</v>
      </c>
      <c r="G1632" t="s">
        <v>572</v>
      </c>
    </row>
    <row r="1633" spans="1:7" x14ac:dyDescent="0.2">
      <c r="A1633" t="s">
        <v>289</v>
      </c>
      <c r="B1633" t="s">
        <v>404</v>
      </c>
      <c r="C1633" t="s">
        <v>492</v>
      </c>
      <c r="E1633" t="s">
        <v>492</v>
      </c>
      <c r="F1633" t="s">
        <v>529</v>
      </c>
      <c r="G1633" t="s">
        <v>572</v>
      </c>
    </row>
    <row r="1634" spans="1:7" x14ac:dyDescent="0.2">
      <c r="A1634" t="s">
        <v>286</v>
      </c>
      <c r="B1634" t="s">
        <v>405</v>
      </c>
      <c r="C1634" t="s">
        <v>486</v>
      </c>
      <c r="E1634" t="s">
        <v>486</v>
      </c>
      <c r="F1634" t="s">
        <v>540</v>
      </c>
      <c r="G1634" t="s">
        <v>572</v>
      </c>
    </row>
    <row r="1635" spans="1:7" x14ac:dyDescent="0.2">
      <c r="A1635" t="s">
        <v>286</v>
      </c>
      <c r="B1635" t="s">
        <v>406</v>
      </c>
      <c r="C1635" t="s">
        <v>486</v>
      </c>
      <c r="E1635" t="s">
        <v>486</v>
      </c>
      <c r="F1635" t="s">
        <v>536</v>
      </c>
      <c r="G1635" t="s">
        <v>572</v>
      </c>
    </row>
    <row r="1636" spans="1:7" x14ac:dyDescent="0.2">
      <c r="A1636" t="s">
        <v>290</v>
      </c>
      <c r="B1636" t="s">
        <v>407</v>
      </c>
      <c r="C1636" t="s">
        <v>478</v>
      </c>
      <c r="E1636" t="s">
        <v>478</v>
      </c>
      <c r="F1636" t="s">
        <v>544</v>
      </c>
      <c r="G1636" t="s">
        <v>569</v>
      </c>
    </row>
    <row r="1637" spans="1:7" x14ac:dyDescent="0.2">
      <c r="A1637" t="s">
        <v>291</v>
      </c>
      <c r="B1637" t="s">
        <v>408</v>
      </c>
      <c r="C1637" t="s">
        <v>478</v>
      </c>
      <c r="E1637" t="s">
        <v>478</v>
      </c>
      <c r="F1637" t="s">
        <v>545</v>
      </c>
      <c r="G1637" t="s">
        <v>576</v>
      </c>
    </row>
    <row r="1638" spans="1:7" x14ac:dyDescent="0.2">
      <c r="A1638" t="s">
        <v>292</v>
      </c>
      <c r="B1638" t="s">
        <v>409</v>
      </c>
      <c r="C1638" t="s">
        <v>478</v>
      </c>
      <c r="E1638" t="s">
        <v>478</v>
      </c>
      <c r="F1638" t="s">
        <v>546</v>
      </c>
      <c r="G1638" t="s">
        <v>576</v>
      </c>
    </row>
    <row r="1639" spans="1:7" x14ac:dyDescent="0.2">
      <c r="A1639" t="s">
        <v>292</v>
      </c>
      <c r="B1639" t="s">
        <v>410</v>
      </c>
      <c r="C1639" t="s">
        <v>478</v>
      </c>
      <c r="E1639" t="s">
        <v>478</v>
      </c>
      <c r="F1639" t="s">
        <v>547</v>
      </c>
      <c r="G1639" t="s">
        <v>576</v>
      </c>
    </row>
    <row r="1640" spans="1:7" x14ac:dyDescent="0.2">
      <c r="A1640" t="s">
        <v>268</v>
      </c>
      <c r="B1640" t="s">
        <v>411</v>
      </c>
      <c r="C1640" t="s">
        <v>478</v>
      </c>
      <c r="E1640" t="s">
        <v>478</v>
      </c>
      <c r="F1640" t="s">
        <v>520</v>
      </c>
      <c r="G1640" t="s">
        <v>576</v>
      </c>
    </row>
    <row r="1641" spans="1:7" x14ac:dyDescent="0.2">
      <c r="A1641" t="s">
        <v>293</v>
      </c>
      <c r="B1641" t="s">
        <v>412</v>
      </c>
      <c r="C1641" t="s">
        <v>478</v>
      </c>
      <c r="E1641" t="s">
        <v>478</v>
      </c>
      <c r="F1641" t="s">
        <v>536</v>
      </c>
      <c r="G1641" t="s">
        <v>571</v>
      </c>
    </row>
    <row r="1642" spans="1:7" x14ac:dyDescent="0.2">
      <c r="A1642" t="s">
        <v>294</v>
      </c>
      <c r="B1642" t="s">
        <v>413</v>
      </c>
      <c r="C1642" t="s">
        <v>493</v>
      </c>
      <c r="E1642" t="s">
        <v>493</v>
      </c>
      <c r="F1642" t="s">
        <v>548</v>
      </c>
      <c r="G1642" t="s">
        <v>577</v>
      </c>
    </row>
    <row r="1643" spans="1:7" x14ac:dyDescent="0.2">
      <c r="A1643" t="s">
        <v>295</v>
      </c>
      <c r="B1643" t="s">
        <v>414</v>
      </c>
      <c r="C1643" t="s">
        <v>494</v>
      </c>
      <c r="E1643" t="s">
        <v>494</v>
      </c>
      <c r="F1643" t="s">
        <v>549</v>
      </c>
      <c r="G1643" t="s">
        <v>577</v>
      </c>
    </row>
    <row r="1644" spans="1:7" x14ac:dyDescent="0.2">
      <c r="A1644" t="s">
        <v>296</v>
      </c>
      <c r="B1644" t="s">
        <v>415</v>
      </c>
      <c r="C1644" t="s">
        <v>494</v>
      </c>
      <c r="E1644" t="s">
        <v>494</v>
      </c>
      <c r="F1644" t="s">
        <v>550</v>
      </c>
      <c r="G1644" t="s">
        <v>577</v>
      </c>
    </row>
    <row r="1645" spans="1:7" x14ac:dyDescent="0.2">
      <c r="A1645" t="s">
        <v>297</v>
      </c>
      <c r="B1645" t="s">
        <v>416</v>
      </c>
      <c r="C1645" t="s">
        <v>488</v>
      </c>
      <c r="E1645" t="s">
        <v>488</v>
      </c>
      <c r="F1645" t="s">
        <v>551</v>
      </c>
      <c r="G1645" t="s">
        <v>577</v>
      </c>
    </row>
    <row r="1646" spans="1:7" x14ac:dyDescent="0.2">
      <c r="A1646" t="s">
        <v>298</v>
      </c>
      <c r="B1646" t="s">
        <v>417</v>
      </c>
      <c r="C1646" t="s">
        <v>495</v>
      </c>
      <c r="E1646" t="s">
        <v>495</v>
      </c>
      <c r="F1646" t="s">
        <v>552</v>
      </c>
      <c r="G1646" t="s">
        <v>577</v>
      </c>
    </row>
    <row r="1647" spans="1:7" x14ac:dyDescent="0.2">
      <c r="A1647" t="s">
        <v>299</v>
      </c>
      <c r="B1647" t="s">
        <v>418</v>
      </c>
      <c r="C1647" t="s">
        <v>496</v>
      </c>
      <c r="E1647" t="s">
        <v>496</v>
      </c>
      <c r="F1647" t="s">
        <v>516</v>
      </c>
      <c r="G1647" t="s">
        <v>577</v>
      </c>
    </row>
    <row r="1648" spans="1:7" x14ac:dyDescent="0.2">
      <c r="A1648" t="s">
        <v>300</v>
      </c>
      <c r="B1648" t="s">
        <v>419</v>
      </c>
      <c r="C1648" t="s">
        <v>497</v>
      </c>
      <c r="E1648" t="s">
        <v>497</v>
      </c>
      <c r="F1648" t="s">
        <v>553</v>
      </c>
      <c r="G1648" t="s">
        <v>577</v>
      </c>
    </row>
    <row r="1649" spans="1:7" x14ac:dyDescent="0.2">
      <c r="A1649" t="s">
        <v>301</v>
      </c>
      <c r="B1649" t="s">
        <v>420</v>
      </c>
      <c r="C1649" t="s">
        <v>478</v>
      </c>
      <c r="E1649" t="s">
        <v>478</v>
      </c>
      <c r="F1649" t="s">
        <v>516</v>
      </c>
      <c r="G1649" t="s">
        <v>576</v>
      </c>
    </row>
    <row r="1650" spans="1:7" x14ac:dyDescent="0.2">
      <c r="A1650" t="s">
        <v>283</v>
      </c>
      <c r="B1650" t="s">
        <v>421</v>
      </c>
      <c r="C1650" t="s">
        <v>477</v>
      </c>
      <c r="E1650" t="s">
        <v>477</v>
      </c>
      <c r="F1650" t="s">
        <v>540</v>
      </c>
      <c r="G1650" t="s">
        <v>578</v>
      </c>
    </row>
    <row r="1651" spans="1:7" x14ac:dyDescent="0.2">
      <c r="A1651" t="s">
        <v>264</v>
      </c>
      <c r="B1651" t="s">
        <v>422</v>
      </c>
      <c r="C1651" t="s">
        <v>477</v>
      </c>
      <c r="E1651" t="s">
        <v>477</v>
      </c>
      <c r="F1651" t="s">
        <v>541</v>
      </c>
      <c r="G1651" t="s">
        <v>578</v>
      </c>
    </row>
    <row r="1652" spans="1:7" x14ac:dyDescent="0.2">
      <c r="A1652" t="s">
        <v>264</v>
      </c>
      <c r="B1652" t="s">
        <v>423</v>
      </c>
      <c r="C1652" t="s">
        <v>478</v>
      </c>
      <c r="E1652" t="s">
        <v>478</v>
      </c>
      <c r="F1652" t="s">
        <v>516</v>
      </c>
      <c r="G1652" t="s">
        <v>578</v>
      </c>
    </row>
    <row r="1653" spans="1:7" x14ac:dyDescent="0.2">
      <c r="A1653" t="s">
        <v>301</v>
      </c>
      <c r="B1653" t="s">
        <v>424</v>
      </c>
      <c r="C1653" t="s">
        <v>478</v>
      </c>
      <c r="E1653" t="s">
        <v>478</v>
      </c>
      <c r="F1653" t="s">
        <v>537</v>
      </c>
      <c r="G1653" t="s">
        <v>576</v>
      </c>
    </row>
    <row r="1654" spans="1:7" x14ac:dyDescent="0.2">
      <c r="A1654" t="s">
        <v>283</v>
      </c>
      <c r="B1654" t="s">
        <v>425</v>
      </c>
      <c r="C1654" t="s">
        <v>498</v>
      </c>
      <c r="E1654" t="s">
        <v>498</v>
      </c>
      <c r="F1654" t="s">
        <v>529</v>
      </c>
      <c r="G1654" t="s">
        <v>578</v>
      </c>
    </row>
    <row r="1655" spans="1:7" x14ac:dyDescent="0.2">
      <c r="A1655" t="s">
        <v>302</v>
      </c>
      <c r="B1655" t="s">
        <v>426</v>
      </c>
      <c r="C1655" t="s">
        <v>478</v>
      </c>
      <c r="E1655" t="s">
        <v>478</v>
      </c>
      <c r="F1655" t="s">
        <v>529</v>
      </c>
      <c r="G1655" t="s">
        <v>579</v>
      </c>
    </row>
    <row r="1656" spans="1:7" x14ac:dyDescent="0.2">
      <c r="A1656" t="s">
        <v>285</v>
      </c>
      <c r="B1656" t="s">
        <v>427</v>
      </c>
      <c r="C1656" t="s">
        <v>499</v>
      </c>
      <c r="E1656" t="s">
        <v>499</v>
      </c>
      <c r="F1656" t="s">
        <v>542</v>
      </c>
      <c r="G1656" t="s">
        <v>577</v>
      </c>
    </row>
    <row r="1657" spans="1:7" x14ac:dyDescent="0.2">
      <c r="A1657" t="s">
        <v>303</v>
      </c>
      <c r="B1657" t="s">
        <v>428</v>
      </c>
      <c r="C1657" t="s">
        <v>500</v>
      </c>
      <c r="E1657" t="s">
        <v>500</v>
      </c>
      <c r="F1657" t="s">
        <v>546</v>
      </c>
      <c r="G1657" t="s">
        <v>577</v>
      </c>
    </row>
    <row r="1658" spans="1:7" x14ac:dyDescent="0.2">
      <c r="A1658" t="s">
        <v>304</v>
      </c>
      <c r="B1658" t="s">
        <v>429</v>
      </c>
      <c r="C1658" t="s">
        <v>478</v>
      </c>
      <c r="E1658" t="s">
        <v>478</v>
      </c>
      <c r="F1658" t="s">
        <v>554</v>
      </c>
      <c r="G1658" t="s">
        <v>569</v>
      </c>
    </row>
    <row r="1659" spans="1:7" x14ac:dyDescent="0.2">
      <c r="A1659" t="s">
        <v>277</v>
      </c>
      <c r="B1659" t="s">
        <v>430</v>
      </c>
      <c r="C1659" t="s">
        <v>478</v>
      </c>
      <c r="E1659" t="s">
        <v>478</v>
      </c>
      <c r="F1659" t="s">
        <v>539</v>
      </c>
      <c r="G1659" t="s">
        <v>571</v>
      </c>
    </row>
    <row r="1660" spans="1:7" x14ac:dyDescent="0.2">
      <c r="A1660" t="s">
        <v>277</v>
      </c>
      <c r="B1660" t="s">
        <v>431</v>
      </c>
      <c r="C1660" t="s">
        <v>478</v>
      </c>
      <c r="E1660" t="s">
        <v>478</v>
      </c>
      <c r="F1660" t="s">
        <v>534</v>
      </c>
      <c r="G1660" t="s">
        <v>571</v>
      </c>
    </row>
    <row r="1661" spans="1:7" x14ac:dyDescent="0.2">
      <c r="A1661" t="s">
        <v>277</v>
      </c>
      <c r="B1661" t="s">
        <v>432</v>
      </c>
      <c r="C1661" t="s">
        <v>501</v>
      </c>
      <c r="E1661" t="s">
        <v>501</v>
      </c>
      <c r="F1661" t="s">
        <v>555</v>
      </c>
      <c r="G1661" t="s">
        <v>571</v>
      </c>
    </row>
    <row r="1662" spans="1:7" x14ac:dyDescent="0.2">
      <c r="A1662" t="s">
        <v>263</v>
      </c>
      <c r="B1662" t="s">
        <v>433</v>
      </c>
      <c r="C1662" t="s">
        <v>502</v>
      </c>
      <c r="E1662" t="s">
        <v>502</v>
      </c>
      <c r="F1662" t="s">
        <v>556</v>
      </c>
      <c r="G1662" t="s">
        <v>580</v>
      </c>
    </row>
    <row r="1663" spans="1:7" x14ac:dyDescent="0.2">
      <c r="A1663" t="s">
        <v>268</v>
      </c>
      <c r="B1663" t="s">
        <v>434</v>
      </c>
      <c r="C1663" t="s">
        <v>478</v>
      </c>
      <c r="E1663" t="s">
        <v>478</v>
      </c>
      <c r="F1663" t="s">
        <v>520</v>
      </c>
      <c r="G1663" t="s">
        <v>571</v>
      </c>
    </row>
    <row r="1664" spans="1:7" x14ac:dyDescent="0.2">
      <c r="A1664" t="s">
        <v>305</v>
      </c>
      <c r="B1664" t="s">
        <v>435</v>
      </c>
      <c r="C1664" t="s">
        <v>478</v>
      </c>
      <c r="E1664" t="s">
        <v>478</v>
      </c>
      <c r="F1664" t="s">
        <v>557</v>
      </c>
      <c r="G1664" t="s">
        <v>569</v>
      </c>
    </row>
    <row r="1665" spans="1:7" x14ac:dyDescent="0.2">
      <c r="A1665" t="s">
        <v>306</v>
      </c>
      <c r="B1665" t="s">
        <v>436</v>
      </c>
      <c r="C1665" t="s">
        <v>478</v>
      </c>
      <c r="E1665" t="s">
        <v>478</v>
      </c>
      <c r="F1665" t="s">
        <v>558</v>
      </c>
      <c r="G1665" t="s">
        <v>569</v>
      </c>
    </row>
    <row r="1666" spans="1:7" x14ac:dyDescent="0.2">
      <c r="A1666" t="s">
        <v>307</v>
      </c>
      <c r="B1666" t="s">
        <v>437</v>
      </c>
      <c r="C1666" t="s">
        <v>478</v>
      </c>
      <c r="E1666" t="s">
        <v>478</v>
      </c>
      <c r="F1666" t="s">
        <v>559</v>
      </c>
      <c r="G1666" t="s">
        <v>574</v>
      </c>
    </row>
    <row r="1667" spans="1:7" x14ac:dyDescent="0.2">
      <c r="A1667" t="s">
        <v>308</v>
      </c>
      <c r="B1667" t="s">
        <v>438</v>
      </c>
      <c r="C1667" t="s">
        <v>478</v>
      </c>
      <c r="E1667" t="s">
        <v>478</v>
      </c>
      <c r="F1667" t="s">
        <v>560</v>
      </c>
      <c r="G1667" t="s">
        <v>569</v>
      </c>
    </row>
    <row r="1668" spans="1:7" x14ac:dyDescent="0.2">
      <c r="A1668" t="s">
        <v>309</v>
      </c>
      <c r="B1668" t="s">
        <v>439</v>
      </c>
      <c r="C1668" t="s">
        <v>478</v>
      </c>
      <c r="E1668" t="s">
        <v>478</v>
      </c>
      <c r="F1668" t="s">
        <v>558</v>
      </c>
      <c r="G1668" t="s">
        <v>574</v>
      </c>
    </row>
    <row r="1669" spans="1:7" x14ac:dyDescent="0.2">
      <c r="A1669" t="s">
        <v>310</v>
      </c>
      <c r="B1669" t="s">
        <v>440</v>
      </c>
      <c r="C1669" t="s">
        <v>478</v>
      </c>
      <c r="E1669" t="s">
        <v>478</v>
      </c>
      <c r="F1669" t="s">
        <v>561</v>
      </c>
      <c r="G1669" t="s">
        <v>569</v>
      </c>
    </row>
    <row r="1670" spans="1:7" x14ac:dyDescent="0.2">
      <c r="A1670" t="s">
        <v>311</v>
      </c>
      <c r="B1670" t="s">
        <v>441</v>
      </c>
      <c r="C1670" t="s">
        <v>481</v>
      </c>
      <c r="E1670" t="s">
        <v>481</v>
      </c>
      <c r="F1670" t="s">
        <v>527</v>
      </c>
      <c r="G1670" t="s">
        <v>580</v>
      </c>
    </row>
    <row r="1671" spans="1:7" x14ac:dyDescent="0.2">
      <c r="A1671" t="s">
        <v>311</v>
      </c>
      <c r="B1671" t="s">
        <v>442</v>
      </c>
      <c r="C1671" t="s">
        <v>482</v>
      </c>
      <c r="E1671" t="s">
        <v>482</v>
      </c>
      <c r="F1671" t="s">
        <v>562</v>
      </c>
      <c r="G1671" t="s">
        <v>580</v>
      </c>
    </row>
    <row r="1672" spans="1:7" x14ac:dyDescent="0.2">
      <c r="A1672" t="s">
        <v>311</v>
      </c>
      <c r="B1672" t="s">
        <v>443</v>
      </c>
      <c r="C1672" t="s">
        <v>481</v>
      </c>
      <c r="E1672" t="s">
        <v>481</v>
      </c>
      <c r="F1672" t="s">
        <v>563</v>
      </c>
      <c r="G1672" t="s">
        <v>580</v>
      </c>
    </row>
    <row r="1673" spans="1:7" x14ac:dyDescent="0.2">
      <c r="A1673" t="s">
        <v>312</v>
      </c>
      <c r="B1673" t="s">
        <v>444</v>
      </c>
      <c r="C1673" t="s">
        <v>481</v>
      </c>
      <c r="E1673" t="s">
        <v>481</v>
      </c>
      <c r="F1673" t="s">
        <v>526</v>
      </c>
      <c r="G1673" t="s">
        <v>580</v>
      </c>
    </row>
    <row r="1674" spans="1:7" x14ac:dyDescent="0.2">
      <c r="A1674" t="s">
        <v>286</v>
      </c>
      <c r="B1674" t="s">
        <v>445</v>
      </c>
      <c r="C1674" t="s">
        <v>486</v>
      </c>
      <c r="E1674" t="s">
        <v>486</v>
      </c>
      <c r="F1674" t="s">
        <v>542</v>
      </c>
      <c r="G1674" t="s">
        <v>580</v>
      </c>
    </row>
    <row r="1675" spans="1:7" x14ac:dyDescent="0.2">
      <c r="A1675" t="s">
        <v>286</v>
      </c>
      <c r="B1675" t="s">
        <v>446</v>
      </c>
      <c r="C1675" t="s">
        <v>486</v>
      </c>
      <c r="E1675" t="s">
        <v>486</v>
      </c>
      <c r="F1675" t="s">
        <v>541</v>
      </c>
      <c r="G1675" t="s">
        <v>580</v>
      </c>
    </row>
    <row r="1676" spans="1:7" x14ac:dyDescent="0.2">
      <c r="A1676" t="s">
        <v>313</v>
      </c>
      <c r="B1676" t="s">
        <v>447</v>
      </c>
      <c r="C1676" t="s">
        <v>478</v>
      </c>
      <c r="E1676" t="s">
        <v>478</v>
      </c>
      <c r="F1676" t="s">
        <v>516</v>
      </c>
      <c r="G1676" t="s">
        <v>569</v>
      </c>
    </row>
    <row r="1677" spans="1:7" x14ac:dyDescent="0.2">
      <c r="A1677" t="s">
        <v>314</v>
      </c>
      <c r="B1677" t="s">
        <v>448</v>
      </c>
      <c r="C1677" t="s">
        <v>478</v>
      </c>
      <c r="E1677" t="s">
        <v>478</v>
      </c>
      <c r="F1677" t="s">
        <v>516</v>
      </c>
      <c r="G1677" t="s">
        <v>569</v>
      </c>
    </row>
    <row r="1678" spans="1:7" x14ac:dyDescent="0.2">
      <c r="A1678" t="s">
        <v>315</v>
      </c>
      <c r="B1678" t="s">
        <v>449</v>
      </c>
      <c r="C1678" t="s">
        <v>478</v>
      </c>
      <c r="E1678" t="s">
        <v>478</v>
      </c>
      <c r="F1678" t="s">
        <v>530</v>
      </c>
      <c r="G1678" t="s">
        <v>569</v>
      </c>
    </row>
    <row r="1679" spans="1:7" x14ac:dyDescent="0.2">
      <c r="A1679" t="s">
        <v>315</v>
      </c>
      <c r="B1679" t="s">
        <v>450</v>
      </c>
      <c r="C1679" t="s">
        <v>478</v>
      </c>
      <c r="E1679" t="s">
        <v>478</v>
      </c>
      <c r="F1679" t="s">
        <v>530</v>
      </c>
      <c r="G1679" t="s">
        <v>569</v>
      </c>
    </row>
    <row r="1680" spans="1:7" x14ac:dyDescent="0.2">
      <c r="A1680" t="s">
        <v>315</v>
      </c>
      <c r="B1680" t="s">
        <v>451</v>
      </c>
      <c r="C1680" t="s">
        <v>478</v>
      </c>
      <c r="E1680" t="s">
        <v>478</v>
      </c>
      <c r="F1680" t="s">
        <v>530</v>
      </c>
      <c r="G1680" t="s">
        <v>569</v>
      </c>
    </row>
    <row r="1681" spans="1:7" x14ac:dyDescent="0.2">
      <c r="A1681" t="s">
        <v>313</v>
      </c>
      <c r="B1681" t="s">
        <v>452</v>
      </c>
      <c r="C1681" t="s">
        <v>478</v>
      </c>
      <c r="E1681" t="s">
        <v>478</v>
      </c>
      <c r="F1681" t="s">
        <v>524</v>
      </c>
      <c r="G1681" t="s">
        <v>569</v>
      </c>
    </row>
    <row r="1682" spans="1:7" x14ac:dyDescent="0.2">
      <c r="A1682" t="s">
        <v>314</v>
      </c>
      <c r="B1682" t="s">
        <v>453</v>
      </c>
      <c r="C1682" t="s">
        <v>478</v>
      </c>
      <c r="E1682" t="s">
        <v>478</v>
      </c>
      <c r="F1682" t="s">
        <v>538</v>
      </c>
      <c r="G1682" t="s">
        <v>569</v>
      </c>
    </row>
    <row r="1683" spans="1:7" x14ac:dyDescent="0.2">
      <c r="A1683" t="s">
        <v>314</v>
      </c>
      <c r="B1683" t="s">
        <v>454</v>
      </c>
      <c r="C1683" t="s">
        <v>478</v>
      </c>
      <c r="E1683" t="s">
        <v>478</v>
      </c>
      <c r="F1683" t="s">
        <v>530</v>
      </c>
      <c r="G1683" t="s">
        <v>569</v>
      </c>
    </row>
    <row r="1684" spans="1:7" x14ac:dyDescent="0.2">
      <c r="A1684" t="s">
        <v>314</v>
      </c>
      <c r="B1684" t="s">
        <v>455</v>
      </c>
      <c r="C1684" t="s">
        <v>478</v>
      </c>
      <c r="E1684" t="s">
        <v>478</v>
      </c>
      <c r="F1684" t="s">
        <v>538</v>
      </c>
      <c r="G1684" t="s">
        <v>569</v>
      </c>
    </row>
    <row r="1685" spans="1:7" x14ac:dyDescent="0.2">
      <c r="A1685" t="s">
        <v>314</v>
      </c>
      <c r="B1685" t="s">
        <v>456</v>
      </c>
      <c r="C1685" t="s">
        <v>478</v>
      </c>
      <c r="E1685" t="s">
        <v>478</v>
      </c>
      <c r="F1685" t="s">
        <v>530</v>
      </c>
      <c r="G1685" t="s">
        <v>569</v>
      </c>
    </row>
    <row r="1686" spans="1:7" x14ac:dyDescent="0.2">
      <c r="A1686" t="s">
        <v>277</v>
      </c>
      <c r="B1686" t="s">
        <v>457</v>
      </c>
      <c r="C1686" t="s">
        <v>501</v>
      </c>
      <c r="E1686" t="s">
        <v>501</v>
      </c>
      <c r="F1686" t="s">
        <v>564</v>
      </c>
      <c r="G1686" t="s">
        <v>571</v>
      </c>
    </row>
    <row r="1687" spans="1:7" x14ac:dyDescent="0.2">
      <c r="A1687" t="s">
        <v>263</v>
      </c>
      <c r="B1687" t="s">
        <v>458</v>
      </c>
      <c r="C1687" t="s">
        <v>476</v>
      </c>
      <c r="E1687" t="s">
        <v>476</v>
      </c>
      <c r="F1687" t="s">
        <v>565</v>
      </c>
      <c r="G1687" t="s">
        <v>580</v>
      </c>
    </row>
    <row r="1688" spans="1:7" x14ac:dyDescent="0.2">
      <c r="A1688" t="s">
        <v>316</v>
      </c>
      <c r="B1688" t="s">
        <v>459</v>
      </c>
      <c r="C1688" t="s">
        <v>478</v>
      </c>
      <c r="E1688" t="s">
        <v>478</v>
      </c>
      <c r="F1688" t="s">
        <v>557</v>
      </c>
      <c r="G1688" t="s">
        <v>569</v>
      </c>
    </row>
    <row r="1689" spans="1:7" x14ac:dyDescent="0.2">
      <c r="A1689" t="s">
        <v>317</v>
      </c>
      <c r="B1689" t="s">
        <v>460</v>
      </c>
      <c r="C1689" t="s">
        <v>478</v>
      </c>
      <c r="E1689" t="s">
        <v>478</v>
      </c>
      <c r="F1689" t="s">
        <v>560</v>
      </c>
      <c r="G1689" t="s">
        <v>569</v>
      </c>
    </row>
    <row r="1690" spans="1:7" x14ac:dyDescent="0.2">
      <c r="A1690" t="s">
        <v>318</v>
      </c>
      <c r="B1690" t="s">
        <v>461</v>
      </c>
      <c r="C1690" t="s">
        <v>478</v>
      </c>
      <c r="E1690" t="s">
        <v>478</v>
      </c>
      <c r="F1690" t="s">
        <v>561</v>
      </c>
      <c r="G1690" t="s">
        <v>574</v>
      </c>
    </row>
    <row r="1691" spans="1:7" x14ac:dyDescent="0.2">
      <c r="A1691" t="s">
        <v>319</v>
      </c>
      <c r="B1691" t="s">
        <v>462</v>
      </c>
      <c r="C1691" t="s">
        <v>482</v>
      </c>
      <c r="E1691" t="s">
        <v>482</v>
      </c>
      <c r="F1691" t="s">
        <v>526</v>
      </c>
      <c r="G1691" t="s">
        <v>580</v>
      </c>
    </row>
    <row r="1692" spans="1:7" x14ac:dyDescent="0.2">
      <c r="A1692" t="s">
        <v>320</v>
      </c>
      <c r="B1692" t="s">
        <v>463</v>
      </c>
      <c r="C1692" t="s">
        <v>488</v>
      </c>
      <c r="E1692" t="s">
        <v>488</v>
      </c>
      <c r="F1692" t="s">
        <v>562</v>
      </c>
      <c r="G1692" t="s">
        <v>580</v>
      </c>
    </row>
    <row r="1693" spans="1:7" x14ac:dyDescent="0.2">
      <c r="A1693" t="s">
        <v>319</v>
      </c>
      <c r="B1693" t="s">
        <v>464</v>
      </c>
      <c r="C1693" t="s">
        <v>482</v>
      </c>
      <c r="E1693" t="s">
        <v>482</v>
      </c>
      <c r="F1693" t="s">
        <v>563</v>
      </c>
      <c r="G1693" t="s">
        <v>580</v>
      </c>
    </row>
    <row r="1694" spans="1:7" x14ac:dyDescent="0.2">
      <c r="A1694" t="s">
        <v>319</v>
      </c>
      <c r="B1694" t="s">
        <v>465</v>
      </c>
      <c r="C1694" t="s">
        <v>481</v>
      </c>
      <c r="E1694" t="s">
        <v>481</v>
      </c>
      <c r="F1694" t="s">
        <v>526</v>
      </c>
      <c r="G1694" t="s">
        <v>580</v>
      </c>
    </row>
    <row r="1695" spans="1:7" x14ac:dyDescent="0.2">
      <c r="A1695" t="s">
        <v>321</v>
      </c>
      <c r="B1695" t="s">
        <v>466</v>
      </c>
      <c r="C1695" t="s">
        <v>488</v>
      </c>
      <c r="E1695" t="s">
        <v>488</v>
      </c>
      <c r="F1695" t="s">
        <v>547</v>
      </c>
      <c r="G1695" t="s">
        <v>574</v>
      </c>
    </row>
    <row r="1696" spans="1:7" x14ac:dyDescent="0.2">
      <c r="A1696" t="s">
        <v>322</v>
      </c>
      <c r="B1696" t="s">
        <v>467</v>
      </c>
      <c r="C1696" t="s">
        <v>482</v>
      </c>
      <c r="E1696" t="s">
        <v>482</v>
      </c>
      <c r="F1696" t="s">
        <v>566</v>
      </c>
      <c r="G1696" t="s">
        <v>574</v>
      </c>
    </row>
    <row r="1697" spans="1:7" x14ac:dyDescent="0.2">
      <c r="A1697" t="s">
        <v>283</v>
      </c>
      <c r="B1697" t="s">
        <v>468</v>
      </c>
      <c r="C1697" t="s">
        <v>478</v>
      </c>
      <c r="E1697" t="s">
        <v>478</v>
      </c>
      <c r="F1697" t="s">
        <v>524</v>
      </c>
      <c r="G1697" t="s">
        <v>581</v>
      </c>
    </row>
    <row r="1698" spans="1:7" x14ac:dyDescent="0.2">
      <c r="A1698" t="s">
        <v>275</v>
      </c>
      <c r="B1698" t="s">
        <v>469</v>
      </c>
      <c r="C1698" t="s">
        <v>478</v>
      </c>
      <c r="E1698" t="s">
        <v>478</v>
      </c>
      <c r="F1698" t="s">
        <v>530</v>
      </c>
      <c r="G1698" t="s">
        <v>581</v>
      </c>
    </row>
    <row r="1699" spans="1:7" x14ac:dyDescent="0.2">
      <c r="A1699" t="s">
        <v>275</v>
      </c>
      <c r="B1699" t="s">
        <v>470</v>
      </c>
      <c r="C1699" t="s">
        <v>478</v>
      </c>
      <c r="E1699" t="s">
        <v>478</v>
      </c>
      <c r="F1699" t="s">
        <v>530</v>
      </c>
      <c r="G1699" t="s">
        <v>581</v>
      </c>
    </row>
    <row r="1700" spans="1:7" x14ac:dyDescent="0.2">
      <c r="A1700" t="s">
        <v>275</v>
      </c>
      <c r="B1700" t="s">
        <v>471</v>
      </c>
      <c r="C1700" t="s">
        <v>478</v>
      </c>
      <c r="E1700" t="s">
        <v>478</v>
      </c>
      <c r="F1700" t="s">
        <v>530</v>
      </c>
      <c r="G1700" t="s">
        <v>581</v>
      </c>
    </row>
    <row r="1701" spans="1:7" x14ac:dyDescent="0.2">
      <c r="A1701" t="s">
        <v>275</v>
      </c>
      <c r="B1701" t="s">
        <v>472</v>
      </c>
      <c r="C1701" t="s">
        <v>478</v>
      </c>
      <c r="E1701" t="s">
        <v>478</v>
      </c>
      <c r="F1701" t="s">
        <v>530</v>
      </c>
      <c r="G1701" t="s">
        <v>581</v>
      </c>
    </row>
    <row r="1702" spans="1:7" x14ac:dyDescent="0.2">
      <c r="A1702" t="s">
        <v>286</v>
      </c>
      <c r="B1702" t="s">
        <v>473</v>
      </c>
      <c r="C1702" t="s">
        <v>486</v>
      </c>
      <c r="E1702" t="s">
        <v>486</v>
      </c>
      <c r="F1702" t="s">
        <v>542</v>
      </c>
      <c r="G1702" t="s">
        <v>580</v>
      </c>
    </row>
    <row r="1703" spans="1:7" x14ac:dyDescent="0.2">
      <c r="A1703" t="s">
        <v>286</v>
      </c>
      <c r="B1703" t="s">
        <v>474</v>
      </c>
      <c r="C1703" t="s">
        <v>486</v>
      </c>
      <c r="E1703" t="s">
        <v>486</v>
      </c>
      <c r="F1703" t="s">
        <v>542</v>
      </c>
      <c r="G1703" t="s">
        <v>580</v>
      </c>
    </row>
    <row r="1704" spans="1:7" x14ac:dyDescent="0.2">
      <c r="A1704" t="s">
        <v>289</v>
      </c>
      <c r="B1704" t="s">
        <v>475</v>
      </c>
      <c r="C1704" t="s">
        <v>478</v>
      </c>
      <c r="E1704" t="s">
        <v>478</v>
      </c>
      <c r="F1704" t="s">
        <v>559</v>
      </c>
      <c r="G1704" t="s">
        <v>574</v>
      </c>
    </row>
    <row r="1705" spans="1:7" x14ac:dyDescent="0.2">
      <c r="A1705" t="s">
        <v>302</v>
      </c>
      <c r="B1705" t="s">
        <v>302</v>
      </c>
      <c r="C1705" t="s">
        <v>478</v>
      </c>
      <c r="E1705" t="s">
        <v>478</v>
      </c>
      <c r="F1705" t="s">
        <v>567</v>
      </c>
      <c r="G1705" t="s">
        <v>579</v>
      </c>
    </row>
    <row r="1706" spans="1:7" x14ac:dyDescent="0.2">
      <c r="A1706" t="s">
        <v>323</v>
      </c>
      <c r="B1706" t="s">
        <v>302</v>
      </c>
      <c r="C1706" t="s">
        <v>478</v>
      </c>
      <c r="E1706" t="s">
        <v>478</v>
      </c>
      <c r="F1706" t="s">
        <v>568</v>
      </c>
      <c r="G1706" t="s">
        <v>569</v>
      </c>
    </row>
    <row r="1707" spans="1:7" x14ac:dyDescent="0.2">
      <c r="A1707" t="s">
        <v>263</v>
      </c>
      <c r="B1707" t="s">
        <v>324</v>
      </c>
      <c r="C1707" t="s">
        <v>476</v>
      </c>
      <c r="E1707" t="s">
        <v>478</v>
      </c>
      <c r="F1707" t="s">
        <v>515</v>
      </c>
      <c r="G1707" t="s">
        <v>319</v>
      </c>
    </row>
    <row r="1708" spans="1:7" x14ac:dyDescent="0.2">
      <c r="A1708" t="s">
        <v>264</v>
      </c>
      <c r="B1708" t="s">
        <v>325</v>
      </c>
      <c r="C1708" t="s">
        <v>477</v>
      </c>
      <c r="E1708" t="s">
        <v>477</v>
      </c>
      <c r="F1708" t="s">
        <v>516</v>
      </c>
      <c r="G1708" t="s">
        <v>569</v>
      </c>
    </row>
    <row r="1709" spans="1:7" x14ac:dyDescent="0.2">
      <c r="A1709" t="s">
        <v>265</v>
      </c>
      <c r="B1709" t="s">
        <v>326</v>
      </c>
      <c r="C1709" t="s">
        <v>478</v>
      </c>
      <c r="E1709" t="s">
        <v>478</v>
      </c>
      <c r="F1709" t="s">
        <v>517</v>
      </c>
      <c r="G1709" t="s">
        <v>570</v>
      </c>
    </row>
    <row r="1710" spans="1:7" x14ac:dyDescent="0.2">
      <c r="A1710" t="s">
        <v>266</v>
      </c>
      <c r="B1710" t="s">
        <v>327</v>
      </c>
      <c r="C1710" t="s">
        <v>479</v>
      </c>
      <c r="E1710" t="s">
        <v>479</v>
      </c>
      <c r="F1710" t="s">
        <v>518</v>
      </c>
      <c r="G1710" t="s">
        <v>571</v>
      </c>
    </row>
    <row r="1711" spans="1:7" x14ac:dyDescent="0.2">
      <c r="A1711" t="s">
        <v>267</v>
      </c>
      <c r="B1711" t="s">
        <v>328</v>
      </c>
      <c r="C1711" t="s">
        <v>480</v>
      </c>
      <c r="E1711" t="s">
        <v>480</v>
      </c>
      <c r="F1711" t="s">
        <v>519</v>
      </c>
      <c r="G1711" t="s">
        <v>572</v>
      </c>
    </row>
    <row r="1712" spans="1:7" x14ac:dyDescent="0.2">
      <c r="A1712" t="s">
        <v>268</v>
      </c>
      <c r="B1712" t="s">
        <v>329</v>
      </c>
      <c r="C1712" t="s">
        <v>478</v>
      </c>
      <c r="E1712" t="s">
        <v>478</v>
      </c>
      <c r="F1712" t="s">
        <v>520</v>
      </c>
      <c r="G1712" t="s">
        <v>571</v>
      </c>
    </row>
    <row r="1713" spans="1:7" x14ac:dyDescent="0.2">
      <c r="A1713" t="s">
        <v>268</v>
      </c>
      <c r="B1713" t="s">
        <v>330</v>
      </c>
      <c r="C1713" t="s">
        <v>478</v>
      </c>
      <c r="E1713" t="s">
        <v>478</v>
      </c>
      <c r="F1713" t="s">
        <v>516</v>
      </c>
      <c r="G1713" t="s">
        <v>571</v>
      </c>
    </row>
    <row r="1714" spans="1:7" x14ac:dyDescent="0.2">
      <c r="A1714" t="s">
        <v>268</v>
      </c>
      <c r="B1714" t="s">
        <v>331</v>
      </c>
      <c r="C1714" t="s">
        <v>478</v>
      </c>
      <c r="E1714" t="s">
        <v>478</v>
      </c>
      <c r="F1714" t="s">
        <v>520</v>
      </c>
      <c r="G1714" t="s">
        <v>571</v>
      </c>
    </row>
    <row r="1715" spans="1:7" x14ac:dyDescent="0.2">
      <c r="A1715" t="s">
        <v>269</v>
      </c>
      <c r="B1715" t="s">
        <v>332</v>
      </c>
      <c r="C1715" t="s">
        <v>481</v>
      </c>
      <c r="E1715" t="s">
        <v>481</v>
      </c>
      <c r="F1715" t="s">
        <v>521</v>
      </c>
      <c r="G1715" t="s">
        <v>573</v>
      </c>
    </row>
    <row r="1716" spans="1:7" x14ac:dyDescent="0.2">
      <c r="A1716" t="s">
        <v>270</v>
      </c>
      <c r="B1716" t="s">
        <v>333</v>
      </c>
      <c r="C1716" t="s">
        <v>481</v>
      </c>
      <c r="E1716" t="s">
        <v>481</v>
      </c>
      <c r="F1716" t="s">
        <v>522</v>
      </c>
      <c r="G1716" t="s">
        <v>573</v>
      </c>
    </row>
    <row r="1717" spans="1:7" x14ac:dyDescent="0.2">
      <c r="A1717" t="s">
        <v>270</v>
      </c>
      <c r="B1717" t="s">
        <v>334</v>
      </c>
      <c r="C1717" t="s">
        <v>481</v>
      </c>
      <c r="E1717" t="s">
        <v>481</v>
      </c>
      <c r="F1717" t="s">
        <v>523</v>
      </c>
      <c r="G1717" t="s">
        <v>573</v>
      </c>
    </row>
    <row r="1718" spans="1:7" x14ac:dyDescent="0.2">
      <c r="A1718" t="s">
        <v>271</v>
      </c>
      <c r="B1718" t="s">
        <v>335</v>
      </c>
      <c r="C1718" t="s">
        <v>478</v>
      </c>
      <c r="E1718" t="s">
        <v>478</v>
      </c>
      <c r="F1718" t="s">
        <v>524</v>
      </c>
      <c r="G1718" t="s">
        <v>574</v>
      </c>
    </row>
    <row r="1719" spans="1:7" x14ac:dyDescent="0.2">
      <c r="A1719" t="s">
        <v>269</v>
      </c>
      <c r="B1719" t="s">
        <v>336</v>
      </c>
      <c r="C1719" t="s">
        <v>481</v>
      </c>
      <c r="E1719" t="s">
        <v>481</v>
      </c>
      <c r="F1719" t="s">
        <v>525</v>
      </c>
      <c r="G1719" t="s">
        <v>573</v>
      </c>
    </row>
    <row r="1720" spans="1:7" x14ac:dyDescent="0.2">
      <c r="A1720" t="s">
        <v>272</v>
      </c>
      <c r="B1720" t="s">
        <v>337</v>
      </c>
      <c r="C1720" t="s">
        <v>481</v>
      </c>
      <c r="E1720" t="s">
        <v>481</v>
      </c>
      <c r="F1720" t="s">
        <v>526</v>
      </c>
      <c r="G1720" t="s">
        <v>572</v>
      </c>
    </row>
    <row r="1721" spans="1:7" x14ac:dyDescent="0.2">
      <c r="A1721" t="s">
        <v>272</v>
      </c>
      <c r="B1721" t="s">
        <v>338</v>
      </c>
      <c r="C1721" t="s">
        <v>481</v>
      </c>
      <c r="E1721" t="s">
        <v>481</v>
      </c>
      <c r="F1721" t="s">
        <v>527</v>
      </c>
      <c r="G1721" t="s">
        <v>572</v>
      </c>
    </row>
    <row r="1722" spans="1:7" x14ac:dyDescent="0.2">
      <c r="A1722" t="s">
        <v>273</v>
      </c>
      <c r="B1722" t="s">
        <v>339</v>
      </c>
      <c r="C1722" t="s">
        <v>481</v>
      </c>
      <c r="E1722" t="s">
        <v>481</v>
      </c>
      <c r="F1722" t="s">
        <v>527</v>
      </c>
      <c r="G1722" t="s">
        <v>572</v>
      </c>
    </row>
    <row r="1723" spans="1:7" x14ac:dyDescent="0.2">
      <c r="A1723" t="s">
        <v>273</v>
      </c>
      <c r="B1723" t="s">
        <v>340</v>
      </c>
      <c r="C1723" t="s">
        <v>482</v>
      </c>
      <c r="E1723" t="s">
        <v>482</v>
      </c>
      <c r="F1723" t="s">
        <v>528</v>
      </c>
      <c r="G1723" t="s">
        <v>572</v>
      </c>
    </row>
    <row r="1724" spans="1:7" x14ac:dyDescent="0.2">
      <c r="A1724" t="s">
        <v>273</v>
      </c>
      <c r="B1724" t="s">
        <v>341</v>
      </c>
      <c r="C1724" t="s">
        <v>481</v>
      </c>
      <c r="E1724" t="s">
        <v>481</v>
      </c>
      <c r="F1724" t="s">
        <v>527</v>
      </c>
      <c r="G1724" t="s">
        <v>572</v>
      </c>
    </row>
    <row r="1725" spans="1:7" x14ac:dyDescent="0.2">
      <c r="A1725" t="s">
        <v>273</v>
      </c>
      <c r="B1725" t="s">
        <v>342</v>
      </c>
      <c r="C1725" t="s">
        <v>481</v>
      </c>
      <c r="E1725" t="s">
        <v>481</v>
      </c>
      <c r="F1725" t="s">
        <v>526</v>
      </c>
      <c r="G1725" t="s">
        <v>572</v>
      </c>
    </row>
    <row r="1726" spans="1:7" x14ac:dyDescent="0.2">
      <c r="A1726" t="s">
        <v>274</v>
      </c>
      <c r="B1726" t="s">
        <v>343</v>
      </c>
      <c r="C1726" t="s">
        <v>483</v>
      </c>
      <c r="E1726" t="s">
        <v>483</v>
      </c>
      <c r="F1726" t="s">
        <v>529</v>
      </c>
      <c r="G1726" t="s">
        <v>575</v>
      </c>
    </row>
    <row r="1727" spans="1:7" x14ac:dyDescent="0.2">
      <c r="A1727" t="s">
        <v>275</v>
      </c>
      <c r="B1727" t="s">
        <v>344</v>
      </c>
      <c r="C1727" t="s">
        <v>478</v>
      </c>
      <c r="E1727" t="s">
        <v>477</v>
      </c>
      <c r="F1727" t="s">
        <v>530</v>
      </c>
      <c r="G1727" t="s">
        <v>575</v>
      </c>
    </row>
    <row r="1728" spans="1:7" x14ac:dyDescent="0.2">
      <c r="A1728" t="s">
        <v>275</v>
      </c>
      <c r="B1728" t="s">
        <v>345</v>
      </c>
      <c r="C1728" t="s">
        <v>478</v>
      </c>
      <c r="E1728" t="s">
        <v>477</v>
      </c>
      <c r="F1728" t="s">
        <v>530</v>
      </c>
      <c r="G1728" t="s">
        <v>575</v>
      </c>
    </row>
    <row r="1729" spans="1:7" x14ac:dyDescent="0.2">
      <c r="A1729" t="s">
        <v>275</v>
      </c>
      <c r="B1729" t="s">
        <v>346</v>
      </c>
      <c r="C1729" t="s">
        <v>478</v>
      </c>
      <c r="E1729" t="s">
        <v>477</v>
      </c>
      <c r="F1729" t="s">
        <v>530</v>
      </c>
      <c r="G1729" t="s">
        <v>575</v>
      </c>
    </row>
    <row r="1730" spans="1:7" x14ac:dyDescent="0.2">
      <c r="A1730" t="s">
        <v>275</v>
      </c>
      <c r="B1730" t="s">
        <v>347</v>
      </c>
      <c r="C1730" t="s">
        <v>478</v>
      </c>
      <c r="E1730" t="s">
        <v>477</v>
      </c>
      <c r="F1730" t="s">
        <v>530</v>
      </c>
      <c r="G1730" t="s">
        <v>575</v>
      </c>
    </row>
    <row r="1731" spans="1:7" x14ac:dyDescent="0.2">
      <c r="A1731" t="s">
        <v>275</v>
      </c>
      <c r="B1731" t="s">
        <v>348</v>
      </c>
      <c r="C1731" t="s">
        <v>478</v>
      </c>
      <c r="E1731" t="s">
        <v>477</v>
      </c>
      <c r="F1731" t="s">
        <v>530</v>
      </c>
      <c r="G1731" t="s">
        <v>575</v>
      </c>
    </row>
    <row r="1732" spans="1:7" x14ac:dyDescent="0.2">
      <c r="A1732" t="s">
        <v>275</v>
      </c>
      <c r="B1732" t="s">
        <v>349</v>
      </c>
      <c r="C1732" t="s">
        <v>478</v>
      </c>
      <c r="E1732" t="s">
        <v>477</v>
      </c>
      <c r="F1732" t="s">
        <v>530</v>
      </c>
      <c r="G1732" t="s">
        <v>575</v>
      </c>
    </row>
    <row r="1733" spans="1:7" x14ac:dyDescent="0.2">
      <c r="A1733" t="s">
        <v>275</v>
      </c>
      <c r="B1733" t="s">
        <v>350</v>
      </c>
      <c r="C1733" t="s">
        <v>478</v>
      </c>
      <c r="E1733" t="s">
        <v>477</v>
      </c>
      <c r="F1733" t="s">
        <v>530</v>
      </c>
      <c r="G1733" t="s">
        <v>575</v>
      </c>
    </row>
    <row r="1734" spans="1:7" x14ac:dyDescent="0.2">
      <c r="A1734" t="s">
        <v>275</v>
      </c>
      <c r="B1734" t="s">
        <v>351</v>
      </c>
      <c r="C1734" t="s">
        <v>478</v>
      </c>
      <c r="E1734" t="s">
        <v>477</v>
      </c>
      <c r="F1734" t="s">
        <v>530</v>
      </c>
      <c r="G1734" t="s">
        <v>575</v>
      </c>
    </row>
    <row r="1735" spans="1:7" x14ac:dyDescent="0.2">
      <c r="A1735" t="s">
        <v>275</v>
      </c>
      <c r="B1735" t="s">
        <v>352</v>
      </c>
      <c r="C1735" t="s">
        <v>478</v>
      </c>
      <c r="E1735" t="s">
        <v>477</v>
      </c>
      <c r="F1735" t="s">
        <v>530</v>
      </c>
      <c r="G1735" t="s">
        <v>575</v>
      </c>
    </row>
    <row r="1736" spans="1:7" x14ac:dyDescent="0.2">
      <c r="A1736" t="s">
        <v>264</v>
      </c>
      <c r="B1736" t="s">
        <v>353</v>
      </c>
      <c r="C1736" t="s">
        <v>478</v>
      </c>
      <c r="E1736" t="s">
        <v>477</v>
      </c>
      <c r="F1736" t="s">
        <v>516</v>
      </c>
      <c r="G1736" t="s">
        <v>575</v>
      </c>
    </row>
    <row r="1737" spans="1:7" x14ac:dyDescent="0.2">
      <c r="A1737" t="s">
        <v>276</v>
      </c>
      <c r="B1737" t="s">
        <v>354</v>
      </c>
      <c r="C1737" t="s">
        <v>484</v>
      </c>
      <c r="E1737" t="s">
        <v>484</v>
      </c>
      <c r="F1737" t="s">
        <v>531</v>
      </c>
      <c r="G1737" t="s">
        <v>575</v>
      </c>
    </row>
    <row r="1738" spans="1:7" x14ac:dyDescent="0.2">
      <c r="A1738" t="s">
        <v>275</v>
      </c>
      <c r="B1738" t="s">
        <v>355</v>
      </c>
      <c r="C1738" t="s">
        <v>478</v>
      </c>
      <c r="E1738" t="s">
        <v>477</v>
      </c>
      <c r="F1738" t="s">
        <v>530</v>
      </c>
      <c r="G1738" t="s">
        <v>575</v>
      </c>
    </row>
    <row r="1739" spans="1:7" x14ac:dyDescent="0.2">
      <c r="A1739" t="s">
        <v>275</v>
      </c>
      <c r="B1739" t="s">
        <v>356</v>
      </c>
      <c r="C1739" t="s">
        <v>478</v>
      </c>
      <c r="E1739" t="s">
        <v>477</v>
      </c>
      <c r="F1739" t="s">
        <v>530</v>
      </c>
      <c r="G1739" t="s">
        <v>575</v>
      </c>
    </row>
    <row r="1740" spans="1:7" x14ac:dyDescent="0.2">
      <c r="A1740" t="s">
        <v>275</v>
      </c>
      <c r="B1740" t="s">
        <v>357</v>
      </c>
      <c r="C1740" t="s">
        <v>478</v>
      </c>
      <c r="E1740" t="s">
        <v>477</v>
      </c>
      <c r="F1740" t="s">
        <v>530</v>
      </c>
      <c r="G1740" t="s">
        <v>575</v>
      </c>
    </row>
    <row r="1741" spans="1:7" x14ac:dyDescent="0.2">
      <c r="A1741" t="s">
        <v>275</v>
      </c>
      <c r="B1741" t="s">
        <v>358</v>
      </c>
      <c r="C1741" t="s">
        <v>478</v>
      </c>
      <c r="E1741" t="s">
        <v>477</v>
      </c>
      <c r="F1741" t="s">
        <v>530</v>
      </c>
      <c r="G1741" t="s">
        <v>575</v>
      </c>
    </row>
    <row r="1742" spans="1:7" x14ac:dyDescent="0.2">
      <c r="A1742" t="s">
        <v>275</v>
      </c>
      <c r="B1742" t="s">
        <v>359</v>
      </c>
      <c r="C1742" t="s">
        <v>478</v>
      </c>
      <c r="E1742" t="s">
        <v>477</v>
      </c>
      <c r="F1742" t="s">
        <v>530</v>
      </c>
      <c r="G1742" t="s">
        <v>575</v>
      </c>
    </row>
    <row r="1743" spans="1:7" x14ac:dyDescent="0.2">
      <c r="A1743" t="s">
        <v>275</v>
      </c>
      <c r="B1743" t="s">
        <v>360</v>
      </c>
      <c r="C1743" t="s">
        <v>478</v>
      </c>
      <c r="E1743" t="s">
        <v>477</v>
      </c>
      <c r="F1743" t="s">
        <v>530</v>
      </c>
      <c r="G1743" t="s">
        <v>575</v>
      </c>
    </row>
    <row r="1744" spans="1:7" x14ac:dyDescent="0.2">
      <c r="A1744" t="s">
        <v>264</v>
      </c>
      <c r="B1744" t="s">
        <v>361</v>
      </c>
      <c r="C1744" t="s">
        <v>478</v>
      </c>
      <c r="E1744" t="s">
        <v>477</v>
      </c>
      <c r="F1744" t="s">
        <v>516</v>
      </c>
      <c r="G1744" t="s">
        <v>575</v>
      </c>
    </row>
    <row r="1745" spans="1:7" x14ac:dyDescent="0.2">
      <c r="A1745" t="s">
        <v>265</v>
      </c>
      <c r="B1745" t="s">
        <v>362</v>
      </c>
      <c r="C1745" t="s">
        <v>478</v>
      </c>
      <c r="E1745" t="s">
        <v>491</v>
      </c>
      <c r="F1745" t="s">
        <v>532</v>
      </c>
      <c r="G1745" t="s">
        <v>570</v>
      </c>
    </row>
    <row r="1746" spans="1:7" x14ac:dyDescent="0.2">
      <c r="A1746" t="s">
        <v>277</v>
      </c>
      <c r="B1746" t="s">
        <v>363</v>
      </c>
      <c r="C1746" t="s">
        <v>485</v>
      </c>
      <c r="E1746" t="s">
        <v>485</v>
      </c>
      <c r="F1746" t="s">
        <v>525</v>
      </c>
      <c r="G1746" t="s">
        <v>571</v>
      </c>
    </row>
    <row r="1747" spans="1:7" x14ac:dyDescent="0.2">
      <c r="A1747" t="s">
        <v>267</v>
      </c>
      <c r="B1747" t="s">
        <v>364</v>
      </c>
      <c r="C1747" t="s">
        <v>480</v>
      </c>
      <c r="E1747" t="s">
        <v>480</v>
      </c>
      <c r="F1747" t="s">
        <v>533</v>
      </c>
      <c r="G1747" t="s">
        <v>572</v>
      </c>
    </row>
    <row r="1748" spans="1:7" x14ac:dyDescent="0.2">
      <c r="A1748" t="s">
        <v>278</v>
      </c>
      <c r="B1748" t="s">
        <v>365</v>
      </c>
      <c r="C1748" t="s">
        <v>486</v>
      </c>
      <c r="E1748" t="s">
        <v>486</v>
      </c>
      <c r="F1748" t="s">
        <v>534</v>
      </c>
      <c r="G1748" t="s">
        <v>573</v>
      </c>
    </row>
    <row r="1749" spans="1:7" x14ac:dyDescent="0.2">
      <c r="A1749" t="s">
        <v>278</v>
      </c>
      <c r="B1749" t="s">
        <v>366</v>
      </c>
      <c r="C1749" t="s">
        <v>486</v>
      </c>
      <c r="E1749" t="s">
        <v>486</v>
      </c>
      <c r="F1749" t="s">
        <v>534</v>
      </c>
      <c r="G1749" t="s">
        <v>573</v>
      </c>
    </row>
    <row r="1750" spans="1:7" x14ac:dyDescent="0.2">
      <c r="A1750" t="s">
        <v>279</v>
      </c>
      <c r="B1750" t="s">
        <v>367</v>
      </c>
      <c r="C1750" t="s">
        <v>487</v>
      </c>
      <c r="E1750" t="s">
        <v>487</v>
      </c>
      <c r="F1750" t="s">
        <v>535</v>
      </c>
      <c r="G1750" t="s">
        <v>573</v>
      </c>
    </row>
    <row r="1751" spans="1:7" x14ac:dyDescent="0.2">
      <c r="A1751" t="s">
        <v>279</v>
      </c>
      <c r="B1751" t="s">
        <v>368</v>
      </c>
      <c r="C1751" t="s">
        <v>487</v>
      </c>
      <c r="E1751" t="s">
        <v>487</v>
      </c>
      <c r="F1751" t="s">
        <v>527</v>
      </c>
      <c r="G1751" t="s">
        <v>573</v>
      </c>
    </row>
    <row r="1752" spans="1:7" x14ac:dyDescent="0.2">
      <c r="A1752" t="s">
        <v>280</v>
      </c>
      <c r="B1752" t="s">
        <v>369</v>
      </c>
      <c r="C1752" t="s">
        <v>482</v>
      </c>
      <c r="E1752" t="s">
        <v>482</v>
      </c>
      <c r="F1752" t="s">
        <v>526</v>
      </c>
      <c r="G1752" t="s">
        <v>572</v>
      </c>
    </row>
    <row r="1753" spans="1:7" x14ac:dyDescent="0.2">
      <c r="A1753" t="s">
        <v>280</v>
      </c>
      <c r="B1753" t="s">
        <v>370</v>
      </c>
      <c r="C1753" t="s">
        <v>482</v>
      </c>
      <c r="E1753" t="s">
        <v>482</v>
      </c>
      <c r="F1753" t="s">
        <v>527</v>
      </c>
      <c r="G1753" t="s">
        <v>572</v>
      </c>
    </row>
    <row r="1754" spans="1:7" x14ac:dyDescent="0.2">
      <c r="A1754" t="s">
        <v>272</v>
      </c>
      <c r="B1754" t="s">
        <v>371</v>
      </c>
      <c r="C1754" t="s">
        <v>482</v>
      </c>
      <c r="E1754" t="s">
        <v>482</v>
      </c>
      <c r="F1754" t="s">
        <v>527</v>
      </c>
      <c r="G1754" t="s">
        <v>572</v>
      </c>
    </row>
    <row r="1755" spans="1:7" x14ac:dyDescent="0.2">
      <c r="A1755" t="s">
        <v>272</v>
      </c>
      <c r="B1755" t="s">
        <v>372</v>
      </c>
      <c r="C1755" t="s">
        <v>488</v>
      </c>
      <c r="E1755" t="s">
        <v>488</v>
      </c>
      <c r="F1755" t="s">
        <v>528</v>
      </c>
      <c r="G1755" t="s">
        <v>572</v>
      </c>
    </row>
    <row r="1756" spans="1:7" x14ac:dyDescent="0.2">
      <c r="A1756" t="s">
        <v>281</v>
      </c>
      <c r="B1756" t="s">
        <v>373</v>
      </c>
      <c r="C1756" t="s">
        <v>482</v>
      </c>
      <c r="E1756" t="s">
        <v>482</v>
      </c>
      <c r="F1756" t="s">
        <v>527</v>
      </c>
      <c r="G1756" t="s">
        <v>572</v>
      </c>
    </row>
    <row r="1757" spans="1:7" x14ac:dyDescent="0.2">
      <c r="A1757" t="s">
        <v>273</v>
      </c>
      <c r="B1757" t="s">
        <v>374</v>
      </c>
      <c r="C1757" t="s">
        <v>481</v>
      </c>
      <c r="E1757" t="s">
        <v>481</v>
      </c>
      <c r="F1757" t="s">
        <v>526</v>
      </c>
      <c r="G1757" t="s">
        <v>572</v>
      </c>
    </row>
    <row r="1758" spans="1:7" x14ac:dyDescent="0.2">
      <c r="A1758" t="s">
        <v>282</v>
      </c>
      <c r="B1758" t="s">
        <v>375</v>
      </c>
      <c r="C1758" t="s">
        <v>489</v>
      </c>
      <c r="E1758" t="s">
        <v>489</v>
      </c>
      <c r="F1758" t="s">
        <v>526</v>
      </c>
      <c r="G1758" t="s">
        <v>572</v>
      </c>
    </row>
    <row r="1759" spans="1:7" x14ac:dyDescent="0.2">
      <c r="A1759" t="s">
        <v>283</v>
      </c>
      <c r="B1759" t="s">
        <v>376</v>
      </c>
      <c r="C1759" t="s">
        <v>490</v>
      </c>
      <c r="E1759" t="s">
        <v>478</v>
      </c>
      <c r="F1759" t="s">
        <v>536</v>
      </c>
      <c r="G1759" t="s">
        <v>575</v>
      </c>
    </row>
    <row r="1760" spans="1:7" x14ac:dyDescent="0.2">
      <c r="A1760" t="s">
        <v>275</v>
      </c>
      <c r="B1760" t="s">
        <v>377</v>
      </c>
      <c r="C1760" t="s">
        <v>478</v>
      </c>
      <c r="E1760" t="s">
        <v>477</v>
      </c>
      <c r="F1760" t="s">
        <v>537</v>
      </c>
      <c r="G1760" t="s">
        <v>575</v>
      </c>
    </row>
    <row r="1761" spans="1:7" x14ac:dyDescent="0.2">
      <c r="A1761" t="s">
        <v>275</v>
      </c>
      <c r="B1761" t="s">
        <v>378</v>
      </c>
      <c r="C1761" t="s">
        <v>478</v>
      </c>
      <c r="E1761" t="s">
        <v>477</v>
      </c>
      <c r="F1761" t="s">
        <v>538</v>
      </c>
      <c r="G1761" t="s">
        <v>575</v>
      </c>
    </row>
    <row r="1762" spans="1:7" x14ac:dyDescent="0.2">
      <c r="A1762" t="s">
        <v>275</v>
      </c>
      <c r="B1762" t="s">
        <v>379</v>
      </c>
      <c r="C1762" t="s">
        <v>478</v>
      </c>
      <c r="E1762" t="s">
        <v>477</v>
      </c>
      <c r="F1762" t="s">
        <v>538</v>
      </c>
      <c r="G1762" t="s">
        <v>575</v>
      </c>
    </row>
    <row r="1763" spans="1:7" x14ac:dyDescent="0.2">
      <c r="A1763" t="s">
        <v>275</v>
      </c>
      <c r="B1763" t="s">
        <v>380</v>
      </c>
      <c r="C1763" t="s">
        <v>478</v>
      </c>
      <c r="E1763" t="s">
        <v>477</v>
      </c>
      <c r="F1763" t="s">
        <v>530</v>
      </c>
      <c r="G1763" t="s">
        <v>575</v>
      </c>
    </row>
    <row r="1764" spans="1:7" x14ac:dyDescent="0.2">
      <c r="A1764" t="s">
        <v>275</v>
      </c>
      <c r="B1764" t="s">
        <v>381</v>
      </c>
      <c r="C1764" t="s">
        <v>478</v>
      </c>
      <c r="E1764" t="s">
        <v>477</v>
      </c>
      <c r="F1764" t="s">
        <v>530</v>
      </c>
      <c r="G1764" t="s">
        <v>575</v>
      </c>
    </row>
    <row r="1765" spans="1:7" x14ac:dyDescent="0.2">
      <c r="A1765" t="s">
        <v>275</v>
      </c>
      <c r="B1765" t="s">
        <v>382</v>
      </c>
      <c r="C1765" t="s">
        <v>478</v>
      </c>
      <c r="E1765" t="s">
        <v>477</v>
      </c>
      <c r="F1765" t="s">
        <v>530</v>
      </c>
      <c r="G1765" t="s">
        <v>575</v>
      </c>
    </row>
    <row r="1766" spans="1:7" x14ac:dyDescent="0.2">
      <c r="A1766" t="s">
        <v>275</v>
      </c>
      <c r="B1766" t="s">
        <v>383</v>
      </c>
      <c r="C1766" t="s">
        <v>478</v>
      </c>
      <c r="E1766" t="s">
        <v>477</v>
      </c>
      <c r="F1766" t="s">
        <v>530</v>
      </c>
      <c r="G1766" t="s">
        <v>575</v>
      </c>
    </row>
    <row r="1767" spans="1:7" x14ac:dyDescent="0.2">
      <c r="A1767" t="s">
        <v>264</v>
      </c>
      <c r="B1767" t="s">
        <v>384</v>
      </c>
      <c r="C1767" t="s">
        <v>478</v>
      </c>
      <c r="E1767" t="s">
        <v>477</v>
      </c>
      <c r="F1767" t="s">
        <v>516</v>
      </c>
      <c r="G1767" t="s">
        <v>575</v>
      </c>
    </row>
    <row r="1768" spans="1:7" x14ac:dyDescent="0.2">
      <c r="A1768" t="s">
        <v>284</v>
      </c>
      <c r="B1768" t="s">
        <v>385</v>
      </c>
      <c r="C1768" t="s">
        <v>477</v>
      </c>
      <c r="E1768" t="s">
        <v>477</v>
      </c>
      <c r="F1768" t="s">
        <v>539</v>
      </c>
      <c r="G1768" t="s">
        <v>570</v>
      </c>
    </row>
    <row r="1769" spans="1:7" x14ac:dyDescent="0.2">
      <c r="A1769" t="s">
        <v>285</v>
      </c>
      <c r="B1769" t="s">
        <v>386</v>
      </c>
      <c r="C1769" t="s">
        <v>477</v>
      </c>
      <c r="E1769" t="s">
        <v>477</v>
      </c>
      <c r="F1769" t="s">
        <v>531</v>
      </c>
      <c r="G1769" t="s">
        <v>570</v>
      </c>
    </row>
    <row r="1770" spans="1:7" x14ac:dyDescent="0.2">
      <c r="A1770" t="s">
        <v>286</v>
      </c>
      <c r="B1770" t="s">
        <v>387</v>
      </c>
      <c r="C1770" t="s">
        <v>486</v>
      </c>
      <c r="E1770" t="s">
        <v>486</v>
      </c>
      <c r="F1770" t="s">
        <v>540</v>
      </c>
      <c r="G1770" t="s">
        <v>572</v>
      </c>
    </row>
    <row r="1771" spans="1:7" x14ac:dyDescent="0.2">
      <c r="A1771" t="s">
        <v>286</v>
      </c>
      <c r="B1771" t="s">
        <v>388</v>
      </c>
      <c r="C1771" t="s">
        <v>491</v>
      </c>
      <c r="E1771" t="s">
        <v>491</v>
      </c>
      <c r="F1771" t="s">
        <v>524</v>
      </c>
      <c r="G1771" t="s">
        <v>573</v>
      </c>
    </row>
    <row r="1772" spans="1:7" x14ac:dyDescent="0.2">
      <c r="A1772" t="s">
        <v>286</v>
      </c>
      <c r="B1772" t="s">
        <v>389</v>
      </c>
      <c r="C1772" t="s">
        <v>491</v>
      </c>
      <c r="E1772" t="s">
        <v>491</v>
      </c>
      <c r="F1772" t="s">
        <v>524</v>
      </c>
      <c r="G1772" t="s">
        <v>573</v>
      </c>
    </row>
    <row r="1773" spans="1:7" x14ac:dyDescent="0.2">
      <c r="A1773" t="s">
        <v>286</v>
      </c>
      <c r="B1773" t="s">
        <v>390</v>
      </c>
      <c r="C1773" t="s">
        <v>491</v>
      </c>
      <c r="E1773" t="s">
        <v>491</v>
      </c>
      <c r="F1773" t="s">
        <v>524</v>
      </c>
      <c r="G1773" t="s">
        <v>573</v>
      </c>
    </row>
    <row r="1774" spans="1:7" x14ac:dyDescent="0.2">
      <c r="A1774" t="s">
        <v>286</v>
      </c>
      <c r="B1774" t="s">
        <v>391</v>
      </c>
      <c r="C1774" t="s">
        <v>491</v>
      </c>
      <c r="E1774" t="s">
        <v>491</v>
      </c>
      <c r="F1774" t="s">
        <v>524</v>
      </c>
      <c r="G1774" t="s">
        <v>573</v>
      </c>
    </row>
    <row r="1775" spans="1:7" x14ac:dyDescent="0.2">
      <c r="A1775" t="s">
        <v>286</v>
      </c>
      <c r="B1775" t="s">
        <v>392</v>
      </c>
      <c r="C1775" t="s">
        <v>491</v>
      </c>
      <c r="E1775" t="s">
        <v>491</v>
      </c>
      <c r="F1775" t="s">
        <v>524</v>
      </c>
      <c r="G1775" t="s">
        <v>573</v>
      </c>
    </row>
    <row r="1776" spans="1:7" x14ac:dyDescent="0.2">
      <c r="A1776" t="s">
        <v>286</v>
      </c>
      <c r="B1776" t="s">
        <v>393</v>
      </c>
      <c r="C1776" t="s">
        <v>491</v>
      </c>
      <c r="E1776" t="s">
        <v>491</v>
      </c>
      <c r="F1776" t="s">
        <v>524</v>
      </c>
      <c r="G1776" t="s">
        <v>573</v>
      </c>
    </row>
    <row r="1777" spans="1:7" x14ac:dyDescent="0.2">
      <c r="A1777" t="s">
        <v>286</v>
      </c>
      <c r="B1777" t="s">
        <v>394</v>
      </c>
      <c r="C1777" t="s">
        <v>491</v>
      </c>
      <c r="E1777" t="s">
        <v>491</v>
      </c>
      <c r="F1777" t="s">
        <v>524</v>
      </c>
      <c r="G1777" t="s">
        <v>573</v>
      </c>
    </row>
    <row r="1778" spans="1:7" x14ac:dyDescent="0.2">
      <c r="A1778" t="s">
        <v>286</v>
      </c>
      <c r="B1778" t="s">
        <v>394</v>
      </c>
      <c r="C1778" t="s">
        <v>491</v>
      </c>
      <c r="E1778" t="s">
        <v>491</v>
      </c>
      <c r="F1778" t="s">
        <v>524</v>
      </c>
      <c r="G1778" t="s">
        <v>573</v>
      </c>
    </row>
    <row r="1779" spans="1:7" x14ac:dyDescent="0.2">
      <c r="A1779" t="s">
        <v>286</v>
      </c>
      <c r="B1779" t="s">
        <v>395</v>
      </c>
      <c r="C1779" t="s">
        <v>491</v>
      </c>
      <c r="E1779" t="s">
        <v>491</v>
      </c>
      <c r="F1779" t="s">
        <v>524</v>
      </c>
      <c r="G1779" t="s">
        <v>573</v>
      </c>
    </row>
    <row r="1780" spans="1:7" x14ac:dyDescent="0.2">
      <c r="A1780" t="s">
        <v>286</v>
      </c>
      <c r="B1780" t="s">
        <v>396</v>
      </c>
      <c r="C1780" t="s">
        <v>486</v>
      </c>
      <c r="E1780" t="s">
        <v>486</v>
      </c>
      <c r="F1780" t="s">
        <v>541</v>
      </c>
      <c r="G1780" t="s">
        <v>573</v>
      </c>
    </row>
    <row r="1781" spans="1:7" x14ac:dyDescent="0.2">
      <c r="A1781" t="s">
        <v>286</v>
      </c>
      <c r="B1781" t="s">
        <v>397</v>
      </c>
      <c r="C1781" t="s">
        <v>486</v>
      </c>
      <c r="E1781" t="s">
        <v>486</v>
      </c>
      <c r="F1781" t="s">
        <v>541</v>
      </c>
      <c r="G1781" t="s">
        <v>573</v>
      </c>
    </row>
    <row r="1782" spans="1:7" x14ac:dyDescent="0.2">
      <c r="A1782" t="s">
        <v>286</v>
      </c>
      <c r="B1782" t="s">
        <v>398</v>
      </c>
      <c r="C1782" t="s">
        <v>486</v>
      </c>
      <c r="E1782" t="s">
        <v>486</v>
      </c>
      <c r="F1782" t="s">
        <v>541</v>
      </c>
      <c r="G1782" t="s">
        <v>573</v>
      </c>
    </row>
    <row r="1783" spans="1:7" x14ac:dyDescent="0.2">
      <c r="A1783" t="s">
        <v>287</v>
      </c>
      <c r="B1783" t="s">
        <v>399</v>
      </c>
      <c r="C1783" t="s">
        <v>477</v>
      </c>
      <c r="E1783" t="s">
        <v>477</v>
      </c>
      <c r="F1783" t="s">
        <v>542</v>
      </c>
      <c r="G1783" t="s">
        <v>573</v>
      </c>
    </row>
    <row r="1784" spans="1:7" x14ac:dyDescent="0.2">
      <c r="A1784" t="s">
        <v>288</v>
      </c>
      <c r="B1784" t="s">
        <v>400</v>
      </c>
      <c r="C1784" t="s">
        <v>477</v>
      </c>
      <c r="E1784" t="s">
        <v>477</v>
      </c>
      <c r="F1784" t="s">
        <v>543</v>
      </c>
      <c r="G1784" t="s">
        <v>573</v>
      </c>
    </row>
    <row r="1785" spans="1:7" x14ac:dyDescent="0.2">
      <c r="A1785" t="s">
        <v>285</v>
      </c>
      <c r="B1785" t="s">
        <v>401</v>
      </c>
      <c r="C1785" t="s">
        <v>477</v>
      </c>
      <c r="E1785" t="s">
        <v>477</v>
      </c>
      <c r="F1785" t="s">
        <v>529</v>
      </c>
      <c r="G1785" t="s">
        <v>570</v>
      </c>
    </row>
    <row r="1786" spans="1:7" x14ac:dyDescent="0.2">
      <c r="A1786" t="s">
        <v>289</v>
      </c>
      <c r="B1786" t="s">
        <v>402</v>
      </c>
      <c r="C1786" t="s">
        <v>492</v>
      </c>
      <c r="E1786" t="s">
        <v>492</v>
      </c>
      <c r="F1786" t="s">
        <v>529</v>
      </c>
      <c r="G1786" t="s">
        <v>572</v>
      </c>
    </row>
    <row r="1787" spans="1:7" x14ac:dyDescent="0.2">
      <c r="A1787" t="s">
        <v>289</v>
      </c>
      <c r="B1787" t="s">
        <v>403</v>
      </c>
      <c r="C1787" t="s">
        <v>492</v>
      </c>
      <c r="E1787" t="s">
        <v>492</v>
      </c>
      <c r="F1787" t="s">
        <v>543</v>
      </c>
      <c r="G1787" t="s">
        <v>572</v>
      </c>
    </row>
    <row r="1788" spans="1:7" x14ac:dyDescent="0.2">
      <c r="A1788" t="s">
        <v>289</v>
      </c>
      <c r="B1788" t="s">
        <v>404</v>
      </c>
      <c r="C1788" t="s">
        <v>492</v>
      </c>
      <c r="E1788" t="s">
        <v>492</v>
      </c>
      <c r="F1788" t="s">
        <v>529</v>
      </c>
      <c r="G1788" t="s">
        <v>572</v>
      </c>
    </row>
    <row r="1789" spans="1:7" x14ac:dyDescent="0.2">
      <c r="A1789" t="s">
        <v>286</v>
      </c>
      <c r="B1789" t="s">
        <v>405</v>
      </c>
      <c r="C1789" t="s">
        <v>486</v>
      </c>
      <c r="E1789" t="s">
        <v>486</v>
      </c>
      <c r="F1789" t="s">
        <v>540</v>
      </c>
      <c r="G1789" t="s">
        <v>572</v>
      </c>
    </row>
    <row r="1790" spans="1:7" x14ac:dyDescent="0.2">
      <c r="A1790" t="s">
        <v>286</v>
      </c>
      <c r="B1790" t="s">
        <v>406</v>
      </c>
      <c r="C1790" t="s">
        <v>486</v>
      </c>
      <c r="E1790" t="s">
        <v>486</v>
      </c>
      <c r="F1790" t="s">
        <v>536</v>
      </c>
      <c r="G1790" t="s">
        <v>572</v>
      </c>
    </row>
    <row r="1791" spans="1:7" x14ac:dyDescent="0.2">
      <c r="A1791" t="s">
        <v>290</v>
      </c>
      <c r="B1791" t="s">
        <v>407</v>
      </c>
      <c r="C1791" t="s">
        <v>478</v>
      </c>
      <c r="E1791" t="s">
        <v>478</v>
      </c>
      <c r="F1791" t="s">
        <v>544</v>
      </c>
      <c r="G1791" t="s">
        <v>569</v>
      </c>
    </row>
    <row r="1792" spans="1:7" x14ac:dyDescent="0.2">
      <c r="A1792" t="s">
        <v>291</v>
      </c>
      <c r="B1792" t="s">
        <v>408</v>
      </c>
      <c r="C1792" t="s">
        <v>478</v>
      </c>
      <c r="E1792" t="s">
        <v>478</v>
      </c>
      <c r="F1792" t="s">
        <v>545</v>
      </c>
      <c r="G1792" t="s">
        <v>576</v>
      </c>
    </row>
    <row r="1793" spans="1:7" x14ac:dyDescent="0.2">
      <c r="A1793" t="s">
        <v>292</v>
      </c>
      <c r="B1793" t="s">
        <v>409</v>
      </c>
      <c r="C1793" t="s">
        <v>478</v>
      </c>
      <c r="E1793" t="s">
        <v>478</v>
      </c>
      <c r="F1793" t="s">
        <v>546</v>
      </c>
      <c r="G1793" t="s">
        <v>576</v>
      </c>
    </row>
    <row r="1794" spans="1:7" x14ac:dyDescent="0.2">
      <c r="A1794" t="s">
        <v>292</v>
      </c>
      <c r="B1794" t="s">
        <v>410</v>
      </c>
      <c r="C1794" t="s">
        <v>478</v>
      </c>
      <c r="E1794" t="s">
        <v>478</v>
      </c>
      <c r="F1794" t="s">
        <v>547</v>
      </c>
      <c r="G1794" t="s">
        <v>576</v>
      </c>
    </row>
    <row r="1795" spans="1:7" x14ac:dyDescent="0.2">
      <c r="A1795" t="s">
        <v>268</v>
      </c>
      <c r="B1795" t="s">
        <v>411</v>
      </c>
      <c r="C1795" t="s">
        <v>478</v>
      </c>
      <c r="E1795" t="s">
        <v>478</v>
      </c>
      <c r="F1795" t="s">
        <v>520</v>
      </c>
      <c r="G1795" t="s">
        <v>576</v>
      </c>
    </row>
    <row r="1796" spans="1:7" x14ac:dyDescent="0.2">
      <c r="A1796" t="s">
        <v>293</v>
      </c>
      <c r="B1796" t="s">
        <v>412</v>
      </c>
      <c r="C1796" t="s">
        <v>478</v>
      </c>
      <c r="E1796" t="s">
        <v>478</v>
      </c>
      <c r="F1796" t="s">
        <v>536</v>
      </c>
      <c r="G1796" t="s">
        <v>571</v>
      </c>
    </row>
    <row r="1797" spans="1:7" x14ac:dyDescent="0.2">
      <c r="A1797" t="s">
        <v>294</v>
      </c>
      <c r="B1797" t="s">
        <v>413</v>
      </c>
      <c r="C1797" t="s">
        <v>493</v>
      </c>
      <c r="E1797" t="s">
        <v>493</v>
      </c>
      <c r="F1797" t="s">
        <v>548</v>
      </c>
      <c r="G1797" t="s">
        <v>577</v>
      </c>
    </row>
    <row r="1798" spans="1:7" x14ac:dyDescent="0.2">
      <c r="A1798" t="s">
        <v>295</v>
      </c>
      <c r="B1798" t="s">
        <v>414</v>
      </c>
      <c r="C1798" t="s">
        <v>494</v>
      </c>
      <c r="E1798" t="s">
        <v>494</v>
      </c>
      <c r="F1798" t="s">
        <v>549</v>
      </c>
      <c r="G1798" t="s">
        <v>577</v>
      </c>
    </row>
    <row r="1799" spans="1:7" x14ac:dyDescent="0.2">
      <c r="A1799" t="s">
        <v>296</v>
      </c>
      <c r="B1799" t="s">
        <v>415</v>
      </c>
      <c r="C1799" t="s">
        <v>494</v>
      </c>
      <c r="E1799" t="s">
        <v>494</v>
      </c>
      <c r="F1799" t="s">
        <v>550</v>
      </c>
      <c r="G1799" t="s">
        <v>577</v>
      </c>
    </row>
    <row r="1800" spans="1:7" x14ac:dyDescent="0.2">
      <c r="A1800" t="s">
        <v>297</v>
      </c>
      <c r="B1800" t="s">
        <v>416</v>
      </c>
      <c r="C1800" t="s">
        <v>488</v>
      </c>
      <c r="E1800" t="s">
        <v>488</v>
      </c>
      <c r="F1800" t="s">
        <v>551</v>
      </c>
      <c r="G1800" t="s">
        <v>577</v>
      </c>
    </row>
    <row r="1801" spans="1:7" x14ac:dyDescent="0.2">
      <c r="A1801" t="s">
        <v>298</v>
      </c>
      <c r="B1801" t="s">
        <v>417</v>
      </c>
      <c r="C1801" t="s">
        <v>495</v>
      </c>
      <c r="E1801" t="s">
        <v>495</v>
      </c>
      <c r="F1801" t="s">
        <v>552</v>
      </c>
      <c r="G1801" t="s">
        <v>577</v>
      </c>
    </row>
    <row r="1802" spans="1:7" x14ac:dyDescent="0.2">
      <c r="A1802" t="s">
        <v>299</v>
      </c>
      <c r="B1802" t="s">
        <v>418</v>
      </c>
      <c r="C1802" t="s">
        <v>496</v>
      </c>
      <c r="E1802" t="s">
        <v>496</v>
      </c>
      <c r="F1802" t="s">
        <v>516</v>
      </c>
      <c r="G1802" t="s">
        <v>577</v>
      </c>
    </row>
    <row r="1803" spans="1:7" x14ac:dyDescent="0.2">
      <c r="A1803" t="s">
        <v>300</v>
      </c>
      <c r="B1803" t="s">
        <v>419</v>
      </c>
      <c r="C1803" t="s">
        <v>497</v>
      </c>
      <c r="E1803" t="s">
        <v>497</v>
      </c>
      <c r="F1803" t="s">
        <v>553</v>
      </c>
      <c r="G1803" t="s">
        <v>577</v>
      </c>
    </row>
    <row r="1804" spans="1:7" x14ac:dyDescent="0.2">
      <c r="A1804" t="s">
        <v>301</v>
      </c>
      <c r="B1804" t="s">
        <v>420</v>
      </c>
      <c r="C1804" t="s">
        <v>478</v>
      </c>
      <c r="E1804" t="s">
        <v>478</v>
      </c>
      <c r="F1804" t="s">
        <v>516</v>
      </c>
      <c r="G1804" t="s">
        <v>576</v>
      </c>
    </row>
    <row r="1805" spans="1:7" x14ac:dyDescent="0.2">
      <c r="A1805" t="s">
        <v>283</v>
      </c>
      <c r="B1805" t="s">
        <v>421</v>
      </c>
      <c r="C1805" t="s">
        <v>477</v>
      </c>
      <c r="E1805" t="s">
        <v>477</v>
      </c>
      <c r="F1805" t="s">
        <v>540</v>
      </c>
      <c r="G1805" t="s">
        <v>578</v>
      </c>
    </row>
    <row r="1806" spans="1:7" x14ac:dyDescent="0.2">
      <c r="A1806" t="s">
        <v>264</v>
      </c>
      <c r="B1806" t="s">
        <v>422</v>
      </c>
      <c r="C1806" t="s">
        <v>477</v>
      </c>
      <c r="E1806" t="s">
        <v>477</v>
      </c>
      <c r="F1806" t="s">
        <v>541</v>
      </c>
      <c r="G1806" t="s">
        <v>578</v>
      </c>
    </row>
    <row r="1807" spans="1:7" x14ac:dyDescent="0.2">
      <c r="A1807" t="s">
        <v>264</v>
      </c>
      <c r="B1807" t="s">
        <v>423</v>
      </c>
      <c r="C1807" t="s">
        <v>478</v>
      </c>
      <c r="E1807" t="s">
        <v>478</v>
      </c>
      <c r="F1807" t="s">
        <v>516</v>
      </c>
      <c r="G1807" t="s">
        <v>578</v>
      </c>
    </row>
    <row r="1808" spans="1:7" x14ac:dyDescent="0.2">
      <c r="A1808" t="s">
        <v>301</v>
      </c>
      <c r="B1808" t="s">
        <v>424</v>
      </c>
      <c r="C1808" t="s">
        <v>478</v>
      </c>
      <c r="E1808" t="s">
        <v>478</v>
      </c>
      <c r="F1808" t="s">
        <v>537</v>
      </c>
      <c r="G1808" t="s">
        <v>576</v>
      </c>
    </row>
    <row r="1809" spans="1:7" x14ac:dyDescent="0.2">
      <c r="A1809" t="s">
        <v>283</v>
      </c>
      <c r="B1809" t="s">
        <v>425</v>
      </c>
      <c r="C1809" t="s">
        <v>498</v>
      </c>
      <c r="E1809" t="s">
        <v>498</v>
      </c>
      <c r="F1809" t="s">
        <v>529</v>
      </c>
      <c r="G1809" t="s">
        <v>578</v>
      </c>
    </row>
    <row r="1810" spans="1:7" x14ac:dyDescent="0.2">
      <c r="A1810" t="s">
        <v>302</v>
      </c>
      <c r="B1810" t="s">
        <v>426</v>
      </c>
      <c r="C1810" t="s">
        <v>478</v>
      </c>
      <c r="E1810" t="s">
        <v>478</v>
      </c>
      <c r="F1810" t="s">
        <v>529</v>
      </c>
      <c r="G1810" t="s">
        <v>579</v>
      </c>
    </row>
    <row r="1811" spans="1:7" x14ac:dyDescent="0.2">
      <c r="A1811" t="s">
        <v>285</v>
      </c>
      <c r="B1811" t="s">
        <v>427</v>
      </c>
      <c r="C1811" t="s">
        <v>499</v>
      </c>
      <c r="E1811" t="s">
        <v>499</v>
      </c>
      <c r="F1811" t="s">
        <v>542</v>
      </c>
      <c r="G1811" t="s">
        <v>577</v>
      </c>
    </row>
    <row r="1812" spans="1:7" x14ac:dyDescent="0.2">
      <c r="A1812" t="s">
        <v>303</v>
      </c>
      <c r="B1812" t="s">
        <v>428</v>
      </c>
      <c r="C1812" t="s">
        <v>500</v>
      </c>
      <c r="E1812" t="s">
        <v>500</v>
      </c>
      <c r="F1812" t="s">
        <v>546</v>
      </c>
      <c r="G1812" t="s">
        <v>577</v>
      </c>
    </row>
    <row r="1813" spans="1:7" x14ac:dyDescent="0.2">
      <c r="A1813" t="s">
        <v>304</v>
      </c>
      <c r="B1813" t="s">
        <v>429</v>
      </c>
      <c r="C1813" t="s">
        <v>478</v>
      </c>
      <c r="E1813" t="s">
        <v>478</v>
      </c>
      <c r="F1813" t="s">
        <v>554</v>
      </c>
      <c r="G1813" t="s">
        <v>569</v>
      </c>
    </row>
    <row r="1814" spans="1:7" x14ac:dyDescent="0.2">
      <c r="A1814" t="s">
        <v>277</v>
      </c>
      <c r="B1814" t="s">
        <v>430</v>
      </c>
      <c r="C1814" t="s">
        <v>478</v>
      </c>
      <c r="E1814" t="s">
        <v>478</v>
      </c>
      <c r="F1814" t="s">
        <v>539</v>
      </c>
      <c r="G1814" t="s">
        <v>571</v>
      </c>
    </row>
    <row r="1815" spans="1:7" x14ac:dyDescent="0.2">
      <c r="A1815" t="s">
        <v>277</v>
      </c>
      <c r="B1815" t="s">
        <v>431</v>
      </c>
      <c r="C1815" t="s">
        <v>478</v>
      </c>
      <c r="E1815" t="s">
        <v>478</v>
      </c>
      <c r="F1815" t="s">
        <v>534</v>
      </c>
      <c r="G1815" t="s">
        <v>571</v>
      </c>
    </row>
    <row r="1816" spans="1:7" x14ac:dyDescent="0.2">
      <c r="A1816" t="s">
        <v>277</v>
      </c>
      <c r="B1816" t="s">
        <v>432</v>
      </c>
      <c r="C1816" t="s">
        <v>501</v>
      </c>
      <c r="E1816" t="s">
        <v>501</v>
      </c>
      <c r="F1816" t="s">
        <v>555</v>
      </c>
      <c r="G1816" t="s">
        <v>571</v>
      </c>
    </row>
    <row r="1817" spans="1:7" x14ac:dyDescent="0.2">
      <c r="A1817" t="s">
        <v>263</v>
      </c>
      <c r="B1817" t="s">
        <v>433</v>
      </c>
      <c r="C1817" t="s">
        <v>502</v>
      </c>
      <c r="E1817" t="s">
        <v>502</v>
      </c>
      <c r="F1817" t="s">
        <v>556</v>
      </c>
      <c r="G1817" t="s">
        <v>580</v>
      </c>
    </row>
    <row r="1818" spans="1:7" x14ac:dyDescent="0.2">
      <c r="A1818" t="s">
        <v>268</v>
      </c>
      <c r="B1818" t="s">
        <v>434</v>
      </c>
      <c r="C1818" t="s">
        <v>478</v>
      </c>
      <c r="E1818" t="s">
        <v>478</v>
      </c>
      <c r="F1818" t="s">
        <v>520</v>
      </c>
      <c r="G1818" t="s">
        <v>571</v>
      </c>
    </row>
    <row r="1819" spans="1:7" x14ac:dyDescent="0.2">
      <c r="A1819" t="s">
        <v>305</v>
      </c>
      <c r="B1819" t="s">
        <v>435</v>
      </c>
      <c r="C1819" t="s">
        <v>478</v>
      </c>
      <c r="E1819" t="s">
        <v>478</v>
      </c>
      <c r="F1819" t="s">
        <v>557</v>
      </c>
      <c r="G1819" t="s">
        <v>569</v>
      </c>
    </row>
    <row r="1820" spans="1:7" x14ac:dyDescent="0.2">
      <c r="A1820" t="s">
        <v>306</v>
      </c>
      <c r="B1820" t="s">
        <v>436</v>
      </c>
      <c r="C1820" t="s">
        <v>478</v>
      </c>
      <c r="E1820" t="s">
        <v>478</v>
      </c>
      <c r="F1820" t="s">
        <v>558</v>
      </c>
      <c r="G1820" t="s">
        <v>569</v>
      </c>
    </row>
    <row r="1821" spans="1:7" x14ac:dyDescent="0.2">
      <c r="A1821" t="s">
        <v>307</v>
      </c>
      <c r="B1821" t="s">
        <v>437</v>
      </c>
      <c r="C1821" t="s">
        <v>478</v>
      </c>
      <c r="E1821" t="s">
        <v>478</v>
      </c>
      <c r="F1821" t="s">
        <v>559</v>
      </c>
      <c r="G1821" t="s">
        <v>574</v>
      </c>
    </row>
    <row r="1822" spans="1:7" x14ac:dyDescent="0.2">
      <c r="A1822" t="s">
        <v>308</v>
      </c>
      <c r="B1822" t="s">
        <v>438</v>
      </c>
      <c r="C1822" t="s">
        <v>478</v>
      </c>
      <c r="E1822" t="s">
        <v>478</v>
      </c>
      <c r="F1822" t="s">
        <v>560</v>
      </c>
      <c r="G1822" t="s">
        <v>569</v>
      </c>
    </row>
    <row r="1823" spans="1:7" x14ac:dyDescent="0.2">
      <c r="A1823" t="s">
        <v>309</v>
      </c>
      <c r="B1823" t="s">
        <v>439</v>
      </c>
      <c r="C1823" t="s">
        <v>478</v>
      </c>
      <c r="E1823" t="s">
        <v>478</v>
      </c>
      <c r="F1823" t="s">
        <v>558</v>
      </c>
      <c r="G1823" t="s">
        <v>574</v>
      </c>
    </row>
    <row r="1824" spans="1:7" x14ac:dyDescent="0.2">
      <c r="A1824" t="s">
        <v>310</v>
      </c>
      <c r="B1824" t="s">
        <v>440</v>
      </c>
      <c r="C1824" t="s">
        <v>478</v>
      </c>
      <c r="E1824" t="s">
        <v>478</v>
      </c>
      <c r="F1824" t="s">
        <v>561</v>
      </c>
      <c r="G1824" t="s">
        <v>569</v>
      </c>
    </row>
    <row r="1825" spans="1:7" x14ac:dyDescent="0.2">
      <c r="A1825" t="s">
        <v>311</v>
      </c>
      <c r="B1825" t="s">
        <v>441</v>
      </c>
      <c r="C1825" t="s">
        <v>481</v>
      </c>
      <c r="E1825" t="s">
        <v>481</v>
      </c>
      <c r="F1825" t="s">
        <v>527</v>
      </c>
      <c r="G1825" t="s">
        <v>580</v>
      </c>
    </row>
    <row r="1826" spans="1:7" x14ac:dyDescent="0.2">
      <c r="A1826" t="s">
        <v>311</v>
      </c>
      <c r="B1826" t="s">
        <v>442</v>
      </c>
      <c r="C1826" t="s">
        <v>482</v>
      </c>
      <c r="E1826" t="s">
        <v>482</v>
      </c>
      <c r="F1826" t="s">
        <v>562</v>
      </c>
      <c r="G1826" t="s">
        <v>580</v>
      </c>
    </row>
    <row r="1827" spans="1:7" x14ac:dyDescent="0.2">
      <c r="A1827" t="s">
        <v>311</v>
      </c>
      <c r="B1827" t="s">
        <v>443</v>
      </c>
      <c r="C1827" t="s">
        <v>481</v>
      </c>
      <c r="E1827" t="s">
        <v>481</v>
      </c>
      <c r="F1827" t="s">
        <v>563</v>
      </c>
      <c r="G1827" t="s">
        <v>580</v>
      </c>
    </row>
    <row r="1828" spans="1:7" x14ac:dyDescent="0.2">
      <c r="A1828" t="s">
        <v>312</v>
      </c>
      <c r="B1828" t="s">
        <v>444</v>
      </c>
      <c r="C1828" t="s">
        <v>481</v>
      </c>
      <c r="E1828" t="s">
        <v>481</v>
      </c>
      <c r="F1828" t="s">
        <v>526</v>
      </c>
      <c r="G1828" t="s">
        <v>580</v>
      </c>
    </row>
    <row r="1829" spans="1:7" x14ac:dyDescent="0.2">
      <c r="A1829" t="s">
        <v>286</v>
      </c>
      <c r="B1829" t="s">
        <v>445</v>
      </c>
      <c r="C1829" t="s">
        <v>486</v>
      </c>
      <c r="E1829" t="s">
        <v>486</v>
      </c>
      <c r="F1829" t="s">
        <v>542</v>
      </c>
      <c r="G1829" t="s">
        <v>580</v>
      </c>
    </row>
    <row r="1830" spans="1:7" x14ac:dyDescent="0.2">
      <c r="A1830" t="s">
        <v>286</v>
      </c>
      <c r="B1830" t="s">
        <v>446</v>
      </c>
      <c r="C1830" t="s">
        <v>486</v>
      </c>
      <c r="E1830" t="s">
        <v>486</v>
      </c>
      <c r="F1830" t="s">
        <v>541</v>
      </c>
      <c r="G1830" t="s">
        <v>580</v>
      </c>
    </row>
    <row r="1831" spans="1:7" x14ac:dyDescent="0.2">
      <c r="A1831" t="s">
        <v>313</v>
      </c>
      <c r="B1831" t="s">
        <v>447</v>
      </c>
      <c r="C1831" t="s">
        <v>478</v>
      </c>
      <c r="E1831" t="s">
        <v>478</v>
      </c>
      <c r="F1831" t="s">
        <v>516</v>
      </c>
      <c r="G1831" t="s">
        <v>569</v>
      </c>
    </row>
    <row r="1832" spans="1:7" x14ac:dyDescent="0.2">
      <c r="A1832" t="s">
        <v>314</v>
      </c>
      <c r="B1832" t="s">
        <v>448</v>
      </c>
      <c r="C1832" t="s">
        <v>478</v>
      </c>
      <c r="E1832" t="s">
        <v>478</v>
      </c>
      <c r="F1832" t="s">
        <v>516</v>
      </c>
      <c r="G1832" t="s">
        <v>569</v>
      </c>
    </row>
    <row r="1833" spans="1:7" x14ac:dyDescent="0.2">
      <c r="A1833" t="s">
        <v>315</v>
      </c>
      <c r="B1833" t="s">
        <v>449</v>
      </c>
      <c r="C1833" t="s">
        <v>478</v>
      </c>
      <c r="E1833" t="s">
        <v>478</v>
      </c>
      <c r="F1833" t="s">
        <v>530</v>
      </c>
      <c r="G1833" t="s">
        <v>569</v>
      </c>
    </row>
    <row r="1834" spans="1:7" x14ac:dyDescent="0.2">
      <c r="A1834" t="s">
        <v>315</v>
      </c>
      <c r="B1834" t="s">
        <v>450</v>
      </c>
      <c r="C1834" t="s">
        <v>478</v>
      </c>
      <c r="E1834" t="s">
        <v>478</v>
      </c>
      <c r="F1834" t="s">
        <v>530</v>
      </c>
      <c r="G1834" t="s">
        <v>569</v>
      </c>
    </row>
    <row r="1835" spans="1:7" x14ac:dyDescent="0.2">
      <c r="A1835" t="s">
        <v>315</v>
      </c>
      <c r="B1835" t="s">
        <v>451</v>
      </c>
      <c r="C1835" t="s">
        <v>478</v>
      </c>
      <c r="E1835" t="s">
        <v>478</v>
      </c>
      <c r="F1835" t="s">
        <v>530</v>
      </c>
      <c r="G1835" t="s">
        <v>569</v>
      </c>
    </row>
    <row r="1836" spans="1:7" x14ac:dyDescent="0.2">
      <c r="A1836" t="s">
        <v>313</v>
      </c>
      <c r="B1836" t="s">
        <v>452</v>
      </c>
      <c r="C1836" t="s">
        <v>478</v>
      </c>
      <c r="E1836" t="s">
        <v>478</v>
      </c>
      <c r="F1836" t="s">
        <v>524</v>
      </c>
      <c r="G1836" t="s">
        <v>569</v>
      </c>
    </row>
    <row r="1837" spans="1:7" x14ac:dyDescent="0.2">
      <c r="A1837" t="s">
        <v>314</v>
      </c>
      <c r="B1837" t="s">
        <v>453</v>
      </c>
      <c r="C1837" t="s">
        <v>478</v>
      </c>
      <c r="E1837" t="s">
        <v>478</v>
      </c>
      <c r="F1837" t="s">
        <v>538</v>
      </c>
      <c r="G1837" t="s">
        <v>569</v>
      </c>
    </row>
    <row r="1838" spans="1:7" x14ac:dyDescent="0.2">
      <c r="A1838" t="s">
        <v>314</v>
      </c>
      <c r="B1838" t="s">
        <v>454</v>
      </c>
      <c r="C1838" t="s">
        <v>478</v>
      </c>
      <c r="E1838" t="s">
        <v>478</v>
      </c>
      <c r="F1838" t="s">
        <v>530</v>
      </c>
      <c r="G1838" t="s">
        <v>569</v>
      </c>
    </row>
    <row r="1839" spans="1:7" x14ac:dyDescent="0.2">
      <c r="A1839" t="s">
        <v>314</v>
      </c>
      <c r="B1839" t="s">
        <v>455</v>
      </c>
      <c r="C1839" t="s">
        <v>478</v>
      </c>
      <c r="E1839" t="s">
        <v>478</v>
      </c>
      <c r="F1839" t="s">
        <v>538</v>
      </c>
      <c r="G1839" t="s">
        <v>569</v>
      </c>
    </row>
    <row r="1840" spans="1:7" x14ac:dyDescent="0.2">
      <c r="A1840" t="s">
        <v>314</v>
      </c>
      <c r="B1840" t="s">
        <v>456</v>
      </c>
      <c r="C1840" t="s">
        <v>478</v>
      </c>
      <c r="E1840" t="s">
        <v>478</v>
      </c>
      <c r="F1840" t="s">
        <v>530</v>
      </c>
      <c r="G1840" t="s">
        <v>569</v>
      </c>
    </row>
    <row r="1841" spans="1:7" x14ac:dyDescent="0.2">
      <c r="A1841" t="s">
        <v>277</v>
      </c>
      <c r="B1841" t="s">
        <v>457</v>
      </c>
      <c r="C1841" t="s">
        <v>501</v>
      </c>
      <c r="E1841" t="s">
        <v>501</v>
      </c>
      <c r="F1841" t="s">
        <v>564</v>
      </c>
      <c r="G1841" t="s">
        <v>571</v>
      </c>
    </row>
    <row r="1842" spans="1:7" x14ac:dyDescent="0.2">
      <c r="A1842" t="s">
        <v>263</v>
      </c>
      <c r="B1842" t="s">
        <v>458</v>
      </c>
      <c r="C1842" t="s">
        <v>476</v>
      </c>
      <c r="E1842" t="s">
        <v>476</v>
      </c>
      <c r="F1842" t="s">
        <v>565</v>
      </c>
      <c r="G1842" t="s">
        <v>580</v>
      </c>
    </row>
    <row r="1843" spans="1:7" x14ac:dyDescent="0.2">
      <c r="A1843" t="s">
        <v>316</v>
      </c>
      <c r="B1843" t="s">
        <v>459</v>
      </c>
      <c r="C1843" t="s">
        <v>478</v>
      </c>
      <c r="E1843" t="s">
        <v>478</v>
      </c>
      <c r="F1843" t="s">
        <v>557</v>
      </c>
      <c r="G1843" t="s">
        <v>569</v>
      </c>
    </row>
    <row r="1844" spans="1:7" x14ac:dyDescent="0.2">
      <c r="A1844" t="s">
        <v>317</v>
      </c>
      <c r="B1844" t="s">
        <v>460</v>
      </c>
      <c r="C1844" t="s">
        <v>478</v>
      </c>
      <c r="E1844" t="s">
        <v>478</v>
      </c>
      <c r="F1844" t="s">
        <v>560</v>
      </c>
      <c r="G1844" t="s">
        <v>569</v>
      </c>
    </row>
    <row r="1845" spans="1:7" x14ac:dyDescent="0.2">
      <c r="A1845" t="s">
        <v>318</v>
      </c>
      <c r="B1845" t="s">
        <v>461</v>
      </c>
      <c r="C1845" t="s">
        <v>478</v>
      </c>
      <c r="E1845" t="s">
        <v>478</v>
      </c>
      <c r="F1845" t="s">
        <v>561</v>
      </c>
      <c r="G1845" t="s">
        <v>574</v>
      </c>
    </row>
    <row r="1846" spans="1:7" x14ac:dyDescent="0.2">
      <c r="A1846" t="s">
        <v>319</v>
      </c>
      <c r="B1846" t="s">
        <v>462</v>
      </c>
      <c r="C1846" t="s">
        <v>482</v>
      </c>
      <c r="E1846" t="s">
        <v>482</v>
      </c>
      <c r="F1846" t="s">
        <v>526</v>
      </c>
      <c r="G1846" t="s">
        <v>580</v>
      </c>
    </row>
    <row r="1847" spans="1:7" x14ac:dyDescent="0.2">
      <c r="A1847" t="s">
        <v>320</v>
      </c>
      <c r="B1847" t="s">
        <v>463</v>
      </c>
      <c r="C1847" t="s">
        <v>488</v>
      </c>
      <c r="E1847" t="s">
        <v>488</v>
      </c>
      <c r="F1847" t="s">
        <v>562</v>
      </c>
      <c r="G1847" t="s">
        <v>580</v>
      </c>
    </row>
    <row r="1848" spans="1:7" x14ac:dyDescent="0.2">
      <c r="A1848" t="s">
        <v>319</v>
      </c>
      <c r="B1848" t="s">
        <v>464</v>
      </c>
      <c r="C1848" t="s">
        <v>482</v>
      </c>
      <c r="E1848" t="s">
        <v>482</v>
      </c>
      <c r="F1848" t="s">
        <v>563</v>
      </c>
      <c r="G1848" t="s">
        <v>580</v>
      </c>
    </row>
    <row r="1849" spans="1:7" x14ac:dyDescent="0.2">
      <c r="A1849" t="s">
        <v>319</v>
      </c>
      <c r="B1849" t="s">
        <v>465</v>
      </c>
      <c r="C1849" t="s">
        <v>481</v>
      </c>
      <c r="E1849" t="s">
        <v>481</v>
      </c>
      <c r="F1849" t="s">
        <v>526</v>
      </c>
      <c r="G1849" t="s">
        <v>580</v>
      </c>
    </row>
    <row r="1850" spans="1:7" x14ac:dyDescent="0.2">
      <c r="A1850" t="s">
        <v>321</v>
      </c>
      <c r="B1850" t="s">
        <v>466</v>
      </c>
      <c r="C1850" t="s">
        <v>488</v>
      </c>
      <c r="E1850" t="s">
        <v>488</v>
      </c>
      <c r="F1850" t="s">
        <v>547</v>
      </c>
      <c r="G1850" t="s">
        <v>574</v>
      </c>
    </row>
    <row r="1851" spans="1:7" x14ac:dyDescent="0.2">
      <c r="A1851" t="s">
        <v>322</v>
      </c>
      <c r="B1851" t="s">
        <v>467</v>
      </c>
      <c r="C1851" t="s">
        <v>482</v>
      </c>
      <c r="E1851" t="s">
        <v>482</v>
      </c>
      <c r="F1851" t="s">
        <v>566</v>
      </c>
      <c r="G1851" t="s">
        <v>574</v>
      </c>
    </row>
    <row r="1852" spans="1:7" x14ac:dyDescent="0.2">
      <c r="A1852" t="s">
        <v>283</v>
      </c>
      <c r="B1852" t="s">
        <v>468</v>
      </c>
      <c r="C1852" t="s">
        <v>478</v>
      </c>
      <c r="E1852" t="s">
        <v>478</v>
      </c>
      <c r="F1852" t="s">
        <v>524</v>
      </c>
      <c r="G1852" t="s">
        <v>581</v>
      </c>
    </row>
    <row r="1853" spans="1:7" x14ac:dyDescent="0.2">
      <c r="A1853" t="s">
        <v>275</v>
      </c>
      <c r="B1853" t="s">
        <v>469</v>
      </c>
      <c r="C1853" t="s">
        <v>478</v>
      </c>
      <c r="E1853" t="s">
        <v>478</v>
      </c>
      <c r="F1853" t="s">
        <v>530</v>
      </c>
      <c r="G1853" t="s">
        <v>581</v>
      </c>
    </row>
    <row r="1854" spans="1:7" x14ac:dyDescent="0.2">
      <c r="A1854" t="s">
        <v>275</v>
      </c>
      <c r="B1854" t="s">
        <v>470</v>
      </c>
      <c r="C1854" t="s">
        <v>478</v>
      </c>
      <c r="E1854" t="s">
        <v>478</v>
      </c>
      <c r="F1854" t="s">
        <v>530</v>
      </c>
      <c r="G1854" t="s">
        <v>581</v>
      </c>
    </row>
    <row r="1855" spans="1:7" x14ac:dyDescent="0.2">
      <c r="A1855" t="s">
        <v>275</v>
      </c>
      <c r="B1855" t="s">
        <v>471</v>
      </c>
      <c r="C1855" t="s">
        <v>478</v>
      </c>
      <c r="E1855" t="s">
        <v>478</v>
      </c>
      <c r="F1855" t="s">
        <v>530</v>
      </c>
      <c r="G1855" t="s">
        <v>581</v>
      </c>
    </row>
    <row r="1856" spans="1:7" x14ac:dyDescent="0.2">
      <c r="A1856" t="s">
        <v>275</v>
      </c>
      <c r="B1856" t="s">
        <v>472</v>
      </c>
      <c r="C1856" t="s">
        <v>478</v>
      </c>
      <c r="E1856" t="s">
        <v>478</v>
      </c>
      <c r="F1856" t="s">
        <v>530</v>
      </c>
      <c r="G1856" t="s">
        <v>581</v>
      </c>
    </row>
    <row r="1857" spans="1:7" x14ac:dyDescent="0.2">
      <c r="A1857" t="s">
        <v>286</v>
      </c>
      <c r="B1857" t="s">
        <v>473</v>
      </c>
      <c r="C1857" t="s">
        <v>486</v>
      </c>
      <c r="E1857" t="s">
        <v>486</v>
      </c>
      <c r="F1857" t="s">
        <v>542</v>
      </c>
      <c r="G1857" t="s">
        <v>580</v>
      </c>
    </row>
    <row r="1858" spans="1:7" x14ac:dyDescent="0.2">
      <c r="A1858" t="s">
        <v>286</v>
      </c>
      <c r="B1858" t="s">
        <v>474</v>
      </c>
      <c r="C1858" t="s">
        <v>486</v>
      </c>
      <c r="E1858" t="s">
        <v>486</v>
      </c>
      <c r="F1858" t="s">
        <v>542</v>
      </c>
      <c r="G1858" t="s">
        <v>580</v>
      </c>
    </row>
    <row r="1859" spans="1:7" x14ac:dyDescent="0.2">
      <c r="A1859" t="s">
        <v>289</v>
      </c>
      <c r="B1859" t="s">
        <v>475</v>
      </c>
      <c r="C1859" t="s">
        <v>478</v>
      </c>
      <c r="E1859" t="s">
        <v>478</v>
      </c>
      <c r="F1859" t="s">
        <v>559</v>
      </c>
      <c r="G1859" t="s">
        <v>574</v>
      </c>
    </row>
    <row r="1860" spans="1:7" x14ac:dyDescent="0.2">
      <c r="A1860" t="s">
        <v>302</v>
      </c>
      <c r="B1860" t="s">
        <v>302</v>
      </c>
      <c r="C1860" t="s">
        <v>478</v>
      </c>
      <c r="E1860" t="s">
        <v>478</v>
      </c>
      <c r="F1860" t="s">
        <v>567</v>
      </c>
      <c r="G1860" t="s">
        <v>579</v>
      </c>
    </row>
    <row r="1861" spans="1:7" x14ac:dyDescent="0.2">
      <c r="A1861" t="s">
        <v>323</v>
      </c>
      <c r="B1861" t="s">
        <v>302</v>
      </c>
      <c r="C1861" t="s">
        <v>478</v>
      </c>
      <c r="E1861" t="s">
        <v>478</v>
      </c>
      <c r="F1861" t="s">
        <v>568</v>
      </c>
      <c r="G1861" t="s">
        <v>569</v>
      </c>
    </row>
  </sheetData>
  <autoFilter ref="A1:I5" xr:uid="{17E33184-C92B-48C1-9192-B82ED2F7BB11}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ocessData.ProcessDat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Cleanup">
                <anchor moveWithCells="1" sizeWithCells="1">
                  <from>
                    <xdr:col>9</xdr:col>
                    <xdr:colOff>590550</xdr:colOff>
                    <xdr:row>3</xdr:row>
                    <xdr:rowOff>152400</xdr:rowOff>
                  </from>
                  <to>
                    <xdr:col>12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E5FD1-5F9F-4226-8453-6C9D3AF081FE}">
  <sheetPr codeName="Sheet1">
    <tabColor theme="0" tint="-0.499984740745262"/>
  </sheetPr>
  <dimension ref="A1:I1861"/>
  <sheetViews>
    <sheetView workbookViewId="0">
      <selection activeCell="G2" sqref="G2:G1861"/>
    </sheetView>
  </sheetViews>
  <sheetFormatPr defaultRowHeight="12.75" x14ac:dyDescent="0.2"/>
  <sheetData>
    <row r="1" spans="1:9" x14ac:dyDescent="0.2">
      <c r="A1" t="s">
        <v>254</v>
      </c>
      <c r="B1" t="s">
        <v>247</v>
      </c>
      <c r="C1" t="s">
        <v>248</v>
      </c>
      <c r="D1" t="s">
        <v>253</v>
      </c>
      <c r="E1" t="s">
        <v>249</v>
      </c>
      <c r="F1" t="s">
        <v>250</v>
      </c>
      <c r="G1" t="s">
        <v>251</v>
      </c>
      <c r="H1" t="s">
        <v>255</v>
      </c>
      <c r="I1" t="s">
        <v>252</v>
      </c>
    </row>
    <row r="2" spans="1:9" x14ac:dyDescent="0.2">
      <c r="A2" t="s">
        <v>263</v>
      </c>
      <c r="B2" t="s">
        <v>324</v>
      </c>
      <c r="C2" t="s">
        <v>476</v>
      </c>
      <c r="D2" t="s">
        <v>503</v>
      </c>
      <c r="E2" t="s">
        <v>478</v>
      </c>
      <c r="F2" t="s">
        <v>515</v>
      </c>
      <c r="G2" t="s">
        <v>319</v>
      </c>
      <c r="H2">
        <v>512.20168843859256</v>
      </c>
      <c r="I2">
        <v>550</v>
      </c>
    </row>
    <row r="3" spans="1:9" x14ac:dyDescent="0.2">
      <c r="A3" t="s">
        <v>264</v>
      </c>
      <c r="B3" t="s">
        <v>325</v>
      </c>
      <c r="C3" t="s">
        <v>477</v>
      </c>
      <c r="D3" t="s">
        <v>504</v>
      </c>
      <c r="E3" t="s">
        <v>477</v>
      </c>
      <c r="F3" t="s">
        <v>516</v>
      </c>
      <c r="G3" t="s">
        <v>569</v>
      </c>
      <c r="H3">
        <v>137.34523897192631</v>
      </c>
      <c r="I3">
        <v>150</v>
      </c>
    </row>
    <row r="4" spans="1:9" x14ac:dyDescent="0.2">
      <c r="A4" t="s">
        <v>265</v>
      </c>
      <c r="B4" t="s">
        <v>326</v>
      </c>
      <c r="C4" t="s">
        <v>478</v>
      </c>
      <c r="D4" t="s">
        <v>505</v>
      </c>
      <c r="E4" t="s">
        <v>478</v>
      </c>
      <c r="F4" t="s">
        <v>517</v>
      </c>
      <c r="G4" t="s">
        <v>570</v>
      </c>
      <c r="H4">
        <v>0</v>
      </c>
      <c r="I4">
        <v>0</v>
      </c>
    </row>
    <row r="5" spans="1:9" x14ac:dyDescent="0.2">
      <c r="A5" t="s">
        <v>266</v>
      </c>
      <c r="B5" t="s">
        <v>327</v>
      </c>
      <c r="C5" t="s">
        <v>479</v>
      </c>
      <c r="D5" t="s">
        <v>506</v>
      </c>
      <c r="E5" t="s">
        <v>479</v>
      </c>
      <c r="F5" t="s">
        <v>518</v>
      </c>
      <c r="G5" t="s">
        <v>571</v>
      </c>
      <c r="H5">
        <v>437.1338624340375</v>
      </c>
      <c r="I5">
        <v>450</v>
      </c>
    </row>
    <row r="6" spans="1:9" x14ac:dyDescent="0.2">
      <c r="A6" t="s">
        <v>267</v>
      </c>
      <c r="B6" t="s">
        <v>328</v>
      </c>
      <c r="C6" t="s">
        <v>480</v>
      </c>
      <c r="D6" t="s">
        <v>507</v>
      </c>
      <c r="E6" t="s">
        <v>480</v>
      </c>
      <c r="F6" t="s">
        <v>519</v>
      </c>
      <c r="G6" t="s">
        <v>572</v>
      </c>
      <c r="H6">
        <v>0</v>
      </c>
      <c r="I6">
        <v>0</v>
      </c>
    </row>
    <row r="7" spans="1:9" x14ac:dyDescent="0.2">
      <c r="A7" t="s">
        <v>268</v>
      </c>
      <c r="B7" t="s">
        <v>329</v>
      </c>
      <c r="C7" t="s">
        <v>478</v>
      </c>
      <c r="D7" t="s">
        <v>505</v>
      </c>
      <c r="E7" t="s">
        <v>478</v>
      </c>
      <c r="F7" t="s">
        <v>520</v>
      </c>
      <c r="G7" t="s">
        <v>571</v>
      </c>
      <c r="H7">
        <v>0</v>
      </c>
      <c r="I7">
        <v>0</v>
      </c>
    </row>
    <row r="8" spans="1:9" x14ac:dyDescent="0.2">
      <c r="A8" t="s">
        <v>268</v>
      </c>
      <c r="B8" t="s">
        <v>330</v>
      </c>
      <c r="C8" t="s">
        <v>478</v>
      </c>
      <c r="D8" t="s">
        <v>505</v>
      </c>
      <c r="E8" t="s">
        <v>478</v>
      </c>
      <c r="F8" t="s">
        <v>516</v>
      </c>
      <c r="G8" t="s">
        <v>571</v>
      </c>
      <c r="H8">
        <v>0</v>
      </c>
      <c r="I8">
        <v>0</v>
      </c>
    </row>
    <row r="9" spans="1:9" x14ac:dyDescent="0.2">
      <c r="A9" t="s">
        <v>268</v>
      </c>
      <c r="B9" t="s">
        <v>331</v>
      </c>
      <c r="C9" t="s">
        <v>478</v>
      </c>
      <c r="D9" t="s">
        <v>505</v>
      </c>
      <c r="E9" t="s">
        <v>478</v>
      </c>
      <c r="F9" t="s">
        <v>520</v>
      </c>
      <c r="G9" t="s">
        <v>571</v>
      </c>
      <c r="H9">
        <v>0</v>
      </c>
      <c r="I9">
        <v>0</v>
      </c>
    </row>
    <row r="10" spans="1:9" x14ac:dyDescent="0.2">
      <c r="A10" t="s">
        <v>269</v>
      </c>
      <c r="B10" t="s">
        <v>332</v>
      </c>
      <c r="C10" t="s">
        <v>481</v>
      </c>
      <c r="D10" t="s">
        <v>508</v>
      </c>
      <c r="E10" t="s">
        <v>481</v>
      </c>
      <c r="F10" t="s">
        <v>521</v>
      </c>
      <c r="G10" t="s">
        <v>573</v>
      </c>
      <c r="H10">
        <v>0</v>
      </c>
      <c r="I10">
        <v>0</v>
      </c>
    </row>
    <row r="11" spans="1:9" x14ac:dyDescent="0.2">
      <c r="A11" t="s">
        <v>270</v>
      </c>
      <c r="B11" t="s">
        <v>333</v>
      </c>
      <c r="C11" t="s">
        <v>481</v>
      </c>
      <c r="D11" t="s">
        <v>508</v>
      </c>
      <c r="E11" t="s">
        <v>481</v>
      </c>
      <c r="F11" t="s">
        <v>522</v>
      </c>
      <c r="G11" t="s">
        <v>573</v>
      </c>
      <c r="H11">
        <v>0</v>
      </c>
      <c r="I11">
        <v>0</v>
      </c>
    </row>
    <row r="12" spans="1:9" x14ac:dyDescent="0.2">
      <c r="A12" t="s">
        <v>270</v>
      </c>
      <c r="B12" t="s">
        <v>334</v>
      </c>
      <c r="C12" t="s">
        <v>481</v>
      </c>
      <c r="D12" t="s">
        <v>508</v>
      </c>
      <c r="E12" t="s">
        <v>481</v>
      </c>
      <c r="F12" t="s">
        <v>523</v>
      </c>
      <c r="G12" t="s">
        <v>573</v>
      </c>
      <c r="H12">
        <v>0</v>
      </c>
      <c r="I12">
        <v>0</v>
      </c>
    </row>
    <row r="13" spans="1:9" x14ac:dyDescent="0.2">
      <c r="A13" t="s">
        <v>271</v>
      </c>
      <c r="B13" t="s">
        <v>335</v>
      </c>
      <c r="C13" t="s">
        <v>478</v>
      </c>
      <c r="D13" t="s">
        <v>505</v>
      </c>
      <c r="E13" t="s">
        <v>478</v>
      </c>
      <c r="F13" t="s">
        <v>524</v>
      </c>
      <c r="G13" t="s">
        <v>574</v>
      </c>
      <c r="H13">
        <v>0</v>
      </c>
      <c r="I13">
        <v>0</v>
      </c>
    </row>
    <row r="14" spans="1:9" x14ac:dyDescent="0.2">
      <c r="A14" t="s">
        <v>269</v>
      </c>
      <c r="B14" t="s">
        <v>336</v>
      </c>
      <c r="C14" t="s">
        <v>481</v>
      </c>
      <c r="D14" t="s">
        <v>508</v>
      </c>
      <c r="E14" t="s">
        <v>481</v>
      </c>
      <c r="F14" t="s">
        <v>525</v>
      </c>
      <c r="G14" t="s">
        <v>573</v>
      </c>
      <c r="H14">
        <v>0</v>
      </c>
      <c r="I14">
        <v>0</v>
      </c>
    </row>
    <row r="15" spans="1:9" x14ac:dyDescent="0.2">
      <c r="A15" t="s">
        <v>272</v>
      </c>
      <c r="B15" t="s">
        <v>337</v>
      </c>
      <c r="C15" t="s">
        <v>481</v>
      </c>
      <c r="D15" t="s">
        <v>508</v>
      </c>
      <c r="E15" t="s">
        <v>481</v>
      </c>
      <c r="F15" t="s">
        <v>526</v>
      </c>
      <c r="G15" t="s">
        <v>572</v>
      </c>
      <c r="H15">
        <v>0</v>
      </c>
      <c r="I15">
        <v>0</v>
      </c>
    </row>
    <row r="16" spans="1:9" x14ac:dyDescent="0.2">
      <c r="A16" t="s">
        <v>272</v>
      </c>
      <c r="B16" t="s">
        <v>338</v>
      </c>
      <c r="C16" t="s">
        <v>481</v>
      </c>
      <c r="D16" t="s">
        <v>508</v>
      </c>
      <c r="E16" t="s">
        <v>481</v>
      </c>
      <c r="F16" t="s">
        <v>527</v>
      </c>
      <c r="G16" t="s">
        <v>572</v>
      </c>
      <c r="H16">
        <v>0</v>
      </c>
      <c r="I16">
        <v>0</v>
      </c>
    </row>
    <row r="17" spans="1:9" x14ac:dyDescent="0.2">
      <c r="A17" t="s">
        <v>273</v>
      </c>
      <c r="B17" t="s">
        <v>339</v>
      </c>
      <c r="C17" t="s">
        <v>481</v>
      </c>
      <c r="D17" t="s">
        <v>508</v>
      </c>
      <c r="E17" t="s">
        <v>481</v>
      </c>
      <c r="F17" t="s">
        <v>527</v>
      </c>
      <c r="G17" t="s">
        <v>572</v>
      </c>
      <c r="H17">
        <v>0</v>
      </c>
      <c r="I17">
        <v>0</v>
      </c>
    </row>
    <row r="18" spans="1:9" x14ac:dyDescent="0.2">
      <c r="A18" t="s">
        <v>273</v>
      </c>
      <c r="B18" t="s">
        <v>340</v>
      </c>
      <c r="C18" t="s">
        <v>482</v>
      </c>
      <c r="D18" t="s">
        <v>509</v>
      </c>
      <c r="E18" t="s">
        <v>482</v>
      </c>
      <c r="F18" t="s">
        <v>528</v>
      </c>
      <c r="G18" t="s">
        <v>572</v>
      </c>
      <c r="H18">
        <v>0</v>
      </c>
      <c r="I18">
        <v>0</v>
      </c>
    </row>
    <row r="19" spans="1:9" x14ac:dyDescent="0.2">
      <c r="A19" t="s">
        <v>273</v>
      </c>
      <c r="B19" t="s">
        <v>341</v>
      </c>
      <c r="C19" t="s">
        <v>481</v>
      </c>
      <c r="D19" t="s">
        <v>508</v>
      </c>
      <c r="E19" t="s">
        <v>481</v>
      </c>
      <c r="F19" t="s">
        <v>527</v>
      </c>
      <c r="G19" t="s">
        <v>572</v>
      </c>
      <c r="H19">
        <v>0</v>
      </c>
      <c r="I19">
        <v>0</v>
      </c>
    </row>
    <row r="20" spans="1:9" x14ac:dyDescent="0.2">
      <c r="A20" t="s">
        <v>273</v>
      </c>
      <c r="B20" t="s">
        <v>342</v>
      </c>
      <c r="C20" t="s">
        <v>481</v>
      </c>
      <c r="D20" t="s">
        <v>508</v>
      </c>
      <c r="E20" t="s">
        <v>481</v>
      </c>
      <c r="F20" t="s">
        <v>526</v>
      </c>
      <c r="G20" t="s">
        <v>572</v>
      </c>
      <c r="H20">
        <v>0</v>
      </c>
      <c r="I20">
        <v>0</v>
      </c>
    </row>
    <row r="21" spans="1:9" x14ac:dyDescent="0.2">
      <c r="A21" t="s">
        <v>274</v>
      </c>
      <c r="B21" t="s">
        <v>343</v>
      </c>
      <c r="C21" t="s">
        <v>483</v>
      </c>
      <c r="D21" t="s">
        <v>510</v>
      </c>
      <c r="E21" t="s">
        <v>483</v>
      </c>
      <c r="F21" t="s">
        <v>529</v>
      </c>
      <c r="G21" t="s">
        <v>575</v>
      </c>
      <c r="H21">
        <v>0</v>
      </c>
      <c r="I21">
        <v>0</v>
      </c>
    </row>
    <row r="22" spans="1:9" x14ac:dyDescent="0.2">
      <c r="A22" t="s">
        <v>275</v>
      </c>
      <c r="B22" t="s">
        <v>344</v>
      </c>
      <c r="C22" t="s">
        <v>478</v>
      </c>
      <c r="D22" t="s">
        <v>505</v>
      </c>
      <c r="E22" t="s">
        <v>477</v>
      </c>
      <c r="F22" t="s">
        <v>530</v>
      </c>
      <c r="G22" t="s">
        <v>575</v>
      </c>
      <c r="H22">
        <v>0</v>
      </c>
      <c r="I22">
        <v>0</v>
      </c>
    </row>
    <row r="23" spans="1:9" x14ac:dyDescent="0.2">
      <c r="A23" t="s">
        <v>275</v>
      </c>
      <c r="B23" t="s">
        <v>345</v>
      </c>
      <c r="C23" t="s">
        <v>478</v>
      </c>
      <c r="D23" t="s">
        <v>505</v>
      </c>
      <c r="E23" t="s">
        <v>477</v>
      </c>
      <c r="F23" t="s">
        <v>530</v>
      </c>
      <c r="G23" t="s">
        <v>575</v>
      </c>
      <c r="H23">
        <v>0</v>
      </c>
      <c r="I23">
        <v>0</v>
      </c>
    </row>
    <row r="24" spans="1:9" x14ac:dyDescent="0.2">
      <c r="A24" t="s">
        <v>275</v>
      </c>
      <c r="B24" t="s">
        <v>346</v>
      </c>
      <c r="C24" t="s">
        <v>478</v>
      </c>
      <c r="D24" t="s">
        <v>505</v>
      </c>
      <c r="E24" t="s">
        <v>477</v>
      </c>
      <c r="F24" t="s">
        <v>530</v>
      </c>
      <c r="G24" t="s">
        <v>575</v>
      </c>
      <c r="H24">
        <v>0</v>
      </c>
      <c r="I24">
        <v>0</v>
      </c>
    </row>
    <row r="25" spans="1:9" x14ac:dyDescent="0.2">
      <c r="A25" t="s">
        <v>275</v>
      </c>
      <c r="B25" t="s">
        <v>347</v>
      </c>
      <c r="C25" t="s">
        <v>478</v>
      </c>
      <c r="D25" t="s">
        <v>505</v>
      </c>
      <c r="E25" t="s">
        <v>477</v>
      </c>
      <c r="F25" t="s">
        <v>530</v>
      </c>
      <c r="G25" t="s">
        <v>575</v>
      </c>
      <c r="H25">
        <v>0</v>
      </c>
      <c r="I25">
        <v>0</v>
      </c>
    </row>
    <row r="26" spans="1:9" x14ac:dyDescent="0.2">
      <c r="A26" t="s">
        <v>275</v>
      </c>
      <c r="B26" t="s">
        <v>348</v>
      </c>
      <c r="C26" t="s">
        <v>478</v>
      </c>
      <c r="D26" t="s">
        <v>505</v>
      </c>
      <c r="E26" t="s">
        <v>477</v>
      </c>
      <c r="F26" t="s">
        <v>530</v>
      </c>
      <c r="G26" t="s">
        <v>575</v>
      </c>
      <c r="H26">
        <v>0</v>
      </c>
      <c r="I26">
        <v>0</v>
      </c>
    </row>
    <row r="27" spans="1:9" x14ac:dyDescent="0.2">
      <c r="A27" t="s">
        <v>275</v>
      </c>
      <c r="B27" t="s">
        <v>349</v>
      </c>
      <c r="C27" t="s">
        <v>478</v>
      </c>
      <c r="D27" t="s">
        <v>505</v>
      </c>
      <c r="E27" t="s">
        <v>477</v>
      </c>
      <c r="F27" t="s">
        <v>530</v>
      </c>
      <c r="G27" t="s">
        <v>575</v>
      </c>
      <c r="H27">
        <v>0</v>
      </c>
      <c r="I27">
        <v>0</v>
      </c>
    </row>
    <row r="28" spans="1:9" x14ac:dyDescent="0.2">
      <c r="A28" t="s">
        <v>275</v>
      </c>
      <c r="B28" t="s">
        <v>350</v>
      </c>
      <c r="C28" t="s">
        <v>478</v>
      </c>
      <c r="D28" t="s">
        <v>505</v>
      </c>
      <c r="E28" t="s">
        <v>477</v>
      </c>
      <c r="F28" t="s">
        <v>530</v>
      </c>
      <c r="G28" t="s">
        <v>575</v>
      </c>
      <c r="H28">
        <v>0</v>
      </c>
      <c r="I28">
        <v>0</v>
      </c>
    </row>
    <row r="29" spans="1:9" x14ac:dyDescent="0.2">
      <c r="A29" t="s">
        <v>275</v>
      </c>
      <c r="B29" t="s">
        <v>351</v>
      </c>
      <c r="C29" t="s">
        <v>478</v>
      </c>
      <c r="D29" t="s">
        <v>505</v>
      </c>
      <c r="E29" t="s">
        <v>477</v>
      </c>
      <c r="F29" t="s">
        <v>530</v>
      </c>
      <c r="G29" t="s">
        <v>575</v>
      </c>
      <c r="H29">
        <v>0</v>
      </c>
      <c r="I29">
        <v>0</v>
      </c>
    </row>
    <row r="30" spans="1:9" x14ac:dyDescent="0.2">
      <c r="A30" t="s">
        <v>275</v>
      </c>
      <c r="B30" t="s">
        <v>352</v>
      </c>
      <c r="C30" t="s">
        <v>478</v>
      </c>
      <c r="D30" t="s">
        <v>505</v>
      </c>
      <c r="E30" t="s">
        <v>477</v>
      </c>
      <c r="F30" t="s">
        <v>530</v>
      </c>
      <c r="G30" t="s">
        <v>575</v>
      </c>
      <c r="H30">
        <v>0</v>
      </c>
      <c r="I30">
        <v>0</v>
      </c>
    </row>
    <row r="31" spans="1:9" x14ac:dyDescent="0.2">
      <c r="A31" t="s">
        <v>264</v>
      </c>
      <c r="B31" t="s">
        <v>353</v>
      </c>
      <c r="C31" t="s">
        <v>478</v>
      </c>
      <c r="D31" t="s">
        <v>505</v>
      </c>
      <c r="E31" t="s">
        <v>477</v>
      </c>
      <c r="F31" t="s">
        <v>516</v>
      </c>
      <c r="G31" t="s">
        <v>575</v>
      </c>
      <c r="H31">
        <v>0</v>
      </c>
      <c r="I31">
        <v>0</v>
      </c>
    </row>
    <row r="32" spans="1:9" x14ac:dyDescent="0.2">
      <c r="A32" t="s">
        <v>276</v>
      </c>
      <c r="B32" t="s">
        <v>354</v>
      </c>
      <c r="C32" t="s">
        <v>484</v>
      </c>
      <c r="D32" t="s">
        <v>511</v>
      </c>
      <c r="E32" t="s">
        <v>484</v>
      </c>
      <c r="F32" t="s">
        <v>531</v>
      </c>
      <c r="G32" t="s">
        <v>575</v>
      </c>
      <c r="H32">
        <v>0</v>
      </c>
      <c r="I32">
        <v>0</v>
      </c>
    </row>
    <row r="33" spans="1:9" x14ac:dyDescent="0.2">
      <c r="A33" t="s">
        <v>275</v>
      </c>
      <c r="B33" t="s">
        <v>355</v>
      </c>
      <c r="C33" t="s">
        <v>478</v>
      </c>
      <c r="D33" t="s">
        <v>505</v>
      </c>
      <c r="E33" t="s">
        <v>477</v>
      </c>
      <c r="F33" t="s">
        <v>530</v>
      </c>
      <c r="G33" t="s">
        <v>575</v>
      </c>
      <c r="H33">
        <v>0</v>
      </c>
      <c r="I33">
        <v>0</v>
      </c>
    </row>
    <row r="34" spans="1:9" x14ac:dyDescent="0.2">
      <c r="A34" t="s">
        <v>275</v>
      </c>
      <c r="B34" t="s">
        <v>356</v>
      </c>
      <c r="C34" t="s">
        <v>478</v>
      </c>
      <c r="D34" t="s">
        <v>505</v>
      </c>
      <c r="E34" t="s">
        <v>477</v>
      </c>
      <c r="F34" t="s">
        <v>530</v>
      </c>
      <c r="G34" t="s">
        <v>575</v>
      </c>
      <c r="H34">
        <v>0</v>
      </c>
      <c r="I34">
        <v>0</v>
      </c>
    </row>
    <row r="35" spans="1:9" x14ac:dyDescent="0.2">
      <c r="A35" t="s">
        <v>275</v>
      </c>
      <c r="B35" t="s">
        <v>357</v>
      </c>
      <c r="C35" t="s">
        <v>478</v>
      </c>
      <c r="D35" t="s">
        <v>505</v>
      </c>
      <c r="E35" t="s">
        <v>477</v>
      </c>
      <c r="F35" t="s">
        <v>530</v>
      </c>
      <c r="G35" t="s">
        <v>575</v>
      </c>
      <c r="H35">
        <v>0</v>
      </c>
      <c r="I35">
        <v>0</v>
      </c>
    </row>
    <row r="36" spans="1:9" x14ac:dyDescent="0.2">
      <c r="A36" t="s">
        <v>275</v>
      </c>
      <c r="B36" t="s">
        <v>358</v>
      </c>
      <c r="C36" t="s">
        <v>478</v>
      </c>
      <c r="D36" t="s">
        <v>505</v>
      </c>
      <c r="E36" t="s">
        <v>477</v>
      </c>
      <c r="F36" t="s">
        <v>530</v>
      </c>
      <c r="G36" t="s">
        <v>575</v>
      </c>
      <c r="H36">
        <v>0</v>
      </c>
      <c r="I36">
        <v>0</v>
      </c>
    </row>
    <row r="37" spans="1:9" x14ac:dyDescent="0.2">
      <c r="A37" t="s">
        <v>275</v>
      </c>
      <c r="B37" t="s">
        <v>359</v>
      </c>
      <c r="C37" t="s">
        <v>478</v>
      </c>
      <c r="D37" t="s">
        <v>505</v>
      </c>
      <c r="E37" t="s">
        <v>477</v>
      </c>
      <c r="F37" t="s">
        <v>530</v>
      </c>
      <c r="G37" t="s">
        <v>575</v>
      </c>
      <c r="H37">
        <v>0</v>
      </c>
      <c r="I37">
        <v>0</v>
      </c>
    </row>
    <row r="38" spans="1:9" x14ac:dyDescent="0.2">
      <c r="A38" t="s">
        <v>275</v>
      </c>
      <c r="B38" t="s">
        <v>360</v>
      </c>
      <c r="C38" t="s">
        <v>478</v>
      </c>
      <c r="D38" t="s">
        <v>505</v>
      </c>
      <c r="E38" t="s">
        <v>477</v>
      </c>
      <c r="F38" t="s">
        <v>530</v>
      </c>
      <c r="G38" t="s">
        <v>575</v>
      </c>
      <c r="H38">
        <v>0</v>
      </c>
      <c r="I38">
        <v>0</v>
      </c>
    </row>
    <row r="39" spans="1:9" x14ac:dyDescent="0.2">
      <c r="A39" t="s">
        <v>264</v>
      </c>
      <c r="B39" t="s">
        <v>361</v>
      </c>
      <c r="C39" t="s">
        <v>478</v>
      </c>
      <c r="D39" t="s">
        <v>505</v>
      </c>
      <c r="E39" t="s">
        <v>477</v>
      </c>
      <c r="F39" t="s">
        <v>516</v>
      </c>
      <c r="G39" t="s">
        <v>575</v>
      </c>
      <c r="H39">
        <v>0</v>
      </c>
      <c r="I39">
        <v>0</v>
      </c>
    </row>
    <row r="40" spans="1:9" x14ac:dyDescent="0.2">
      <c r="A40" t="s">
        <v>265</v>
      </c>
      <c r="B40" t="s">
        <v>362</v>
      </c>
      <c r="C40" t="s">
        <v>478</v>
      </c>
      <c r="D40" t="s">
        <v>505</v>
      </c>
      <c r="E40" t="s">
        <v>491</v>
      </c>
      <c r="F40" t="s">
        <v>532</v>
      </c>
      <c r="G40" t="s">
        <v>570</v>
      </c>
      <c r="H40">
        <v>0</v>
      </c>
      <c r="I40">
        <v>0</v>
      </c>
    </row>
    <row r="41" spans="1:9" x14ac:dyDescent="0.2">
      <c r="A41" t="s">
        <v>277</v>
      </c>
      <c r="B41" t="s">
        <v>363</v>
      </c>
      <c r="C41" t="s">
        <v>485</v>
      </c>
      <c r="D41" t="s">
        <v>512</v>
      </c>
      <c r="E41" t="s">
        <v>485</v>
      </c>
      <c r="F41" t="s">
        <v>525</v>
      </c>
      <c r="G41" t="s">
        <v>571</v>
      </c>
      <c r="H41">
        <v>0</v>
      </c>
      <c r="I41">
        <v>0</v>
      </c>
    </row>
    <row r="42" spans="1:9" x14ac:dyDescent="0.2">
      <c r="A42" t="s">
        <v>267</v>
      </c>
      <c r="B42" t="s">
        <v>364</v>
      </c>
      <c r="C42" t="s">
        <v>480</v>
      </c>
      <c r="D42" t="s">
        <v>507</v>
      </c>
      <c r="E42" t="s">
        <v>480</v>
      </c>
      <c r="F42" t="s">
        <v>533</v>
      </c>
      <c r="G42" t="s">
        <v>572</v>
      </c>
      <c r="H42">
        <v>0</v>
      </c>
      <c r="I42">
        <v>0</v>
      </c>
    </row>
    <row r="43" spans="1:9" x14ac:dyDescent="0.2">
      <c r="A43" t="s">
        <v>278</v>
      </c>
      <c r="B43" t="s">
        <v>365</v>
      </c>
      <c r="C43" t="s">
        <v>486</v>
      </c>
      <c r="D43" t="s">
        <v>513</v>
      </c>
      <c r="E43" t="s">
        <v>486</v>
      </c>
      <c r="F43" t="s">
        <v>534</v>
      </c>
      <c r="G43" t="s">
        <v>573</v>
      </c>
      <c r="H43">
        <v>0</v>
      </c>
      <c r="I43">
        <v>0</v>
      </c>
    </row>
    <row r="44" spans="1:9" x14ac:dyDescent="0.2">
      <c r="A44" t="s">
        <v>278</v>
      </c>
      <c r="B44" t="s">
        <v>366</v>
      </c>
      <c r="C44" t="s">
        <v>486</v>
      </c>
      <c r="D44" t="s">
        <v>513</v>
      </c>
      <c r="E44" t="s">
        <v>486</v>
      </c>
      <c r="F44" t="s">
        <v>534</v>
      </c>
      <c r="G44" t="s">
        <v>573</v>
      </c>
      <c r="H44">
        <v>0</v>
      </c>
      <c r="I44">
        <v>0</v>
      </c>
    </row>
    <row r="45" spans="1:9" x14ac:dyDescent="0.2">
      <c r="A45" t="s">
        <v>279</v>
      </c>
      <c r="B45" t="s">
        <v>367</v>
      </c>
      <c r="C45" t="s">
        <v>487</v>
      </c>
      <c r="D45" t="s">
        <v>514</v>
      </c>
      <c r="E45" t="s">
        <v>487</v>
      </c>
      <c r="F45" t="s">
        <v>535</v>
      </c>
      <c r="G45" t="s">
        <v>573</v>
      </c>
      <c r="H45">
        <v>0</v>
      </c>
      <c r="I45">
        <v>0</v>
      </c>
    </row>
    <row r="46" spans="1:9" x14ac:dyDescent="0.2">
      <c r="A46" t="s">
        <v>279</v>
      </c>
      <c r="B46" t="s">
        <v>368</v>
      </c>
      <c r="C46" t="s">
        <v>487</v>
      </c>
      <c r="D46" t="s">
        <v>514</v>
      </c>
      <c r="E46" t="s">
        <v>487</v>
      </c>
      <c r="F46" t="s">
        <v>527</v>
      </c>
      <c r="G46" t="s">
        <v>573</v>
      </c>
      <c r="H46">
        <v>0</v>
      </c>
      <c r="I46">
        <v>0</v>
      </c>
    </row>
    <row r="47" spans="1:9" x14ac:dyDescent="0.2">
      <c r="A47" t="s">
        <v>280</v>
      </c>
      <c r="B47" t="s">
        <v>369</v>
      </c>
      <c r="C47" t="s">
        <v>482</v>
      </c>
      <c r="D47">
        <v>0</v>
      </c>
      <c r="E47" t="s">
        <v>482</v>
      </c>
      <c r="F47" t="s">
        <v>526</v>
      </c>
      <c r="G47" t="s">
        <v>572</v>
      </c>
      <c r="H47">
        <v>0</v>
      </c>
      <c r="I47">
        <v>0</v>
      </c>
    </row>
    <row r="48" spans="1:9" x14ac:dyDescent="0.2">
      <c r="A48" t="s">
        <v>280</v>
      </c>
      <c r="B48" t="s">
        <v>370</v>
      </c>
      <c r="C48" t="s">
        <v>482</v>
      </c>
      <c r="D48">
        <v>0</v>
      </c>
      <c r="E48" t="s">
        <v>482</v>
      </c>
      <c r="F48" t="s">
        <v>527</v>
      </c>
      <c r="G48" t="s">
        <v>572</v>
      </c>
      <c r="H48">
        <v>0</v>
      </c>
      <c r="I48">
        <v>0</v>
      </c>
    </row>
    <row r="49" spans="1:9" x14ac:dyDescent="0.2">
      <c r="A49" t="s">
        <v>272</v>
      </c>
      <c r="B49" t="s">
        <v>371</v>
      </c>
      <c r="C49" t="s">
        <v>482</v>
      </c>
      <c r="D49">
        <v>0</v>
      </c>
      <c r="E49" t="s">
        <v>482</v>
      </c>
      <c r="F49" t="s">
        <v>527</v>
      </c>
      <c r="G49" t="s">
        <v>572</v>
      </c>
      <c r="H49">
        <v>0</v>
      </c>
      <c r="I49">
        <v>0</v>
      </c>
    </row>
    <row r="50" spans="1:9" x14ac:dyDescent="0.2">
      <c r="A50" t="s">
        <v>272</v>
      </c>
      <c r="B50" t="s">
        <v>372</v>
      </c>
      <c r="C50" t="s">
        <v>488</v>
      </c>
      <c r="D50">
        <v>0</v>
      </c>
      <c r="E50" t="s">
        <v>488</v>
      </c>
      <c r="F50" t="s">
        <v>528</v>
      </c>
      <c r="G50" t="s">
        <v>572</v>
      </c>
      <c r="H50">
        <v>0</v>
      </c>
      <c r="I50">
        <v>0</v>
      </c>
    </row>
    <row r="51" spans="1:9" x14ac:dyDescent="0.2">
      <c r="A51" t="s">
        <v>281</v>
      </c>
      <c r="B51" t="s">
        <v>373</v>
      </c>
      <c r="C51" t="s">
        <v>482</v>
      </c>
      <c r="D51">
        <v>0</v>
      </c>
      <c r="E51" t="s">
        <v>482</v>
      </c>
      <c r="F51" t="s">
        <v>527</v>
      </c>
      <c r="G51" t="s">
        <v>572</v>
      </c>
      <c r="H51">
        <v>0</v>
      </c>
      <c r="I51">
        <v>0</v>
      </c>
    </row>
    <row r="52" spans="1:9" x14ac:dyDescent="0.2">
      <c r="A52" t="s">
        <v>273</v>
      </c>
      <c r="B52" t="s">
        <v>374</v>
      </c>
      <c r="C52" t="s">
        <v>481</v>
      </c>
      <c r="D52">
        <v>0</v>
      </c>
      <c r="E52" t="s">
        <v>481</v>
      </c>
      <c r="F52" t="s">
        <v>526</v>
      </c>
      <c r="G52" t="s">
        <v>572</v>
      </c>
      <c r="H52">
        <v>0</v>
      </c>
      <c r="I52">
        <v>0</v>
      </c>
    </row>
    <row r="53" spans="1:9" x14ac:dyDescent="0.2">
      <c r="A53" t="s">
        <v>282</v>
      </c>
      <c r="B53" t="s">
        <v>375</v>
      </c>
      <c r="C53" t="s">
        <v>489</v>
      </c>
      <c r="D53">
        <v>0</v>
      </c>
      <c r="E53" t="s">
        <v>489</v>
      </c>
      <c r="F53" t="s">
        <v>526</v>
      </c>
      <c r="G53" t="s">
        <v>572</v>
      </c>
      <c r="H53">
        <v>0</v>
      </c>
      <c r="I53">
        <v>0</v>
      </c>
    </row>
    <row r="54" spans="1:9" x14ac:dyDescent="0.2">
      <c r="A54" t="s">
        <v>283</v>
      </c>
      <c r="B54" t="s">
        <v>376</v>
      </c>
      <c r="C54" t="s">
        <v>490</v>
      </c>
      <c r="D54">
        <v>0</v>
      </c>
      <c r="E54" t="s">
        <v>478</v>
      </c>
      <c r="F54" t="s">
        <v>536</v>
      </c>
      <c r="G54" t="s">
        <v>575</v>
      </c>
      <c r="H54">
        <v>0</v>
      </c>
      <c r="I54">
        <v>0</v>
      </c>
    </row>
    <row r="55" spans="1:9" x14ac:dyDescent="0.2">
      <c r="A55" t="s">
        <v>275</v>
      </c>
      <c r="B55" t="s">
        <v>377</v>
      </c>
      <c r="C55" t="s">
        <v>478</v>
      </c>
      <c r="D55">
        <v>0</v>
      </c>
      <c r="E55" t="s">
        <v>477</v>
      </c>
      <c r="F55" t="s">
        <v>537</v>
      </c>
      <c r="G55" t="s">
        <v>575</v>
      </c>
      <c r="H55">
        <v>0</v>
      </c>
      <c r="I55">
        <v>0</v>
      </c>
    </row>
    <row r="56" spans="1:9" x14ac:dyDescent="0.2">
      <c r="A56" t="s">
        <v>275</v>
      </c>
      <c r="B56" t="s">
        <v>378</v>
      </c>
      <c r="C56" t="s">
        <v>478</v>
      </c>
      <c r="D56">
        <v>0</v>
      </c>
      <c r="E56" t="s">
        <v>477</v>
      </c>
      <c r="F56" t="s">
        <v>538</v>
      </c>
      <c r="G56" t="s">
        <v>575</v>
      </c>
      <c r="H56">
        <v>0</v>
      </c>
      <c r="I56">
        <v>0</v>
      </c>
    </row>
    <row r="57" spans="1:9" x14ac:dyDescent="0.2">
      <c r="A57" t="s">
        <v>275</v>
      </c>
      <c r="B57" t="s">
        <v>379</v>
      </c>
      <c r="C57" t="s">
        <v>478</v>
      </c>
      <c r="D57">
        <v>0</v>
      </c>
      <c r="E57" t="s">
        <v>477</v>
      </c>
      <c r="F57" t="s">
        <v>538</v>
      </c>
      <c r="G57" t="s">
        <v>575</v>
      </c>
      <c r="H57">
        <v>0</v>
      </c>
      <c r="I57">
        <v>0</v>
      </c>
    </row>
    <row r="58" spans="1:9" x14ac:dyDescent="0.2">
      <c r="A58" t="s">
        <v>275</v>
      </c>
      <c r="B58" t="s">
        <v>380</v>
      </c>
      <c r="C58" t="s">
        <v>478</v>
      </c>
      <c r="D58">
        <v>0</v>
      </c>
      <c r="E58" t="s">
        <v>477</v>
      </c>
      <c r="F58" t="s">
        <v>530</v>
      </c>
      <c r="G58" t="s">
        <v>575</v>
      </c>
      <c r="H58">
        <v>0</v>
      </c>
      <c r="I58">
        <v>0</v>
      </c>
    </row>
    <row r="59" spans="1:9" x14ac:dyDescent="0.2">
      <c r="A59" t="s">
        <v>275</v>
      </c>
      <c r="B59" t="s">
        <v>381</v>
      </c>
      <c r="C59" t="s">
        <v>478</v>
      </c>
      <c r="D59">
        <v>0</v>
      </c>
      <c r="E59" t="s">
        <v>477</v>
      </c>
      <c r="F59" t="s">
        <v>530</v>
      </c>
      <c r="G59" t="s">
        <v>575</v>
      </c>
      <c r="H59">
        <v>0</v>
      </c>
      <c r="I59">
        <v>0</v>
      </c>
    </row>
    <row r="60" spans="1:9" x14ac:dyDescent="0.2">
      <c r="A60" t="s">
        <v>275</v>
      </c>
      <c r="B60" t="s">
        <v>382</v>
      </c>
      <c r="C60" t="s">
        <v>478</v>
      </c>
      <c r="D60">
        <v>0</v>
      </c>
      <c r="E60" t="s">
        <v>477</v>
      </c>
      <c r="F60" t="s">
        <v>530</v>
      </c>
      <c r="G60" t="s">
        <v>575</v>
      </c>
      <c r="H60">
        <v>0</v>
      </c>
      <c r="I60">
        <v>0</v>
      </c>
    </row>
    <row r="61" spans="1:9" x14ac:dyDescent="0.2">
      <c r="A61" t="s">
        <v>275</v>
      </c>
      <c r="B61" t="s">
        <v>383</v>
      </c>
      <c r="C61" t="s">
        <v>478</v>
      </c>
      <c r="D61">
        <v>0</v>
      </c>
      <c r="E61" t="s">
        <v>477</v>
      </c>
      <c r="F61" t="s">
        <v>530</v>
      </c>
      <c r="G61" t="s">
        <v>575</v>
      </c>
      <c r="H61">
        <v>0</v>
      </c>
      <c r="I61">
        <v>0</v>
      </c>
    </row>
    <row r="62" spans="1:9" x14ac:dyDescent="0.2">
      <c r="A62" t="s">
        <v>264</v>
      </c>
      <c r="B62" t="s">
        <v>384</v>
      </c>
      <c r="C62" t="s">
        <v>478</v>
      </c>
      <c r="D62">
        <v>0</v>
      </c>
      <c r="E62" t="s">
        <v>477</v>
      </c>
      <c r="F62" t="s">
        <v>516</v>
      </c>
      <c r="G62" t="s">
        <v>575</v>
      </c>
      <c r="H62">
        <v>0</v>
      </c>
      <c r="I62">
        <v>0</v>
      </c>
    </row>
    <row r="63" spans="1:9" x14ac:dyDescent="0.2">
      <c r="A63" t="s">
        <v>284</v>
      </c>
      <c r="B63" t="s">
        <v>385</v>
      </c>
      <c r="C63" t="s">
        <v>477</v>
      </c>
      <c r="D63">
        <v>0</v>
      </c>
      <c r="E63" t="s">
        <v>477</v>
      </c>
      <c r="F63" t="s">
        <v>539</v>
      </c>
      <c r="G63" t="s">
        <v>570</v>
      </c>
      <c r="H63">
        <v>0</v>
      </c>
      <c r="I63">
        <v>0</v>
      </c>
    </row>
    <row r="64" spans="1:9" x14ac:dyDescent="0.2">
      <c r="A64" t="s">
        <v>285</v>
      </c>
      <c r="B64" t="s">
        <v>386</v>
      </c>
      <c r="C64" t="s">
        <v>477</v>
      </c>
      <c r="D64">
        <v>0</v>
      </c>
      <c r="E64" t="s">
        <v>477</v>
      </c>
      <c r="F64" t="s">
        <v>531</v>
      </c>
      <c r="G64" t="s">
        <v>570</v>
      </c>
      <c r="H64">
        <v>0</v>
      </c>
      <c r="I64">
        <v>0</v>
      </c>
    </row>
    <row r="65" spans="1:9" x14ac:dyDescent="0.2">
      <c r="A65" t="s">
        <v>286</v>
      </c>
      <c r="B65" t="s">
        <v>387</v>
      </c>
      <c r="C65" t="s">
        <v>486</v>
      </c>
      <c r="D65">
        <v>0</v>
      </c>
      <c r="E65" t="s">
        <v>486</v>
      </c>
      <c r="F65" t="s">
        <v>540</v>
      </c>
      <c r="G65" t="s">
        <v>572</v>
      </c>
      <c r="H65">
        <v>0</v>
      </c>
      <c r="I65">
        <v>0</v>
      </c>
    </row>
    <row r="66" spans="1:9" x14ac:dyDescent="0.2">
      <c r="A66" t="s">
        <v>286</v>
      </c>
      <c r="B66" t="s">
        <v>388</v>
      </c>
      <c r="C66" t="s">
        <v>491</v>
      </c>
      <c r="D66">
        <v>0</v>
      </c>
      <c r="E66" t="s">
        <v>491</v>
      </c>
      <c r="F66" t="s">
        <v>524</v>
      </c>
      <c r="G66" t="s">
        <v>573</v>
      </c>
      <c r="H66">
        <v>0</v>
      </c>
      <c r="I66">
        <v>0</v>
      </c>
    </row>
    <row r="67" spans="1:9" x14ac:dyDescent="0.2">
      <c r="A67" t="s">
        <v>286</v>
      </c>
      <c r="B67" t="s">
        <v>389</v>
      </c>
      <c r="C67" t="s">
        <v>491</v>
      </c>
      <c r="D67">
        <v>0</v>
      </c>
      <c r="E67" t="s">
        <v>491</v>
      </c>
      <c r="F67" t="s">
        <v>524</v>
      </c>
      <c r="G67" t="s">
        <v>573</v>
      </c>
      <c r="H67">
        <v>0</v>
      </c>
      <c r="I67">
        <v>0</v>
      </c>
    </row>
    <row r="68" spans="1:9" x14ac:dyDescent="0.2">
      <c r="A68" t="s">
        <v>286</v>
      </c>
      <c r="B68" t="s">
        <v>390</v>
      </c>
      <c r="C68" t="s">
        <v>491</v>
      </c>
      <c r="D68">
        <v>0</v>
      </c>
      <c r="E68" t="s">
        <v>491</v>
      </c>
      <c r="F68" t="s">
        <v>524</v>
      </c>
      <c r="G68" t="s">
        <v>573</v>
      </c>
      <c r="H68">
        <v>0</v>
      </c>
      <c r="I68">
        <v>0</v>
      </c>
    </row>
    <row r="69" spans="1:9" x14ac:dyDescent="0.2">
      <c r="A69" t="s">
        <v>286</v>
      </c>
      <c r="B69" t="s">
        <v>391</v>
      </c>
      <c r="C69" t="s">
        <v>491</v>
      </c>
      <c r="D69">
        <v>0</v>
      </c>
      <c r="E69" t="s">
        <v>491</v>
      </c>
      <c r="F69" t="s">
        <v>524</v>
      </c>
      <c r="G69" t="s">
        <v>573</v>
      </c>
      <c r="H69">
        <v>0</v>
      </c>
      <c r="I69">
        <v>0</v>
      </c>
    </row>
    <row r="70" spans="1:9" x14ac:dyDescent="0.2">
      <c r="A70" t="s">
        <v>286</v>
      </c>
      <c r="B70" t="s">
        <v>392</v>
      </c>
      <c r="C70" t="s">
        <v>491</v>
      </c>
      <c r="D70">
        <v>0</v>
      </c>
      <c r="E70" t="s">
        <v>491</v>
      </c>
      <c r="F70" t="s">
        <v>524</v>
      </c>
      <c r="G70" t="s">
        <v>573</v>
      </c>
      <c r="H70">
        <v>0</v>
      </c>
      <c r="I70">
        <v>0</v>
      </c>
    </row>
    <row r="71" spans="1:9" x14ac:dyDescent="0.2">
      <c r="A71" t="s">
        <v>286</v>
      </c>
      <c r="B71" t="s">
        <v>393</v>
      </c>
      <c r="C71" t="s">
        <v>491</v>
      </c>
      <c r="D71">
        <v>0</v>
      </c>
      <c r="E71" t="s">
        <v>491</v>
      </c>
      <c r="F71" t="s">
        <v>524</v>
      </c>
      <c r="G71" t="s">
        <v>573</v>
      </c>
      <c r="H71">
        <v>0</v>
      </c>
      <c r="I71">
        <v>0</v>
      </c>
    </row>
    <row r="72" spans="1:9" x14ac:dyDescent="0.2">
      <c r="A72" t="s">
        <v>286</v>
      </c>
      <c r="B72" t="s">
        <v>394</v>
      </c>
      <c r="C72" t="s">
        <v>491</v>
      </c>
      <c r="D72">
        <v>0</v>
      </c>
      <c r="E72" t="s">
        <v>491</v>
      </c>
      <c r="F72" t="s">
        <v>524</v>
      </c>
      <c r="G72" t="s">
        <v>573</v>
      </c>
      <c r="H72">
        <v>0</v>
      </c>
      <c r="I72">
        <v>0</v>
      </c>
    </row>
    <row r="73" spans="1:9" x14ac:dyDescent="0.2">
      <c r="A73" t="s">
        <v>286</v>
      </c>
      <c r="B73" t="s">
        <v>394</v>
      </c>
      <c r="C73" t="s">
        <v>491</v>
      </c>
      <c r="D73">
        <v>0</v>
      </c>
      <c r="E73" t="s">
        <v>491</v>
      </c>
      <c r="F73" t="s">
        <v>524</v>
      </c>
      <c r="G73" t="s">
        <v>573</v>
      </c>
      <c r="H73">
        <v>0</v>
      </c>
      <c r="I73">
        <v>0</v>
      </c>
    </row>
    <row r="74" spans="1:9" x14ac:dyDescent="0.2">
      <c r="A74" t="s">
        <v>286</v>
      </c>
      <c r="B74" t="s">
        <v>395</v>
      </c>
      <c r="C74" t="s">
        <v>491</v>
      </c>
      <c r="D74">
        <v>0</v>
      </c>
      <c r="E74" t="s">
        <v>491</v>
      </c>
      <c r="F74" t="s">
        <v>524</v>
      </c>
      <c r="G74" t="s">
        <v>573</v>
      </c>
      <c r="H74">
        <v>0</v>
      </c>
      <c r="I74">
        <v>0</v>
      </c>
    </row>
    <row r="75" spans="1:9" x14ac:dyDescent="0.2">
      <c r="A75" t="s">
        <v>286</v>
      </c>
      <c r="B75" t="s">
        <v>396</v>
      </c>
      <c r="C75" t="s">
        <v>486</v>
      </c>
      <c r="D75">
        <v>0</v>
      </c>
      <c r="E75" t="s">
        <v>486</v>
      </c>
      <c r="F75" t="s">
        <v>541</v>
      </c>
      <c r="G75" t="s">
        <v>573</v>
      </c>
      <c r="H75">
        <v>0</v>
      </c>
      <c r="I75">
        <v>0</v>
      </c>
    </row>
    <row r="76" spans="1:9" x14ac:dyDescent="0.2">
      <c r="A76" t="s">
        <v>286</v>
      </c>
      <c r="B76" t="s">
        <v>397</v>
      </c>
      <c r="C76" t="s">
        <v>486</v>
      </c>
      <c r="D76">
        <v>0</v>
      </c>
      <c r="E76" t="s">
        <v>486</v>
      </c>
      <c r="F76" t="s">
        <v>541</v>
      </c>
      <c r="G76" t="s">
        <v>573</v>
      </c>
      <c r="H76">
        <v>0</v>
      </c>
      <c r="I76">
        <v>0</v>
      </c>
    </row>
    <row r="77" spans="1:9" x14ac:dyDescent="0.2">
      <c r="A77" t="s">
        <v>286</v>
      </c>
      <c r="B77" t="s">
        <v>398</v>
      </c>
      <c r="C77" t="s">
        <v>486</v>
      </c>
      <c r="D77">
        <v>0</v>
      </c>
      <c r="E77" t="s">
        <v>486</v>
      </c>
      <c r="F77" t="s">
        <v>541</v>
      </c>
      <c r="G77" t="s">
        <v>573</v>
      </c>
      <c r="H77">
        <v>0</v>
      </c>
      <c r="I77">
        <v>0</v>
      </c>
    </row>
    <row r="78" spans="1:9" x14ac:dyDescent="0.2">
      <c r="A78" t="s">
        <v>287</v>
      </c>
      <c r="B78" t="s">
        <v>399</v>
      </c>
      <c r="C78" t="s">
        <v>477</v>
      </c>
      <c r="D78">
        <v>0</v>
      </c>
      <c r="E78" t="s">
        <v>477</v>
      </c>
      <c r="F78" t="s">
        <v>542</v>
      </c>
      <c r="G78" t="s">
        <v>573</v>
      </c>
      <c r="H78">
        <v>0</v>
      </c>
      <c r="I78">
        <v>0</v>
      </c>
    </row>
    <row r="79" spans="1:9" x14ac:dyDescent="0.2">
      <c r="A79" t="s">
        <v>288</v>
      </c>
      <c r="B79" t="s">
        <v>400</v>
      </c>
      <c r="C79" t="s">
        <v>477</v>
      </c>
      <c r="D79">
        <v>0</v>
      </c>
      <c r="E79" t="s">
        <v>477</v>
      </c>
      <c r="F79" t="s">
        <v>543</v>
      </c>
      <c r="G79" t="s">
        <v>573</v>
      </c>
      <c r="H79">
        <v>0</v>
      </c>
      <c r="I79">
        <v>0</v>
      </c>
    </row>
    <row r="80" spans="1:9" x14ac:dyDescent="0.2">
      <c r="A80" t="s">
        <v>285</v>
      </c>
      <c r="B80" t="s">
        <v>401</v>
      </c>
      <c r="C80" t="s">
        <v>477</v>
      </c>
      <c r="D80">
        <v>0</v>
      </c>
      <c r="E80" t="s">
        <v>477</v>
      </c>
      <c r="F80" t="s">
        <v>529</v>
      </c>
      <c r="G80" t="s">
        <v>570</v>
      </c>
      <c r="H80">
        <v>0</v>
      </c>
      <c r="I80">
        <v>0</v>
      </c>
    </row>
    <row r="81" spans="1:9" x14ac:dyDescent="0.2">
      <c r="A81" t="s">
        <v>289</v>
      </c>
      <c r="B81" t="s">
        <v>402</v>
      </c>
      <c r="C81" t="s">
        <v>492</v>
      </c>
      <c r="D81">
        <v>0</v>
      </c>
      <c r="E81" t="s">
        <v>492</v>
      </c>
      <c r="F81" t="s">
        <v>529</v>
      </c>
      <c r="G81" t="s">
        <v>572</v>
      </c>
      <c r="H81">
        <v>0</v>
      </c>
      <c r="I81">
        <v>0</v>
      </c>
    </row>
    <row r="82" spans="1:9" x14ac:dyDescent="0.2">
      <c r="A82" t="s">
        <v>289</v>
      </c>
      <c r="B82" t="s">
        <v>403</v>
      </c>
      <c r="C82" t="s">
        <v>492</v>
      </c>
      <c r="D82">
        <v>0</v>
      </c>
      <c r="E82" t="s">
        <v>492</v>
      </c>
      <c r="F82" t="s">
        <v>543</v>
      </c>
      <c r="G82" t="s">
        <v>572</v>
      </c>
      <c r="H82">
        <v>0</v>
      </c>
      <c r="I82">
        <v>0</v>
      </c>
    </row>
    <row r="83" spans="1:9" x14ac:dyDescent="0.2">
      <c r="A83" t="s">
        <v>289</v>
      </c>
      <c r="B83" t="s">
        <v>404</v>
      </c>
      <c r="C83" t="s">
        <v>492</v>
      </c>
      <c r="D83">
        <v>0</v>
      </c>
      <c r="E83" t="s">
        <v>492</v>
      </c>
      <c r="F83" t="s">
        <v>529</v>
      </c>
      <c r="G83" t="s">
        <v>572</v>
      </c>
      <c r="H83">
        <v>0</v>
      </c>
      <c r="I83">
        <v>0</v>
      </c>
    </row>
    <row r="84" spans="1:9" x14ac:dyDescent="0.2">
      <c r="A84" t="s">
        <v>286</v>
      </c>
      <c r="B84" t="s">
        <v>405</v>
      </c>
      <c r="C84" t="s">
        <v>486</v>
      </c>
      <c r="D84">
        <v>0</v>
      </c>
      <c r="E84" t="s">
        <v>486</v>
      </c>
      <c r="F84" t="s">
        <v>540</v>
      </c>
      <c r="G84" t="s">
        <v>572</v>
      </c>
      <c r="H84">
        <v>0</v>
      </c>
      <c r="I84">
        <v>0</v>
      </c>
    </row>
    <row r="85" spans="1:9" x14ac:dyDescent="0.2">
      <c r="A85" t="s">
        <v>286</v>
      </c>
      <c r="B85" t="s">
        <v>406</v>
      </c>
      <c r="C85" t="s">
        <v>486</v>
      </c>
      <c r="D85">
        <v>0</v>
      </c>
      <c r="E85" t="s">
        <v>486</v>
      </c>
      <c r="F85" t="s">
        <v>536</v>
      </c>
      <c r="G85" t="s">
        <v>572</v>
      </c>
      <c r="H85">
        <v>0</v>
      </c>
      <c r="I85">
        <v>0</v>
      </c>
    </row>
    <row r="86" spans="1:9" x14ac:dyDescent="0.2">
      <c r="A86" t="s">
        <v>290</v>
      </c>
      <c r="B86" t="s">
        <v>407</v>
      </c>
      <c r="C86" t="s">
        <v>478</v>
      </c>
      <c r="D86">
        <v>0</v>
      </c>
      <c r="E86" t="s">
        <v>478</v>
      </c>
      <c r="F86" t="s">
        <v>544</v>
      </c>
      <c r="G86" t="s">
        <v>569</v>
      </c>
      <c r="H86">
        <v>0</v>
      </c>
      <c r="I86">
        <v>0</v>
      </c>
    </row>
    <row r="87" spans="1:9" x14ac:dyDescent="0.2">
      <c r="A87" t="s">
        <v>291</v>
      </c>
      <c r="B87" t="s">
        <v>408</v>
      </c>
      <c r="C87" t="s">
        <v>478</v>
      </c>
      <c r="D87">
        <v>0</v>
      </c>
      <c r="E87" t="s">
        <v>478</v>
      </c>
      <c r="F87" t="s">
        <v>545</v>
      </c>
      <c r="G87" t="s">
        <v>576</v>
      </c>
      <c r="H87">
        <v>0</v>
      </c>
      <c r="I87">
        <v>0</v>
      </c>
    </row>
    <row r="88" spans="1:9" x14ac:dyDescent="0.2">
      <c r="A88" t="s">
        <v>292</v>
      </c>
      <c r="B88" t="s">
        <v>409</v>
      </c>
      <c r="C88" t="s">
        <v>478</v>
      </c>
      <c r="D88">
        <v>0</v>
      </c>
      <c r="E88" t="s">
        <v>478</v>
      </c>
      <c r="F88" t="s">
        <v>546</v>
      </c>
      <c r="G88" t="s">
        <v>576</v>
      </c>
      <c r="H88">
        <v>0</v>
      </c>
      <c r="I88">
        <v>0</v>
      </c>
    </row>
    <row r="89" spans="1:9" x14ac:dyDescent="0.2">
      <c r="A89" t="s">
        <v>292</v>
      </c>
      <c r="B89" t="s">
        <v>410</v>
      </c>
      <c r="C89" t="s">
        <v>478</v>
      </c>
      <c r="D89">
        <v>0</v>
      </c>
      <c r="E89" t="s">
        <v>478</v>
      </c>
      <c r="F89" t="s">
        <v>547</v>
      </c>
      <c r="G89" t="s">
        <v>576</v>
      </c>
      <c r="H89">
        <v>0</v>
      </c>
      <c r="I89">
        <v>0</v>
      </c>
    </row>
    <row r="90" spans="1:9" x14ac:dyDescent="0.2">
      <c r="A90" t="s">
        <v>268</v>
      </c>
      <c r="B90" t="s">
        <v>411</v>
      </c>
      <c r="C90" t="s">
        <v>478</v>
      </c>
      <c r="D90">
        <v>0</v>
      </c>
      <c r="E90" t="s">
        <v>478</v>
      </c>
      <c r="F90" t="s">
        <v>520</v>
      </c>
      <c r="G90" t="s">
        <v>576</v>
      </c>
      <c r="H90">
        <v>0</v>
      </c>
      <c r="I90">
        <v>0</v>
      </c>
    </row>
    <row r="91" spans="1:9" x14ac:dyDescent="0.2">
      <c r="A91" t="s">
        <v>293</v>
      </c>
      <c r="B91" t="s">
        <v>412</v>
      </c>
      <c r="C91" t="s">
        <v>478</v>
      </c>
      <c r="D91">
        <v>0</v>
      </c>
      <c r="E91" t="s">
        <v>478</v>
      </c>
      <c r="F91" t="s">
        <v>536</v>
      </c>
      <c r="G91" t="s">
        <v>571</v>
      </c>
      <c r="H91">
        <v>0</v>
      </c>
      <c r="I91">
        <v>0</v>
      </c>
    </row>
    <row r="92" spans="1:9" x14ac:dyDescent="0.2">
      <c r="A92" t="s">
        <v>294</v>
      </c>
      <c r="B92" t="s">
        <v>413</v>
      </c>
      <c r="C92" t="s">
        <v>493</v>
      </c>
      <c r="D92">
        <v>0</v>
      </c>
      <c r="E92" t="s">
        <v>493</v>
      </c>
      <c r="F92" t="s">
        <v>548</v>
      </c>
      <c r="G92" t="s">
        <v>577</v>
      </c>
      <c r="H92">
        <v>0</v>
      </c>
      <c r="I92">
        <v>0</v>
      </c>
    </row>
    <row r="93" spans="1:9" x14ac:dyDescent="0.2">
      <c r="A93" t="s">
        <v>295</v>
      </c>
      <c r="B93" t="s">
        <v>414</v>
      </c>
      <c r="C93" t="s">
        <v>494</v>
      </c>
      <c r="D93">
        <v>0</v>
      </c>
      <c r="E93" t="s">
        <v>494</v>
      </c>
      <c r="F93" t="s">
        <v>549</v>
      </c>
      <c r="G93" t="s">
        <v>577</v>
      </c>
      <c r="H93">
        <v>0</v>
      </c>
      <c r="I93">
        <v>0</v>
      </c>
    </row>
    <row r="94" spans="1:9" x14ac:dyDescent="0.2">
      <c r="A94" t="s">
        <v>296</v>
      </c>
      <c r="B94" t="s">
        <v>415</v>
      </c>
      <c r="C94" t="s">
        <v>494</v>
      </c>
      <c r="D94">
        <v>0</v>
      </c>
      <c r="E94" t="s">
        <v>494</v>
      </c>
      <c r="F94" t="s">
        <v>550</v>
      </c>
      <c r="G94" t="s">
        <v>577</v>
      </c>
      <c r="H94">
        <v>0</v>
      </c>
      <c r="I94">
        <v>0</v>
      </c>
    </row>
    <row r="95" spans="1:9" x14ac:dyDescent="0.2">
      <c r="A95" t="s">
        <v>297</v>
      </c>
      <c r="B95" t="s">
        <v>416</v>
      </c>
      <c r="C95" t="s">
        <v>488</v>
      </c>
      <c r="D95">
        <v>0</v>
      </c>
      <c r="E95" t="s">
        <v>488</v>
      </c>
      <c r="F95" t="s">
        <v>551</v>
      </c>
      <c r="G95" t="s">
        <v>577</v>
      </c>
      <c r="H95">
        <v>0</v>
      </c>
      <c r="I95">
        <v>0</v>
      </c>
    </row>
    <row r="96" spans="1:9" x14ac:dyDescent="0.2">
      <c r="A96" t="s">
        <v>298</v>
      </c>
      <c r="B96" t="s">
        <v>417</v>
      </c>
      <c r="C96" t="s">
        <v>495</v>
      </c>
      <c r="D96">
        <v>0</v>
      </c>
      <c r="E96" t="s">
        <v>495</v>
      </c>
      <c r="F96" t="s">
        <v>552</v>
      </c>
      <c r="G96" t="s">
        <v>577</v>
      </c>
      <c r="H96">
        <v>0</v>
      </c>
      <c r="I96">
        <v>0</v>
      </c>
    </row>
    <row r="97" spans="1:9" x14ac:dyDescent="0.2">
      <c r="A97" t="s">
        <v>299</v>
      </c>
      <c r="B97" t="s">
        <v>418</v>
      </c>
      <c r="C97" t="s">
        <v>496</v>
      </c>
      <c r="D97">
        <v>0</v>
      </c>
      <c r="E97" t="s">
        <v>496</v>
      </c>
      <c r="F97" t="s">
        <v>516</v>
      </c>
      <c r="G97" t="s">
        <v>577</v>
      </c>
      <c r="H97">
        <v>0</v>
      </c>
      <c r="I97">
        <v>0</v>
      </c>
    </row>
    <row r="98" spans="1:9" x14ac:dyDescent="0.2">
      <c r="A98" t="s">
        <v>300</v>
      </c>
      <c r="B98" t="s">
        <v>419</v>
      </c>
      <c r="C98" t="s">
        <v>497</v>
      </c>
      <c r="D98">
        <v>0</v>
      </c>
      <c r="E98" t="s">
        <v>497</v>
      </c>
      <c r="F98" t="s">
        <v>553</v>
      </c>
      <c r="G98" t="s">
        <v>577</v>
      </c>
      <c r="H98">
        <v>0</v>
      </c>
      <c r="I98">
        <v>0</v>
      </c>
    </row>
    <row r="99" spans="1:9" x14ac:dyDescent="0.2">
      <c r="A99" t="s">
        <v>301</v>
      </c>
      <c r="B99" t="s">
        <v>420</v>
      </c>
      <c r="C99" t="s">
        <v>478</v>
      </c>
      <c r="D99">
        <v>0</v>
      </c>
      <c r="E99" t="s">
        <v>478</v>
      </c>
      <c r="F99" t="s">
        <v>516</v>
      </c>
      <c r="G99" t="s">
        <v>576</v>
      </c>
      <c r="H99">
        <v>0</v>
      </c>
      <c r="I99">
        <v>0</v>
      </c>
    </row>
    <row r="100" spans="1:9" x14ac:dyDescent="0.2">
      <c r="A100" t="s">
        <v>283</v>
      </c>
      <c r="B100" t="s">
        <v>421</v>
      </c>
      <c r="C100" t="s">
        <v>477</v>
      </c>
      <c r="D100">
        <v>0</v>
      </c>
      <c r="E100" t="s">
        <v>477</v>
      </c>
      <c r="F100" t="s">
        <v>540</v>
      </c>
      <c r="G100" t="s">
        <v>578</v>
      </c>
      <c r="H100">
        <v>0</v>
      </c>
      <c r="I100">
        <v>0</v>
      </c>
    </row>
    <row r="101" spans="1:9" x14ac:dyDescent="0.2">
      <c r="A101" t="s">
        <v>264</v>
      </c>
      <c r="B101" t="s">
        <v>422</v>
      </c>
      <c r="C101" t="s">
        <v>477</v>
      </c>
      <c r="D101">
        <v>0</v>
      </c>
      <c r="E101" t="s">
        <v>477</v>
      </c>
      <c r="F101" t="s">
        <v>541</v>
      </c>
      <c r="G101" t="s">
        <v>578</v>
      </c>
      <c r="H101">
        <v>0</v>
      </c>
      <c r="I101">
        <v>0</v>
      </c>
    </row>
    <row r="102" spans="1:9" x14ac:dyDescent="0.2">
      <c r="A102" t="s">
        <v>264</v>
      </c>
      <c r="B102" t="s">
        <v>423</v>
      </c>
      <c r="C102" t="s">
        <v>478</v>
      </c>
      <c r="D102">
        <v>0</v>
      </c>
      <c r="E102" t="s">
        <v>478</v>
      </c>
      <c r="F102" t="s">
        <v>516</v>
      </c>
      <c r="G102" t="s">
        <v>578</v>
      </c>
      <c r="H102">
        <v>0</v>
      </c>
      <c r="I102">
        <v>0</v>
      </c>
    </row>
    <row r="103" spans="1:9" x14ac:dyDescent="0.2">
      <c r="A103" t="s">
        <v>301</v>
      </c>
      <c r="B103" t="s">
        <v>424</v>
      </c>
      <c r="C103" t="s">
        <v>478</v>
      </c>
      <c r="D103">
        <v>0</v>
      </c>
      <c r="E103" t="s">
        <v>478</v>
      </c>
      <c r="F103" t="s">
        <v>537</v>
      </c>
      <c r="G103" t="s">
        <v>576</v>
      </c>
      <c r="H103">
        <v>0</v>
      </c>
      <c r="I103">
        <v>0</v>
      </c>
    </row>
    <row r="104" spans="1:9" x14ac:dyDescent="0.2">
      <c r="A104" t="s">
        <v>283</v>
      </c>
      <c r="B104" t="s">
        <v>425</v>
      </c>
      <c r="C104" t="s">
        <v>498</v>
      </c>
      <c r="D104">
        <v>0</v>
      </c>
      <c r="E104" t="s">
        <v>498</v>
      </c>
      <c r="F104" t="s">
        <v>529</v>
      </c>
      <c r="G104" t="s">
        <v>578</v>
      </c>
      <c r="H104">
        <v>0</v>
      </c>
      <c r="I104">
        <v>0</v>
      </c>
    </row>
    <row r="105" spans="1:9" x14ac:dyDescent="0.2">
      <c r="A105" t="s">
        <v>302</v>
      </c>
      <c r="B105" t="s">
        <v>426</v>
      </c>
      <c r="C105" t="s">
        <v>478</v>
      </c>
      <c r="D105">
        <v>0</v>
      </c>
      <c r="E105" t="s">
        <v>478</v>
      </c>
      <c r="F105" t="s">
        <v>529</v>
      </c>
      <c r="G105" t="s">
        <v>579</v>
      </c>
      <c r="H105">
        <v>0</v>
      </c>
      <c r="I105">
        <v>0</v>
      </c>
    </row>
    <row r="106" spans="1:9" x14ac:dyDescent="0.2">
      <c r="A106" t="s">
        <v>285</v>
      </c>
      <c r="B106" t="s">
        <v>427</v>
      </c>
      <c r="C106" t="s">
        <v>499</v>
      </c>
      <c r="D106">
        <v>0</v>
      </c>
      <c r="E106" t="s">
        <v>499</v>
      </c>
      <c r="F106" t="s">
        <v>542</v>
      </c>
      <c r="G106" t="s">
        <v>577</v>
      </c>
      <c r="H106">
        <v>0</v>
      </c>
      <c r="I106">
        <v>0</v>
      </c>
    </row>
    <row r="107" spans="1:9" x14ac:dyDescent="0.2">
      <c r="A107" t="s">
        <v>303</v>
      </c>
      <c r="B107" t="s">
        <v>428</v>
      </c>
      <c r="C107" t="s">
        <v>500</v>
      </c>
      <c r="D107">
        <v>0</v>
      </c>
      <c r="E107" t="s">
        <v>500</v>
      </c>
      <c r="F107" t="s">
        <v>546</v>
      </c>
      <c r="G107" t="s">
        <v>577</v>
      </c>
      <c r="H107">
        <v>0</v>
      </c>
      <c r="I107">
        <v>0</v>
      </c>
    </row>
    <row r="108" spans="1:9" x14ac:dyDescent="0.2">
      <c r="A108" t="s">
        <v>304</v>
      </c>
      <c r="B108" t="s">
        <v>429</v>
      </c>
      <c r="C108" t="s">
        <v>478</v>
      </c>
      <c r="D108">
        <v>0</v>
      </c>
      <c r="E108" t="s">
        <v>478</v>
      </c>
      <c r="F108" t="s">
        <v>554</v>
      </c>
      <c r="G108" t="s">
        <v>569</v>
      </c>
      <c r="H108">
        <v>0</v>
      </c>
      <c r="I108">
        <v>0</v>
      </c>
    </row>
    <row r="109" spans="1:9" x14ac:dyDescent="0.2">
      <c r="A109" t="s">
        <v>277</v>
      </c>
      <c r="B109" t="s">
        <v>430</v>
      </c>
      <c r="C109" t="s">
        <v>478</v>
      </c>
      <c r="D109">
        <v>0</v>
      </c>
      <c r="E109" t="s">
        <v>478</v>
      </c>
      <c r="F109" t="s">
        <v>539</v>
      </c>
      <c r="G109" t="s">
        <v>571</v>
      </c>
      <c r="H109">
        <v>0</v>
      </c>
      <c r="I109">
        <v>0</v>
      </c>
    </row>
    <row r="110" spans="1:9" x14ac:dyDescent="0.2">
      <c r="A110" t="s">
        <v>277</v>
      </c>
      <c r="B110" t="s">
        <v>431</v>
      </c>
      <c r="C110" t="s">
        <v>478</v>
      </c>
      <c r="D110">
        <v>0</v>
      </c>
      <c r="E110" t="s">
        <v>478</v>
      </c>
      <c r="F110" t="s">
        <v>534</v>
      </c>
      <c r="G110" t="s">
        <v>571</v>
      </c>
      <c r="H110">
        <v>0</v>
      </c>
      <c r="I110">
        <v>0</v>
      </c>
    </row>
    <row r="111" spans="1:9" x14ac:dyDescent="0.2">
      <c r="A111" t="s">
        <v>277</v>
      </c>
      <c r="B111" t="s">
        <v>432</v>
      </c>
      <c r="C111" t="s">
        <v>501</v>
      </c>
      <c r="D111">
        <v>0</v>
      </c>
      <c r="E111" t="s">
        <v>501</v>
      </c>
      <c r="F111" t="s">
        <v>555</v>
      </c>
      <c r="G111" t="s">
        <v>571</v>
      </c>
      <c r="H111">
        <v>0</v>
      </c>
      <c r="I111">
        <v>0</v>
      </c>
    </row>
    <row r="112" spans="1:9" x14ac:dyDescent="0.2">
      <c r="A112" t="s">
        <v>263</v>
      </c>
      <c r="B112" t="s">
        <v>433</v>
      </c>
      <c r="C112" t="s">
        <v>502</v>
      </c>
      <c r="D112">
        <v>0</v>
      </c>
      <c r="E112" t="s">
        <v>502</v>
      </c>
      <c r="F112" t="s">
        <v>556</v>
      </c>
      <c r="G112" t="s">
        <v>580</v>
      </c>
      <c r="H112">
        <v>0</v>
      </c>
      <c r="I112">
        <v>0</v>
      </c>
    </row>
    <row r="113" spans="1:9" x14ac:dyDescent="0.2">
      <c r="A113" t="s">
        <v>268</v>
      </c>
      <c r="B113" t="s">
        <v>434</v>
      </c>
      <c r="C113" t="s">
        <v>478</v>
      </c>
      <c r="D113">
        <v>0</v>
      </c>
      <c r="E113" t="s">
        <v>478</v>
      </c>
      <c r="F113" t="s">
        <v>520</v>
      </c>
      <c r="G113" t="s">
        <v>571</v>
      </c>
      <c r="H113">
        <v>0</v>
      </c>
      <c r="I113">
        <v>0</v>
      </c>
    </row>
    <row r="114" spans="1:9" x14ac:dyDescent="0.2">
      <c r="A114" t="s">
        <v>305</v>
      </c>
      <c r="B114" t="s">
        <v>435</v>
      </c>
      <c r="C114" t="s">
        <v>478</v>
      </c>
      <c r="D114">
        <v>0</v>
      </c>
      <c r="E114" t="s">
        <v>478</v>
      </c>
      <c r="F114" t="s">
        <v>557</v>
      </c>
      <c r="G114" t="s">
        <v>569</v>
      </c>
      <c r="H114">
        <v>0</v>
      </c>
      <c r="I114">
        <v>0</v>
      </c>
    </row>
    <row r="115" spans="1:9" x14ac:dyDescent="0.2">
      <c r="A115" t="s">
        <v>306</v>
      </c>
      <c r="B115" t="s">
        <v>436</v>
      </c>
      <c r="C115" t="s">
        <v>478</v>
      </c>
      <c r="D115">
        <v>0</v>
      </c>
      <c r="E115" t="s">
        <v>478</v>
      </c>
      <c r="F115" t="s">
        <v>558</v>
      </c>
      <c r="G115" t="s">
        <v>569</v>
      </c>
      <c r="H115">
        <v>0</v>
      </c>
      <c r="I115">
        <v>0</v>
      </c>
    </row>
    <row r="116" spans="1:9" x14ac:dyDescent="0.2">
      <c r="A116" t="s">
        <v>307</v>
      </c>
      <c r="B116" t="s">
        <v>437</v>
      </c>
      <c r="C116" t="s">
        <v>478</v>
      </c>
      <c r="D116">
        <v>0</v>
      </c>
      <c r="E116" t="s">
        <v>478</v>
      </c>
      <c r="F116" t="s">
        <v>559</v>
      </c>
      <c r="G116" t="s">
        <v>574</v>
      </c>
      <c r="H116">
        <v>0</v>
      </c>
      <c r="I116">
        <v>0</v>
      </c>
    </row>
    <row r="117" spans="1:9" x14ac:dyDescent="0.2">
      <c r="A117" t="s">
        <v>308</v>
      </c>
      <c r="B117" t="s">
        <v>438</v>
      </c>
      <c r="C117" t="s">
        <v>478</v>
      </c>
      <c r="D117">
        <v>0</v>
      </c>
      <c r="E117" t="s">
        <v>478</v>
      </c>
      <c r="F117" t="s">
        <v>560</v>
      </c>
      <c r="G117" t="s">
        <v>569</v>
      </c>
      <c r="H117">
        <v>0</v>
      </c>
      <c r="I117">
        <v>0</v>
      </c>
    </row>
    <row r="118" spans="1:9" x14ac:dyDescent="0.2">
      <c r="A118" t="s">
        <v>309</v>
      </c>
      <c r="B118" t="s">
        <v>439</v>
      </c>
      <c r="C118" t="s">
        <v>478</v>
      </c>
      <c r="D118">
        <v>0</v>
      </c>
      <c r="E118" t="s">
        <v>478</v>
      </c>
      <c r="F118" t="s">
        <v>558</v>
      </c>
      <c r="G118" t="s">
        <v>574</v>
      </c>
      <c r="H118">
        <v>0</v>
      </c>
      <c r="I118">
        <v>0</v>
      </c>
    </row>
    <row r="119" spans="1:9" x14ac:dyDescent="0.2">
      <c r="A119" t="s">
        <v>310</v>
      </c>
      <c r="B119" t="s">
        <v>440</v>
      </c>
      <c r="C119" t="s">
        <v>478</v>
      </c>
      <c r="D119">
        <v>0</v>
      </c>
      <c r="E119" t="s">
        <v>478</v>
      </c>
      <c r="F119" t="s">
        <v>561</v>
      </c>
      <c r="G119" t="s">
        <v>569</v>
      </c>
      <c r="H119">
        <v>0</v>
      </c>
      <c r="I119">
        <v>0</v>
      </c>
    </row>
    <row r="120" spans="1:9" x14ac:dyDescent="0.2">
      <c r="A120" t="s">
        <v>311</v>
      </c>
      <c r="B120" t="s">
        <v>441</v>
      </c>
      <c r="C120" t="s">
        <v>481</v>
      </c>
      <c r="D120">
        <v>0</v>
      </c>
      <c r="E120" t="s">
        <v>481</v>
      </c>
      <c r="F120" t="s">
        <v>527</v>
      </c>
      <c r="G120" t="s">
        <v>580</v>
      </c>
      <c r="H120">
        <v>0</v>
      </c>
      <c r="I120">
        <v>0</v>
      </c>
    </row>
    <row r="121" spans="1:9" x14ac:dyDescent="0.2">
      <c r="A121" t="s">
        <v>311</v>
      </c>
      <c r="B121" t="s">
        <v>442</v>
      </c>
      <c r="C121" t="s">
        <v>482</v>
      </c>
      <c r="D121">
        <v>0</v>
      </c>
      <c r="E121" t="s">
        <v>482</v>
      </c>
      <c r="F121" t="s">
        <v>562</v>
      </c>
      <c r="G121" t="s">
        <v>580</v>
      </c>
      <c r="H121">
        <v>0</v>
      </c>
      <c r="I121">
        <v>0</v>
      </c>
    </row>
    <row r="122" spans="1:9" x14ac:dyDescent="0.2">
      <c r="A122" t="s">
        <v>311</v>
      </c>
      <c r="B122" t="s">
        <v>443</v>
      </c>
      <c r="C122" t="s">
        <v>481</v>
      </c>
      <c r="D122">
        <v>0</v>
      </c>
      <c r="E122" t="s">
        <v>481</v>
      </c>
      <c r="F122" t="s">
        <v>563</v>
      </c>
      <c r="G122" t="s">
        <v>580</v>
      </c>
      <c r="H122">
        <v>0</v>
      </c>
      <c r="I122">
        <v>0</v>
      </c>
    </row>
    <row r="123" spans="1:9" x14ac:dyDescent="0.2">
      <c r="A123" t="s">
        <v>312</v>
      </c>
      <c r="B123" t="s">
        <v>444</v>
      </c>
      <c r="C123" t="s">
        <v>481</v>
      </c>
      <c r="D123">
        <v>0</v>
      </c>
      <c r="E123" t="s">
        <v>481</v>
      </c>
      <c r="F123" t="s">
        <v>526</v>
      </c>
      <c r="G123" t="s">
        <v>580</v>
      </c>
      <c r="H123">
        <v>0</v>
      </c>
      <c r="I123">
        <v>0</v>
      </c>
    </row>
    <row r="124" spans="1:9" x14ac:dyDescent="0.2">
      <c r="A124" t="s">
        <v>286</v>
      </c>
      <c r="B124" t="s">
        <v>445</v>
      </c>
      <c r="C124" t="s">
        <v>486</v>
      </c>
      <c r="D124">
        <v>0</v>
      </c>
      <c r="E124" t="s">
        <v>486</v>
      </c>
      <c r="F124" t="s">
        <v>542</v>
      </c>
      <c r="G124" t="s">
        <v>580</v>
      </c>
      <c r="H124">
        <v>0</v>
      </c>
      <c r="I124">
        <v>0</v>
      </c>
    </row>
    <row r="125" spans="1:9" x14ac:dyDescent="0.2">
      <c r="A125" t="s">
        <v>286</v>
      </c>
      <c r="B125" t="s">
        <v>446</v>
      </c>
      <c r="C125" t="s">
        <v>486</v>
      </c>
      <c r="D125">
        <v>0</v>
      </c>
      <c r="E125" t="s">
        <v>486</v>
      </c>
      <c r="F125" t="s">
        <v>541</v>
      </c>
      <c r="G125" t="s">
        <v>580</v>
      </c>
      <c r="H125">
        <v>0</v>
      </c>
      <c r="I125">
        <v>0</v>
      </c>
    </row>
    <row r="126" spans="1:9" x14ac:dyDescent="0.2">
      <c r="A126" t="s">
        <v>313</v>
      </c>
      <c r="B126" t="s">
        <v>447</v>
      </c>
      <c r="C126" t="s">
        <v>478</v>
      </c>
      <c r="D126">
        <v>0</v>
      </c>
      <c r="E126" t="s">
        <v>478</v>
      </c>
      <c r="F126" t="s">
        <v>516</v>
      </c>
      <c r="G126" t="s">
        <v>569</v>
      </c>
      <c r="H126">
        <v>0</v>
      </c>
      <c r="I126">
        <v>0</v>
      </c>
    </row>
    <row r="127" spans="1:9" x14ac:dyDescent="0.2">
      <c r="A127" t="s">
        <v>314</v>
      </c>
      <c r="B127" t="s">
        <v>448</v>
      </c>
      <c r="C127" t="s">
        <v>478</v>
      </c>
      <c r="D127">
        <v>0</v>
      </c>
      <c r="E127" t="s">
        <v>478</v>
      </c>
      <c r="F127" t="s">
        <v>516</v>
      </c>
      <c r="G127" t="s">
        <v>569</v>
      </c>
      <c r="H127">
        <v>0</v>
      </c>
      <c r="I127">
        <v>0</v>
      </c>
    </row>
    <row r="128" spans="1:9" x14ac:dyDescent="0.2">
      <c r="A128" t="s">
        <v>315</v>
      </c>
      <c r="B128" t="s">
        <v>449</v>
      </c>
      <c r="C128" t="s">
        <v>478</v>
      </c>
      <c r="D128">
        <v>0</v>
      </c>
      <c r="E128" t="s">
        <v>478</v>
      </c>
      <c r="F128" t="s">
        <v>530</v>
      </c>
      <c r="G128" t="s">
        <v>569</v>
      </c>
      <c r="H128">
        <v>0</v>
      </c>
      <c r="I128">
        <v>0</v>
      </c>
    </row>
    <row r="129" spans="1:9" x14ac:dyDescent="0.2">
      <c r="A129" t="s">
        <v>315</v>
      </c>
      <c r="B129" t="s">
        <v>450</v>
      </c>
      <c r="C129" t="s">
        <v>478</v>
      </c>
      <c r="D129">
        <v>0</v>
      </c>
      <c r="E129" t="s">
        <v>478</v>
      </c>
      <c r="F129" t="s">
        <v>530</v>
      </c>
      <c r="G129" t="s">
        <v>569</v>
      </c>
      <c r="H129">
        <v>0</v>
      </c>
      <c r="I129">
        <v>0</v>
      </c>
    </row>
    <row r="130" spans="1:9" x14ac:dyDescent="0.2">
      <c r="A130" t="s">
        <v>315</v>
      </c>
      <c r="B130" t="s">
        <v>451</v>
      </c>
      <c r="C130" t="s">
        <v>478</v>
      </c>
      <c r="D130">
        <v>0</v>
      </c>
      <c r="E130" t="s">
        <v>478</v>
      </c>
      <c r="F130" t="s">
        <v>530</v>
      </c>
      <c r="G130" t="s">
        <v>569</v>
      </c>
      <c r="H130">
        <v>0</v>
      </c>
      <c r="I130">
        <v>0</v>
      </c>
    </row>
    <row r="131" spans="1:9" x14ac:dyDescent="0.2">
      <c r="A131" t="s">
        <v>313</v>
      </c>
      <c r="B131" t="s">
        <v>452</v>
      </c>
      <c r="C131" t="s">
        <v>478</v>
      </c>
      <c r="D131">
        <v>0</v>
      </c>
      <c r="E131" t="s">
        <v>478</v>
      </c>
      <c r="F131" t="s">
        <v>524</v>
      </c>
      <c r="G131" t="s">
        <v>569</v>
      </c>
      <c r="H131">
        <v>0</v>
      </c>
      <c r="I131">
        <v>0</v>
      </c>
    </row>
    <row r="132" spans="1:9" x14ac:dyDescent="0.2">
      <c r="A132" t="s">
        <v>314</v>
      </c>
      <c r="B132" t="s">
        <v>453</v>
      </c>
      <c r="C132" t="s">
        <v>478</v>
      </c>
      <c r="D132">
        <v>0</v>
      </c>
      <c r="E132" t="s">
        <v>478</v>
      </c>
      <c r="F132" t="s">
        <v>538</v>
      </c>
      <c r="G132" t="s">
        <v>569</v>
      </c>
      <c r="H132">
        <v>0</v>
      </c>
      <c r="I132">
        <v>0</v>
      </c>
    </row>
    <row r="133" spans="1:9" x14ac:dyDescent="0.2">
      <c r="A133" t="s">
        <v>314</v>
      </c>
      <c r="B133" t="s">
        <v>454</v>
      </c>
      <c r="C133" t="s">
        <v>478</v>
      </c>
      <c r="D133">
        <v>0</v>
      </c>
      <c r="E133" t="s">
        <v>478</v>
      </c>
      <c r="F133" t="s">
        <v>530</v>
      </c>
      <c r="G133" t="s">
        <v>569</v>
      </c>
      <c r="H133">
        <v>0</v>
      </c>
      <c r="I133">
        <v>0</v>
      </c>
    </row>
    <row r="134" spans="1:9" x14ac:dyDescent="0.2">
      <c r="A134" t="s">
        <v>314</v>
      </c>
      <c r="B134" t="s">
        <v>455</v>
      </c>
      <c r="C134" t="s">
        <v>478</v>
      </c>
      <c r="D134">
        <v>0</v>
      </c>
      <c r="E134" t="s">
        <v>478</v>
      </c>
      <c r="F134" t="s">
        <v>538</v>
      </c>
      <c r="G134" t="s">
        <v>569</v>
      </c>
      <c r="H134">
        <v>0</v>
      </c>
      <c r="I134">
        <v>0</v>
      </c>
    </row>
    <row r="135" spans="1:9" x14ac:dyDescent="0.2">
      <c r="A135" t="s">
        <v>314</v>
      </c>
      <c r="B135" t="s">
        <v>456</v>
      </c>
      <c r="C135" t="s">
        <v>478</v>
      </c>
      <c r="D135">
        <v>0</v>
      </c>
      <c r="E135" t="s">
        <v>478</v>
      </c>
      <c r="F135" t="s">
        <v>530</v>
      </c>
      <c r="G135" t="s">
        <v>569</v>
      </c>
      <c r="H135">
        <v>0</v>
      </c>
      <c r="I135">
        <v>0</v>
      </c>
    </row>
    <row r="136" spans="1:9" x14ac:dyDescent="0.2">
      <c r="A136" t="s">
        <v>277</v>
      </c>
      <c r="B136" t="s">
        <v>457</v>
      </c>
      <c r="C136" t="s">
        <v>501</v>
      </c>
      <c r="D136">
        <v>0</v>
      </c>
      <c r="E136" t="s">
        <v>501</v>
      </c>
      <c r="F136" t="s">
        <v>564</v>
      </c>
      <c r="G136" t="s">
        <v>571</v>
      </c>
      <c r="H136">
        <v>0</v>
      </c>
      <c r="I136">
        <v>0</v>
      </c>
    </row>
    <row r="137" spans="1:9" x14ac:dyDescent="0.2">
      <c r="A137" t="s">
        <v>263</v>
      </c>
      <c r="B137" t="s">
        <v>458</v>
      </c>
      <c r="C137" t="s">
        <v>476</v>
      </c>
      <c r="D137">
        <v>0</v>
      </c>
      <c r="E137" t="s">
        <v>476</v>
      </c>
      <c r="F137" t="s">
        <v>565</v>
      </c>
      <c r="G137" t="s">
        <v>580</v>
      </c>
      <c r="H137">
        <v>0</v>
      </c>
      <c r="I137">
        <v>0</v>
      </c>
    </row>
    <row r="138" spans="1:9" x14ac:dyDescent="0.2">
      <c r="A138" t="s">
        <v>316</v>
      </c>
      <c r="B138" t="s">
        <v>459</v>
      </c>
      <c r="C138" t="s">
        <v>478</v>
      </c>
      <c r="D138">
        <v>0</v>
      </c>
      <c r="E138" t="s">
        <v>478</v>
      </c>
      <c r="F138" t="s">
        <v>557</v>
      </c>
      <c r="G138" t="s">
        <v>569</v>
      </c>
      <c r="H138">
        <v>0</v>
      </c>
      <c r="I138">
        <v>0</v>
      </c>
    </row>
    <row r="139" spans="1:9" x14ac:dyDescent="0.2">
      <c r="A139" t="s">
        <v>317</v>
      </c>
      <c r="B139" t="s">
        <v>460</v>
      </c>
      <c r="C139" t="s">
        <v>478</v>
      </c>
      <c r="D139">
        <v>0</v>
      </c>
      <c r="E139" t="s">
        <v>478</v>
      </c>
      <c r="F139" t="s">
        <v>560</v>
      </c>
      <c r="G139" t="s">
        <v>569</v>
      </c>
      <c r="H139">
        <v>0</v>
      </c>
      <c r="I139">
        <v>0</v>
      </c>
    </row>
    <row r="140" spans="1:9" x14ac:dyDescent="0.2">
      <c r="A140" t="s">
        <v>318</v>
      </c>
      <c r="B140" t="s">
        <v>461</v>
      </c>
      <c r="C140" t="s">
        <v>478</v>
      </c>
      <c r="D140">
        <v>0</v>
      </c>
      <c r="E140" t="s">
        <v>478</v>
      </c>
      <c r="F140" t="s">
        <v>561</v>
      </c>
      <c r="G140" t="s">
        <v>574</v>
      </c>
      <c r="H140">
        <v>0</v>
      </c>
      <c r="I140">
        <v>0</v>
      </c>
    </row>
    <row r="141" spans="1:9" x14ac:dyDescent="0.2">
      <c r="A141" t="s">
        <v>319</v>
      </c>
      <c r="B141" t="s">
        <v>462</v>
      </c>
      <c r="C141" t="s">
        <v>482</v>
      </c>
      <c r="D141">
        <v>0</v>
      </c>
      <c r="E141" t="s">
        <v>482</v>
      </c>
      <c r="F141" t="s">
        <v>526</v>
      </c>
      <c r="G141" t="s">
        <v>580</v>
      </c>
      <c r="H141">
        <v>0</v>
      </c>
      <c r="I141">
        <v>0</v>
      </c>
    </row>
    <row r="142" spans="1:9" x14ac:dyDescent="0.2">
      <c r="A142" t="s">
        <v>320</v>
      </c>
      <c r="B142" t="s">
        <v>463</v>
      </c>
      <c r="C142" t="s">
        <v>488</v>
      </c>
      <c r="D142">
        <v>0</v>
      </c>
      <c r="E142" t="s">
        <v>488</v>
      </c>
      <c r="F142" t="s">
        <v>562</v>
      </c>
      <c r="G142" t="s">
        <v>580</v>
      </c>
      <c r="H142">
        <v>0</v>
      </c>
      <c r="I142">
        <v>0</v>
      </c>
    </row>
    <row r="143" spans="1:9" x14ac:dyDescent="0.2">
      <c r="A143" t="s">
        <v>319</v>
      </c>
      <c r="B143" t="s">
        <v>464</v>
      </c>
      <c r="C143" t="s">
        <v>482</v>
      </c>
      <c r="D143">
        <v>0</v>
      </c>
      <c r="E143" t="s">
        <v>482</v>
      </c>
      <c r="F143" t="s">
        <v>563</v>
      </c>
      <c r="G143" t="s">
        <v>580</v>
      </c>
      <c r="H143">
        <v>0</v>
      </c>
      <c r="I143">
        <v>0</v>
      </c>
    </row>
    <row r="144" spans="1:9" x14ac:dyDescent="0.2">
      <c r="A144" t="s">
        <v>319</v>
      </c>
      <c r="B144" t="s">
        <v>465</v>
      </c>
      <c r="C144" t="s">
        <v>481</v>
      </c>
      <c r="D144">
        <v>0</v>
      </c>
      <c r="E144" t="s">
        <v>481</v>
      </c>
      <c r="F144" t="s">
        <v>526</v>
      </c>
      <c r="G144" t="s">
        <v>580</v>
      </c>
      <c r="H144">
        <v>0</v>
      </c>
      <c r="I144">
        <v>0</v>
      </c>
    </row>
    <row r="145" spans="1:9" x14ac:dyDescent="0.2">
      <c r="A145" t="s">
        <v>321</v>
      </c>
      <c r="B145" t="s">
        <v>466</v>
      </c>
      <c r="C145" t="s">
        <v>488</v>
      </c>
      <c r="D145">
        <v>0</v>
      </c>
      <c r="E145" t="s">
        <v>488</v>
      </c>
      <c r="F145" t="s">
        <v>547</v>
      </c>
      <c r="G145" t="s">
        <v>574</v>
      </c>
      <c r="H145">
        <v>0</v>
      </c>
      <c r="I145">
        <v>0</v>
      </c>
    </row>
    <row r="146" spans="1:9" x14ac:dyDescent="0.2">
      <c r="A146" t="s">
        <v>322</v>
      </c>
      <c r="B146" t="s">
        <v>467</v>
      </c>
      <c r="C146" t="s">
        <v>482</v>
      </c>
      <c r="D146">
        <v>0</v>
      </c>
      <c r="E146" t="s">
        <v>482</v>
      </c>
      <c r="F146" t="s">
        <v>566</v>
      </c>
      <c r="G146" t="s">
        <v>574</v>
      </c>
      <c r="H146">
        <v>0</v>
      </c>
      <c r="I146">
        <v>0</v>
      </c>
    </row>
    <row r="147" spans="1:9" x14ac:dyDescent="0.2">
      <c r="A147" t="s">
        <v>283</v>
      </c>
      <c r="B147" t="s">
        <v>468</v>
      </c>
      <c r="C147" t="s">
        <v>478</v>
      </c>
      <c r="D147">
        <v>0</v>
      </c>
      <c r="E147" t="s">
        <v>478</v>
      </c>
      <c r="F147" t="s">
        <v>524</v>
      </c>
      <c r="G147" t="s">
        <v>581</v>
      </c>
      <c r="H147">
        <v>0</v>
      </c>
      <c r="I147">
        <v>0</v>
      </c>
    </row>
    <row r="148" spans="1:9" x14ac:dyDescent="0.2">
      <c r="A148" t="s">
        <v>275</v>
      </c>
      <c r="B148" t="s">
        <v>469</v>
      </c>
      <c r="C148" t="s">
        <v>478</v>
      </c>
      <c r="D148">
        <v>0</v>
      </c>
      <c r="E148" t="s">
        <v>478</v>
      </c>
      <c r="F148" t="s">
        <v>530</v>
      </c>
      <c r="G148" t="s">
        <v>581</v>
      </c>
      <c r="H148">
        <v>0</v>
      </c>
      <c r="I148">
        <v>0</v>
      </c>
    </row>
    <row r="149" spans="1:9" x14ac:dyDescent="0.2">
      <c r="A149" t="s">
        <v>275</v>
      </c>
      <c r="B149" t="s">
        <v>470</v>
      </c>
      <c r="C149" t="s">
        <v>478</v>
      </c>
      <c r="D149">
        <v>0</v>
      </c>
      <c r="E149" t="s">
        <v>478</v>
      </c>
      <c r="F149" t="s">
        <v>530</v>
      </c>
      <c r="G149" t="s">
        <v>581</v>
      </c>
      <c r="H149">
        <v>0</v>
      </c>
      <c r="I149">
        <v>0</v>
      </c>
    </row>
    <row r="150" spans="1:9" x14ac:dyDescent="0.2">
      <c r="A150" t="s">
        <v>275</v>
      </c>
      <c r="B150" t="s">
        <v>471</v>
      </c>
      <c r="C150" t="s">
        <v>478</v>
      </c>
      <c r="D150">
        <v>0</v>
      </c>
      <c r="E150" t="s">
        <v>478</v>
      </c>
      <c r="F150" t="s">
        <v>530</v>
      </c>
      <c r="G150" t="s">
        <v>581</v>
      </c>
      <c r="H150">
        <v>0</v>
      </c>
      <c r="I150">
        <v>0</v>
      </c>
    </row>
    <row r="151" spans="1:9" x14ac:dyDescent="0.2">
      <c r="A151" t="s">
        <v>275</v>
      </c>
      <c r="B151" t="s">
        <v>472</v>
      </c>
      <c r="C151" t="s">
        <v>478</v>
      </c>
      <c r="D151">
        <v>0</v>
      </c>
      <c r="E151" t="s">
        <v>478</v>
      </c>
      <c r="F151" t="s">
        <v>530</v>
      </c>
      <c r="G151" t="s">
        <v>581</v>
      </c>
      <c r="H151">
        <v>0</v>
      </c>
      <c r="I151">
        <v>0</v>
      </c>
    </row>
    <row r="152" spans="1:9" x14ac:dyDescent="0.2">
      <c r="A152" t="s">
        <v>286</v>
      </c>
      <c r="B152" t="s">
        <v>473</v>
      </c>
      <c r="C152" t="s">
        <v>486</v>
      </c>
      <c r="D152">
        <v>0</v>
      </c>
      <c r="E152" t="s">
        <v>486</v>
      </c>
      <c r="F152" t="s">
        <v>542</v>
      </c>
      <c r="G152" t="s">
        <v>580</v>
      </c>
      <c r="H152">
        <v>0</v>
      </c>
      <c r="I152">
        <v>0</v>
      </c>
    </row>
    <row r="153" spans="1:9" x14ac:dyDescent="0.2">
      <c r="A153" t="s">
        <v>286</v>
      </c>
      <c r="B153" t="s">
        <v>474</v>
      </c>
      <c r="C153" t="s">
        <v>486</v>
      </c>
      <c r="D153">
        <v>0</v>
      </c>
      <c r="E153" t="s">
        <v>486</v>
      </c>
      <c r="F153" t="s">
        <v>542</v>
      </c>
      <c r="G153" t="s">
        <v>580</v>
      </c>
      <c r="H153">
        <v>0</v>
      </c>
      <c r="I153">
        <v>0</v>
      </c>
    </row>
    <row r="154" spans="1:9" x14ac:dyDescent="0.2">
      <c r="A154" t="s">
        <v>289</v>
      </c>
      <c r="B154" t="s">
        <v>475</v>
      </c>
      <c r="C154" t="s">
        <v>478</v>
      </c>
      <c r="D154">
        <v>0</v>
      </c>
      <c r="E154" t="s">
        <v>478</v>
      </c>
      <c r="F154" t="s">
        <v>559</v>
      </c>
      <c r="G154" t="s">
        <v>574</v>
      </c>
      <c r="H154">
        <v>0</v>
      </c>
      <c r="I154">
        <v>0</v>
      </c>
    </row>
    <row r="155" spans="1:9" x14ac:dyDescent="0.2">
      <c r="A155" t="s">
        <v>302</v>
      </c>
      <c r="B155" t="s">
        <v>302</v>
      </c>
      <c r="C155" t="s">
        <v>478</v>
      </c>
      <c r="D155">
        <v>0</v>
      </c>
      <c r="E155" t="s">
        <v>478</v>
      </c>
      <c r="F155" t="s">
        <v>567</v>
      </c>
      <c r="G155" t="s">
        <v>579</v>
      </c>
      <c r="H155">
        <v>0</v>
      </c>
      <c r="I155">
        <v>0</v>
      </c>
    </row>
    <row r="156" spans="1:9" x14ac:dyDescent="0.2">
      <c r="A156" t="s">
        <v>323</v>
      </c>
      <c r="B156" t="s">
        <v>302</v>
      </c>
      <c r="C156" t="s">
        <v>478</v>
      </c>
      <c r="D156">
        <v>0</v>
      </c>
      <c r="E156" t="s">
        <v>478</v>
      </c>
      <c r="F156" t="s">
        <v>568</v>
      </c>
      <c r="G156" t="s">
        <v>569</v>
      </c>
      <c r="H156">
        <v>0</v>
      </c>
      <c r="I156">
        <v>0</v>
      </c>
    </row>
    <row r="157" spans="1:9" x14ac:dyDescent="0.2">
      <c r="A157" t="s">
        <v>263</v>
      </c>
      <c r="B157" t="s">
        <v>324</v>
      </c>
      <c r="C157" t="s">
        <v>476</v>
      </c>
      <c r="D157" t="s">
        <v>503</v>
      </c>
      <c r="E157" t="s">
        <v>478</v>
      </c>
      <c r="F157" t="s">
        <v>515</v>
      </c>
      <c r="G157" t="s">
        <v>319</v>
      </c>
      <c r="H157">
        <v>512.20168843859256</v>
      </c>
      <c r="I157">
        <v>550</v>
      </c>
    </row>
    <row r="158" spans="1:9" x14ac:dyDescent="0.2">
      <c r="A158" t="s">
        <v>264</v>
      </c>
      <c r="B158" t="s">
        <v>325</v>
      </c>
      <c r="C158" t="s">
        <v>477</v>
      </c>
      <c r="D158" t="s">
        <v>504</v>
      </c>
      <c r="E158" t="s">
        <v>477</v>
      </c>
      <c r="F158" t="s">
        <v>516</v>
      </c>
      <c r="G158" t="s">
        <v>569</v>
      </c>
      <c r="H158">
        <v>137.34523897192631</v>
      </c>
      <c r="I158">
        <v>150</v>
      </c>
    </row>
    <row r="159" spans="1:9" x14ac:dyDescent="0.2">
      <c r="A159" t="s">
        <v>265</v>
      </c>
      <c r="B159" t="s">
        <v>326</v>
      </c>
      <c r="C159" t="s">
        <v>478</v>
      </c>
      <c r="D159" t="s">
        <v>505</v>
      </c>
      <c r="E159" t="s">
        <v>478</v>
      </c>
      <c r="F159" t="s">
        <v>517</v>
      </c>
      <c r="G159" t="s">
        <v>570</v>
      </c>
      <c r="H159">
        <v>0</v>
      </c>
      <c r="I159">
        <v>0</v>
      </c>
    </row>
    <row r="160" spans="1:9" x14ac:dyDescent="0.2">
      <c r="A160" t="s">
        <v>266</v>
      </c>
      <c r="B160" t="s">
        <v>327</v>
      </c>
      <c r="C160" t="s">
        <v>479</v>
      </c>
      <c r="D160" t="s">
        <v>506</v>
      </c>
      <c r="E160" t="s">
        <v>479</v>
      </c>
      <c r="F160" t="s">
        <v>518</v>
      </c>
      <c r="G160" t="s">
        <v>571</v>
      </c>
      <c r="H160">
        <v>437.1338624340375</v>
      </c>
      <c r="I160">
        <v>450</v>
      </c>
    </row>
    <row r="161" spans="1:9" x14ac:dyDescent="0.2">
      <c r="A161" t="s">
        <v>267</v>
      </c>
      <c r="B161" t="s">
        <v>328</v>
      </c>
      <c r="C161" t="s">
        <v>480</v>
      </c>
      <c r="D161" t="s">
        <v>507</v>
      </c>
      <c r="E161" t="s">
        <v>480</v>
      </c>
      <c r="F161" t="s">
        <v>519</v>
      </c>
      <c r="G161" t="s">
        <v>572</v>
      </c>
      <c r="H161">
        <v>0</v>
      </c>
      <c r="I161">
        <v>0</v>
      </c>
    </row>
    <row r="162" spans="1:9" x14ac:dyDescent="0.2">
      <c r="A162" t="s">
        <v>268</v>
      </c>
      <c r="B162" t="s">
        <v>329</v>
      </c>
      <c r="C162" t="s">
        <v>478</v>
      </c>
      <c r="D162" t="s">
        <v>505</v>
      </c>
      <c r="E162" t="s">
        <v>478</v>
      </c>
      <c r="F162" t="s">
        <v>520</v>
      </c>
      <c r="G162" t="s">
        <v>571</v>
      </c>
      <c r="H162">
        <v>0</v>
      </c>
      <c r="I162">
        <v>0</v>
      </c>
    </row>
    <row r="163" spans="1:9" x14ac:dyDescent="0.2">
      <c r="A163" t="s">
        <v>268</v>
      </c>
      <c r="B163" t="s">
        <v>330</v>
      </c>
      <c r="C163" t="s">
        <v>478</v>
      </c>
      <c r="D163" t="s">
        <v>505</v>
      </c>
      <c r="E163" t="s">
        <v>478</v>
      </c>
      <c r="F163" t="s">
        <v>516</v>
      </c>
      <c r="G163" t="s">
        <v>571</v>
      </c>
      <c r="H163">
        <v>0</v>
      </c>
      <c r="I163">
        <v>0</v>
      </c>
    </row>
    <row r="164" spans="1:9" x14ac:dyDescent="0.2">
      <c r="A164" t="s">
        <v>268</v>
      </c>
      <c r="B164" t="s">
        <v>331</v>
      </c>
      <c r="C164" t="s">
        <v>478</v>
      </c>
      <c r="D164" t="s">
        <v>505</v>
      </c>
      <c r="E164" t="s">
        <v>478</v>
      </c>
      <c r="F164" t="s">
        <v>520</v>
      </c>
      <c r="G164" t="s">
        <v>571</v>
      </c>
      <c r="H164">
        <v>0</v>
      </c>
      <c r="I164">
        <v>0</v>
      </c>
    </row>
    <row r="165" spans="1:9" x14ac:dyDescent="0.2">
      <c r="A165" t="s">
        <v>269</v>
      </c>
      <c r="B165" t="s">
        <v>332</v>
      </c>
      <c r="C165" t="s">
        <v>481</v>
      </c>
      <c r="D165" t="s">
        <v>508</v>
      </c>
      <c r="E165" t="s">
        <v>481</v>
      </c>
      <c r="F165" t="s">
        <v>521</v>
      </c>
      <c r="G165" t="s">
        <v>573</v>
      </c>
      <c r="H165">
        <v>0</v>
      </c>
      <c r="I165">
        <v>0</v>
      </c>
    </row>
    <row r="166" spans="1:9" x14ac:dyDescent="0.2">
      <c r="A166" t="s">
        <v>270</v>
      </c>
      <c r="B166" t="s">
        <v>333</v>
      </c>
      <c r="C166" t="s">
        <v>481</v>
      </c>
      <c r="D166" t="s">
        <v>508</v>
      </c>
      <c r="E166" t="s">
        <v>481</v>
      </c>
      <c r="F166" t="s">
        <v>522</v>
      </c>
      <c r="G166" t="s">
        <v>573</v>
      </c>
      <c r="H166">
        <v>0</v>
      </c>
      <c r="I166">
        <v>0</v>
      </c>
    </row>
    <row r="167" spans="1:9" x14ac:dyDescent="0.2">
      <c r="A167" t="s">
        <v>270</v>
      </c>
      <c r="B167" t="s">
        <v>334</v>
      </c>
      <c r="C167" t="s">
        <v>481</v>
      </c>
      <c r="D167" t="s">
        <v>508</v>
      </c>
      <c r="E167" t="s">
        <v>481</v>
      </c>
      <c r="F167" t="s">
        <v>523</v>
      </c>
      <c r="G167" t="s">
        <v>573</v>
      </c>
      <c r="H167">
        <v>0</v>
      </c>
      <c r="I167">
        <v>0</v>
      </c>
    </row>
    <row r="168" spans="1:9" x14ac:dyDescent="0.2">
      <c r="A168" t="s">
        <v>271</v>
      </c>
      <c r="B168" t="s">
        <v>335</v>
      </c>
      <c r="C168" t="s">
        <v>478</v>
      </c>
      <c r="D168" t="s">
        <v>505</v>
      </c>
      <c r="E168" t="s">
        <v>478</v>
      </c>
      <c r="F168" t="s">
        <v>524</v>
      </c>
      <c r="G168" t="s">
        <v>574</v>
      </c>
      <c r="H168">
        <v>0</v>
      </c>
      <c r="I168">
        <v>0</v>
      </c>
    </row>
    <row r="169" spans="1:9" x14ac:dyDescent="0.2">
      <c r="A169" t="s">
        <v>269</v>
      </c>
      <c r="B169" t="s">
        <v>336</v>
      </c>
      <c r="C169" t="s">
        <v>481</v>
      </c>
      <c r="D169" t="s">
        <v>508</v>
      </c>
      <c r="E169" t="s">
        <v>481</v>
      </c>
      <c r="F169" t="s">
        <v>525</v>
      </c>
      <c r="G169" t="s">
        <v>573</v>
      </c>
      <c r="H169">
        <v>0</v>
      </c>
      <c r="I169">
        <v>0</v>
      </c>
    </row>
    <row r="170" spans="1:9" x14ac:dyDescent="0.2">
      <c r="A170" t="s">
        <v>272</v>
      </c>
      <c r="B170" t="s">
        <v>337</v>
      </c>
      <c r="C170" t="s">
        <v>481</v>
      </c>
      <c r="D170" t="s">
        <v>508</v>
      </c>
      <c r="E170" t="s">
        <v>481</v>
      </c>
      <c r="F170" t="s">
        <v>526</v>
      </c>
      <c r="G170" t="s">
        <v>572</v>
      </c>
      <c r="H170">
        <v>0</v>
      </c>
      <c r="I170">
        <v>0</v>
      </c>
    </row>
    <row r="171" spans="1:9" x14ac:dyDescent="0.2">
      <c r="A171" t="s">
        <v>272</v>
      </c>
      <c r="B171" t="s">
        <v>338</v>
      </c>
      <c r="C171" t="s">
        <v>481</v>
      </c>
      <c r="D171" t="s">
        <v>508</v>
      </c>
      <c r="E171" t="s">
        <v>481</v>
      </c>
      <c r="F171" t="s">
        <v>527</v>
      </c>
      <c r="G171" t="s">
        <v>572</v>
      </c>
      <c r="H171">
        <v>0</v>
      </c>
      <c r="I171">
        <v>0</v>
      </c>
    </row>
    <row r="172" spans="1:9" x14ac:dyDescent="0.2">
      <c r="A172" t="s">
        <v>273</v>
      </c>
      <c r="B172" t="s">
        <v>339</v>
      </c>
      <c r="C172" t="s">
        <v>481</v>
      </c>
      <c r="D172" t="s">
        <v>508</v>
      </c>
      <c r="E172" t="s">
        <v>481</v>
      </c>
      <c r="F172" t="s">
        <v>527</v>
      </c>
      <c r="G172" t="s">
        <v>572</v>
      </c>
      <c r="H172">
        <v>0</v>
      </c>
      <c r="I172">
        <v>0</v>
      </c>
    </row>
    <row r="173" spans="1:9" x14ac:dyDescent="0.2">
      <c r="A173" t="s">
        <v>273</v>
      </c>
      <c r="B173" t="s">
        <v>340</v>
      </c>
      <c r="C173" t="s">
        <v>482</v>
      </c>
      <c r="D173" t="s">
        <v>509</v>
      </c>
      <c r="E173" t="s">
        <v>482</v>
      </c>
      <c r="F173" t="s">
        <v>528</v>
      </c>
      <c r="G173" t="s">
        <v>572</v>
      </c>
      <c r="H173">
        <v>0</v>
      </c>
      <c r="I173">
        <v>0</v>
      </c>
    </row>
    <row r="174" spans="1:9" x14ac:dyDescent="0.2">
      <c r="A174" t="s">
        <v>273</v>
      </c>
      <c r="B174" t="s">
        <v>341</v>
      </c>
      <c r="C174" t="s">
        <v>481</v>
      </c>
      <c r="D174" t="s">
        <v>508</v>
      </c>
      <c r="E174" t="s">
        <v>481</v>
      </c>
      <c r="F174" t="s">
        <v>527</v>
      </c>
      <c r="G174" t="s">
        <v>572</v>
      </c>
      <c r="H174">
        <v>0</v>
      </c>
      <c r="I174">
        <v>0</v>
      </c>
    </row>
    <row r="175" spans="1:9" x14ac:dyDescent="0.2">
      <c r="A175" t="s">
        <v>273</v>
      </c>
      <c r="B175" t="s">
        <v>342</v>
      </c>
      <c r="C175" t="s">
        <v>481</v>
      </c>
      <c r="D175" t="s">
        <v>508</v>
      </c>
      <c r="E175" t="s">
        <v>481</v>
      </c>
      <c r="F175" t="s">
        <v>526</v>
      </c>
      <c r="G175" t="s">
        <v>572</v>
      </c>
      <c r="H175">
        <v>0</v>
      </c>
      <c r="I175">
        <v>0</v>
      </c>
    </row>
    <row r="176" spans="1:9" x14ac:dyDescent="0.2">
      <c r="A176" t="s">
        <v>274</v>
      </c>
      <c r="B176" t="s">
        <v>343</v>
      </c>
      <c r="C176" t="s">
        <v>483</v>
      </c>
      <c r="D176" t="s">
        <v>510</v>
      </c>
      <c r="E176" t="s">
        <v>483</v>
      </c>
      <c r="F176" t="s">
        <v>529</v>
      </c>
      <c r="G176" t="s">
        <v>575</v>
      </c>
      <c r="H176">
        <v>0</v>
      </c>
      <c r="I176">
        <v>0</v>
      </c>
    </row>
    <row r="177" spans="1:9" x14ac:dyDescent="0.2">
      <c r="A177" t="s">
        <v>275</v>
      </c>
      <c r="B177" t="s">
        <v>344</v>
      </c>
      <c r="C177" t="s">
        <v>478</v>
      </c>
      <c r="D177" t="s">
        <v>505</v>
      </c>
      <c r="E177" t="s">
        <v>477</v>
      </c>
      <c r="F177" t="s">
        <v>530</v>
      </c>
      <c r="G177" t="s">
        <v>575</v>
      </c>
      <c r="H177">
        <v>0</v>
      </c>
      <c r="I177">
        <v>0</v>
      </c>
    </row>
    <row r="178" spans="1:9" x14ac:dyDescent="0.2">
      <c r="A178" t="s">
        <v>275</v>
      </c>
      <c r="B178" t="s">
        <v>345</v>
      </c>
      <c r="C178" t="s">
        <v>478</v>
      </c>
      <c r="D178" t="s">
        <v>505</v>
      </c>
      <c r="E178" t="s">
        <v>477</v>
      </c>
      <c r="F178" t="s">
        <v>530</v>
      </c>
      <c r="G178" t="s">
        <v>575</v>
      </c>
      <c r="H178">
        <v>0</v>
      </c>
      <c r="I178">
        <v>0</v>
      </c>
    </row>
    <row r="179" spans="1:9" x14ac:dyDescent="0.2">
      <c r="A179" t="s">
        <v>275</v>
      </c>
      <c r="B179" t="s">
        <v>346</v>
      </c>
      <c r="C179" t="s">
        <v>478</v>
      </c>
      <c r="D179" t="s">
        <v>505</v>
      </c>
      <c r="E179" t="s">
        <v>477</v>
      </c>
      <c r="F179" t="s">
        <v>530</v>
      </c>
      <c r="G179" t="s">
        <v>575</v>
      </c>
      <c r="H179">
        <v>0</v>
      </c>
      <c r="I179">
        <v>0</v>
      </c>
    </row>
    <row r="180" spans="1:9" x14ac:dyDescent="0.2">
      <c r="A180" t="s">
        <v>275</v>
      </c>
      <c r="B180" t="s">
        <v>347</v>
      </c>
      <c r="C180" t="s">
        <v>478</v>
      </c>
      <c r="D180" t="s">
        <v>505</v>
      </c>
      <c r="E180" t="s">
        <v>477</v>
      </c>
      <c r="F180" t="s">
        <v>530</v>
      </c>
      <c r="G180" t="s">
        <v>575</v>
      </c>
      <c r="H180">
        <v>0</v>
      </c>
      <c r="I180">
        <v>0</v>
      </c>
    </row>
    <row r="181" spans="1:9" x14ac:dyDescent="0.2">
      <c r="A181" t="s">
        <v>275</v>
      </c>
      <c r="B181" t="s">
        <v>348</v>
      </c>
      <c r="C181" t="s">
        <v>478</v>
      </c>
      <c r="D181" t="s">
        <v>505</v>
      </c>
      <c r="E181" t="s">
        <v>477</v>
      </c>
      <c r="F181" t="s">
        <v>530</v>
      </c>
      <c r="G181" t="s">
        <v>575</v>
      </c>
      <c r="H181">
        <v>0</v>
      </c>
      <c r="I181">
        <v>0</v>
      </c>
    </row>
    <row r="182" spans="1:9" x14ac:dyDescent="0.2">
      <c r="A182" t="s">
        <v>275</v>
      </c>
      <c r="B182" t="s">
        <v>349</v>
      </c>
      <c r="C182" t="s">
        <v>478</v>
      </c>
      <c r="D182" t="s">
        <v>505</v>
      </c>
      <c r="E182" t="s">
        <v>477</v>
      </c>
      <c r="F182" t="s">
        <v>530</v>
      </c>
      <c r="G182" t="s">
        <v>575</v>
      </c>
      <c r="H182">
        <v>0</v>
      </c>
      <c r="I182">
        <v>0</v>
      </c>
    </row>
    <row r="183" spans="1:9" x14ac:dyDescent="0.2">
      <c r="A183" t="s">
        <v>275</v>
      </c>
      <c r="B183" t="s">
        <v>350</v>
      </c>
      <c r="C183" t="s">
        <v>478</v>
      </c>
      <c r="D183" t="s">
        <v>505</v>
      </c>
      <c r="E183" t="s">
        <v>477</v>
      </c>
      <c r="F183" t="s">
        <v>530</v>
      </c>
      <c r="G183" t="s">
        <v>575</v>
      </c>
      <c r="H183">
        <v>0</v>
      </c>
      <c r="I183">
        <v>0</v>
      </c>
    </row>
    <row r="184" spans="1:9" x14ac:dyDescent="0.2">
      <c r="A184" t="s">
        <v>275</v>
      </c>
      <c r="B184" t="s">
        <v>351</v>
      </c>
      <c r="C184" t="s">
        <v>478</v>
      </c>
      <c r="D184" t="s">
        <v>505</v>
      </c>
      <c r="E184" t="s">
        <v>477</v>
      </c>
      <c r="F184" t="s">
        <v>530</v>
      </c>
      <c r="G184" t="s">
        <v>575</v>
      </c>
      <c r="H184">
        <v>0</v>
      </c>
      <c r="I184">
        <v>0</v>
      </c>
    </row>
    <row r="185" spans="1:9" x14ac:dyDescent="0.2">
      <c r="A185" t="s">
        <v>275</v>
      </c>
      <c r="B185" t="s">
        <v>352</v>
      </c>
      <c r="C185" t="s">
        <v>478</v>
      </c>
      <c r="D185" t="s">
        <v>505</v>
      </c>
      <c r="E185" t="s">
        <v>477</v>
      </c>
      <c r="F185" t="s">
        <v>530</v>
      </c>
      <c r="G185" t="s">
        <v>575</v>
      </c>
      <c r="H185">
        <v>0</v>
      </c>
      <c r="I185">
        <v>0</v>
      </c>
    </row>
    <row r="186" spans="1:9" x14ac:dyDescent="0.2">
      <c r="A186" t="s">
        <v>264</v>
      </c>
      <c r="B186" t="s">
        <v>353</v>
      </c>
      <c r="C186" t="s">
        <v>478</v>
      </c>
      <c r="D186" t="s">
        <v>505</v>
      </c>
      <c r="E186" t="s">
        <v>477</v>
      </c>
      <c r="F186" t="s">
        <v>516</v>
      </c>
      <c r="G186" t="s">
        <v>575</v>
      </c>
      <c r="H186">
        <v>0</v>
      </c>
      <c r="I186">
        <v>0</v>
      </c>
    </row>
    <row r="187" spans="1:9" x14ac:dyDescent="0.2">
      <c r="A187" t="s">
        <v>276</v>
      </c>
      <c r="B187" t="s">
        <v>354</v>
      </c>
      <c r="C187" t="s">
        <v>484</v>
      </c>
      <c r="D187" t="s">
        <v>511</v>
      </c>
      <c r="E187" t="s">
        <v>484</v>
      </c>
      <c r="F187" t="s">
        <v>531</v>
      </c>
      <c r="G187" t="s">
        <v>575</v>
      </c>
      <c r="H187">
        <v>0</v>
      </c>
      <c r="I187">
        <v>0</v>
      </c>
    </row>
    <row r="188" spans="1:9" x14ac:dyDescent="0.2">
      <c r="A188" t="s">
        <v>275</v>
      </c>
      <c r="B188" t="s">
        <v>355</v>
      </c>
      <c r="C188" t="s">
        <v>478</v>
      </c>
      <c r="D188" t="s">
        <v>505</v>
      </c>
      <c r="E188" t="s">
        <v>477</v>
      </c>
      <c r="F188" t="s">
        <v>530</v>
      </c>
      <c r="G188" t="s">
        <v>575</v>
      </c>
      <c r="H188">
        <v>0</v>
      </c>
      <c r="I188">
        <v>0</v>
      </c>
    </row>
    <row r="189" spans="1:9" x14ac:dyDescent="0.2">
      <c r="A189" t="s">
        <v>275</v>
      </c>
      <c r="B189" t="s">
        <v>356</v>
      </c>
      <c r="C189" t="s">
        <v>478</v>
      </c>
      <c r="D189" t="s">
        <v>505</v>
      </c>
      <c r="E189" t="s">
        <v>477</v>
      </c>
      <c r="F189" t="s">
        <v>530</v>
      </c>
      <c r="G189" t="s">
        <v>575</v>
      </c>
      <c r="H189">
        <v>0</v>
      </c>
      <c r="I189">
        <v>0</v>
      </c>
    </row>
    <row r="190" spans="1:9" x14ac:dyDescent="0.2">
      <c r="A190" t="s">
        <v>275</v>
      </c>
      <c r="B190" t="s">
        <v>357</v>
      </c>
      <c r="C190" t="s">
        <v>478</v>
      </c>
      <c r="D190" t="s">
        <v>505</v>
      </c>
      <c r="E190" t="s">
        <v>477</v>
      </c>
      <c r="F190" t="s">
        <v>530</v>
      </c>
      <c r="G190" t="s">
        <v>575</v>
      </c>
      <c r="H190">
        <v>0</v>
      </c>
      <c r="I190">
        <v>0</v>
      </c>
    </row>
    <row r="191" spans="1:9" x14ac:dyDescent="0.2">
      <c r="A191" t="s">
        <v>275</v>
      </c>
      <c r="B191" t="s">
        <v>358</v>
      </c>
      <c r="C191" t="s">
        <v>478</v>
      </c>
      <c r="D191" t="s">
        <v>505</v>
      </c>
      <c r="E191" t="s">
        <v>477</v>
      </c>
      <c r="F191" t="s">
        <v>530</v>
      </c>
      <c r="G191" t="s">
        <v>575</v>
      </c>
      <c r="H191">
        <v>0</v>
      </c>
      <c r="I191">
        <v>0</v>
      </c>
    </row>
    <row r="192" spans="1:9" x14ac:dyDescent="0.2">
      <c r="A192" t="s">
        <v>275</v>
      </c>
      <c r="B192" t="s">
        <v>359</v>
      </c>
      <c r="C192" t="s">
        <v>478</v>
      </c>
      <c r="D192" t="s">
        <v>505</v>
      </c>
      <c r="E192" t="s">
        <v>477</v>
      </c>
      <c r="F192" t="s">
        <v>530</v>
      </c>
      <c r="G192" t="s">
        <v>575</v>
      </c>
      <c r="H192">
        <v>0</v>
      </c>
      <c r="I192">
        <v>0</v>
      </c>
    </row>
    <row r="193" spans="1:9" x14ac:dyDescent="0.2">
      <c r="A193" t="s">
        <v>275</v>
      </c>
      <c r="B193" t="s">
        <v>360</v>
      </c>
      <c r="C193" t="s">
        <v>478</v>
      </c>
      <c r="D193" t="s">
        <v>505</v>
      </c>
      <c r="E193" t="s">
        <v>477</v>
      </c>
      <c r="F193" t="s">
        <v>530</v>
      </c>
      <c r="G193" t="s">
        <v>575</v>
      </c>
      <c r="H193">
        <v>0</v>
      </c>
      <c r="I193">
        <v>0</v>
      </c>
    </row>
    <row r="194" spans="1:9" x14ac:dyDescent="0.2">
      <c r="A194" t="s">
        <v>264</v>
      </c>
      <c r="B194" t="s">
        <v>361</v>
      </c>
      <c r="C194" t="s">
        <v>478</v>
      </c>
      <c r="D194" t="s">
        <v>505</v>
      </c>
      <c r="E194" t="s">
        <v>477</v>
      </c>
      <c r="F194" t="s">
        <v>516</v>
      </c>
      <c r="G194" t="s">
        <v>575</v>
      </c>
      <c r="H194">
        <v>0</v>
      </c>
      <c r="I194">
        <v>0</v>
      </c>
    </row>
    <row r="195" spans="1:9" x14ac:dyDescent="0.2">
      <c r="A195" t="s">
        <v>265</v>
      </c>
      <c r="B195" t="s">
        <v>362</v>
      </c>
      <c r="C195" t="s">
        <v>478</v>
      </c>
      <c r="D195" t="s">
        <v>505</v>
      </c>
      <c r="E195" t="s">
        <v>491</v>
      </c>
      <c r="F195" t="s">
        <v>532</v>
      </c>
      <c r="G195" t="s">
        <v>570</v>
      </c>
      <c r="H195">
        <v>0</v>
      </c>
      <c r="I195">
        <v>0</v>
      </c>
    </row>
    <row r="196" spans="1:9" x14ac:dyDescent="0.2">
      <c r="A196" t="s">
        <v>277</v>
      </c>
      <c r="B196" t="s">
        <v>363</v>
      </c>
      <c r="C196" t="s">
        <v>485</v>
      </c>
      <c r="D196" t="s">
        <v>512</v>
      </c>
      <c r="E196" t="s">
        <v>485</v>
      </c>
      <c r="F196" t="s">
        <v>525</v>
      </c>
      <c r="G196" t="s">
        <v>571</v>
      </c>
      <c r="H196">
        <v>0</v>
      </c>
      <c r="I196">
        <v>0</v>
      </c>
    </row>
    <row r="197" spans="1:9" x14ac:dyDescent="0.2">
      <c r="A197" t="s">
        <v>267</v>
      </c>
      <c r="B197" t="s">
        <v>364</v>
      </c>
      <c r="C197" t="s">
        <v>480</v>
      </c>
      <c r="D197" t="s">
        <v>507</v>
      </c>
      <c r="E197" t="s">
        <v>480</v>
      </c>
      <c r="F197" t="s">
        <v>533</v>
      </c>
      <c r="G197" t="s">
        <v>572</v>
      </c>
      <c r="H197">
        <v>0</v>
      </c>
      <c r="I197">
        <v>0</v>
      </c>
    </row>
    <row r="198" spans="1:9" x14ac:dyDescent="0.2">
      <c r="A198" t="s">
        <v>278</v>
      </c>
      <c r="B198" t="s">
        <v>365</v>
      </c>
      <c r="C198" t="s">
        <v>486</v>
      </c>
      <c r="D198" t="s">
        <v>513</v>
      </c>
      <c r="E198" t="s">
        <v>486</v>
      </c>
      <c r="F198" t="s">
        <v>534</v>
      </c>
      <c r="G198" t="s">
        <v>573</v>
      </c>
      <c r="H198">
        <v>0</v>
      </c>
      <c r="I198">
        <v>0</v>
      </c>
    </row>
    <row r="199" spans="1:9" x14ac:dyDescent="0.2">
      <c r="A199" t="s">
        <v>278</v>
      </c>
      <c r="B199" t="s">
        <v>366</v>
      </c>
      <c r="C199" t="s">
        <v>486</v>
      </c>
      <c r="D199" t="s">
        <v>513</v>
      </c>
      <c r="E199" t="s">
        <v>486</v>
      </c>
      <c r="F199" t="s">
        <v>534</v>
      </c>
      <c r="G199" t="s">
        <v>573</v>
      </c>
      <c r="H199">
        <v>0</v>
      </c>
      <c r="I199">
        <v>0</v>
      </c>
    </row>
    <row r="200" spans="1:9" x14ac:dyDescent="0.2">
      <c r="A200" t="s">
        <v>279</v>
      </c>
      <c r="B200" t="s">
        <v>367</v>
      </c>
      <c r="C200" t="s">
        <v>487</v>
      </c>
      <c r="D200" t="s">
        <v>514</v>
      </c>
      <c r="E200" t="s">
        <v>487</v>
      </c>
      <c r="F200" t="s">
        <v>535</v>
      </c>
      <c r="G200" t="s">
        <v>573</v>
      </c>
      <c r="H200">
        <v>0</v>
      </c>
      <c r="I200">
        <v>0</v>
      </c>
    </row>
    <row r="201" spans="1:9" x14ac:dyDescent="0.2">
      <c r="A201" t="s">
        <v>279</v>
      </c>
      <c r="B201" t="s">
        <v>368</v>
      </c>
      <c r="C201" t="s">
        <v>487</v>
      </c>
      <c r="D201" t="s">
        <v>514</v>
      </c>
      <c r="E201" t="s">
        <v>487</v>
      </c>
      <c r="F201" t="s">
        <v>527</v>
      </c>
      <c r="G201" t="s">
        <v>573</v>
      </c>
      <c r="H201">
        <v>0</v>
      </c>
      <c r="I201">
        <v>0</v>
      </c>
    </row>
    <row r="202" spans="1:9" x14ac:dyDescent="0.2">
      <c r="A202" t="s">
        <v>280</v>
      </c>
      <c r="B202" t="s">
        <v>369</v>
      </c>
      <c r="C202" t="s">
        <v>482</v>
      </c>
      <c r="D202">
        <v>0</v>
      </c>
      <c r="E202" t="s">
        <v>482</v>
      </c>
      <c r="F202" t="s">
        <v>526</v>
      </c>
      <c r="G202" t="s">
        <v>572</v>
      </c>
      <c r="H202">
        <v>0</v>
      </c>
      <c r="I202">
        <v>0</v>
      </c>
    </row>
    <row r="203" spans="1:9" x14ac:dyDescent="0.2">
      <c r="A203" t="s">
        <v>280</v>
      </c>
      <c r="B203" t="s">
        <v>370</v>
      </c>
      <c r="C203" t="s">
        <v>482</v>
      </c>
      <c r="D203">
        <v>0</v>
      </c>
      <c r="E203" t="s">
        <v>482</v>
      </c>
      <c r="F203" t="s">
        <v>527</v>
      </c>
      <c r="G203" t="s">
        <v>572</v>
      </c>
      <c r="H203">
        <v>0</v>
      </c>
      <c r="I203">
        <v>0</v>
      </c>
    </row>
    <row r="204" spans="1:9" x14ac:dyDescent="0.2">
      <c r="A204" t="s">
        <v>272</v>
      </c>
      <c r="B204" t="s">
        <v>371</v>
      </c>
      <c r="C204" t="s">
        <v>482</v>
      </c>
      <c r="D204">
        <v>0</v>
      </c>
      <c r="E204" t="s">
        <v>482</v>
      </c>
      <c r="F204" t="s">
        <v>527</v>
      </c>
      <c r="G204" t="s">
        <v>572</v>
      </c>
      <c r="H204">
        <v>0</v>
      </c>
      <c r="I204">
        <v>0</v>
      </c>
    </row>
    <row r="205" spans="1:9" x14ac:dyDescent="0.2">
      <c r="A205" t="s">
        <v>272</v>
      </c>
      <c r="B205" t="s">
        <v>372</v>
      </c>
      <c r="C205" t="s">
        <v>488</v>
      </c>
      <c r="D205">
        <v>0</v>
      </c>
      <c r="E205" t="s">
        <v>488</v>
      </c>
      <c r="F205" t="s">
        <v>528</v>
      </c>
      <c r="G205" t="s">
        <v>572</v>
      </c>
      <c r="H205">
        <v>0</v>
      </c>
      <c r="I205">
        <v>0</v>
      </c>
    </row>
    <row r="206" spans="1:9" x14ac:dyDescent="0.2">
      <c r="A206" t="s">
        <v>281</v>
      </c>
      <c r="B206" t="s">
        <v>373</v>
      </c>
      <c r="C206" t="s">
        <v>482</v>
      </c>
      <c r="D206">
        <v>0</v>
      </c>
      <c r="E206" t="s">
        <v>482</v>
      </c>
      <c r="F206" t="s">
        <v>527</v>
      </c>
      <c r="G206" t="s">
        <v>572</v>
      </c>
      <c r="H206">
        <v>0</v>
      </c>
      <c r="I206">
        <v>0</v>
      </c>
    </row>
    <row r="207" spans="1:9" x14ac:dyDescent="0.2">
      <c r="A207" t="s">
        <v>273</v>
      </c>
      <c r="B207" t="s">
        <v>374</v>
      </c>
      <c r="C207" t="s">
        <v>481</v>
      </c>
      <c r="D207">
        <v>0</v>
      </c>
      <c r="E207" t="s">
        <v>481</v>
      </c>
      <c r="F207" t="s">
        <v>526</v>
      </c>
      <c r="G207" t="s">
        <v>572</v>
      </c>
      <c r="H207">
        <v>0</v>
      </c>
      <c r="I207">
        <v>0</v>
      </c>
    </row>
    <row r="208" spans="1:9" x14ac:dyDescent="0.2">
      <c r="A208" t="s">
        <v>282</v>
      </c>
      <c r="B208" t="s">
        <v>375</v>
      </c>
      <c r="C208" t="s">
        <v>489</v>
      </c>
      <c r="D208">
        <v>0</v>
      </c>
      <c r="E208" t="s">
        <v>489</v>
      </c>
      <c r="F208" t="s">
        <v>526</v>
      </c>
      <c r="G208" t="s">
        <v>572</v>
      </c>
      <c r="H208">
        <v>0</v>
      </c>
      <c r="I208">
        <v>0</v>
      </c>
    </row>
    <row r="209" spans="1:9" x14ac:dyDescent="0.2">
      <c r="A209" t="s">
        <v>283</v>
      </c>
      <c r="B209" t="s">
        <v>376</v>
      </c>
      <c r="C209" t="s">
        <v>490</v>
      </c>
      <c r="D209">
        <v>0</v>
      </c>
      <c r="E209" t="s">
        <v>478</v>
      </c>
      <c r="F209" t="s">
        <v>536</v>
      </c>
      <c r="G209" t="s">
        <v>575</v>
      </c>
      <c r="H209">
        <v>0</v>
      </c>
      <c r="I209">
        <v>0</v>
      </c>
    </row>
    <row r="210" spans="1:9" x14ac:dyDescent="0.2">
      <c r="A210" t="s">
        <v>275</v>
      </c>
      <c r="B210" t="s">
        <v>377</v>
      </c>
      <c r="C210" t="s">
        <v>478</v>
      </c>
      <c r="D210">
        <v>0</v>
      </c>
      <c r="E210" t="s">
        <v>477</v>
      </c>
      <c r="F210" t="s">
        <v>537</v>
      </c>
      <c r="G210" t="s">
        <v>575</v>
      </c>
      <c r="H210">
        <v>0</v>
      </c>
      <c r="I210">
        <v>0</v>
      </c>
    </row>
    <row r="211" spans="1:9" x14ac:dyDescent="0.2">
      <c r="A211" t="s">
        <v>275</v>
      </c>
      <c r="B211" t="s">
        <v>378</v>
      </c>
      <c r="C211" t="s">
        <v>478</v>
      </c>
      <c r="D211">
        <v>0</v>
      </c>
      <c r="E211" t="s">
        <v>477</v>
      </c>
      <c r="F211" t="s">
        <v>538</v>
      </c>
      <c r="G211" t="s">
        <v>575</v>
      </c>
      <c r="H211">
        <v>0</v>
      </c>
      <c r="I211">
        <v>0</v>
      </c>
    </row>
    <row r="212" spans="1:9" x14ac:dyDescent="0.2">
      <c r="A212" t="s">
        <v>275</v>
      </c>
      <c r="B212" t="s">
        <v>379</v>
      </c>
      <c r="C212" t="s">
        <v>478</v>
      </c>
      <c r="D212">
        <v>0</v>
      </c>
      <c r="E212" t="s">
        <v>477</v>
      </c>
      <c r="F212" t="s">
        <v>538</v>
      </c>
      <c r="G212" t="s">
        <v>575</v>
      </c>
      <c r="H212">
        <v>0</v>
      </c>
      <c r="I212">
        <v>0</v>
      </c>
    </row>
    <row r="213" spans="1:9" x14ac:dyDescent="0.2">
      <c r="A213" t="s">
        <v>275</v>
      </c>
      <c r="B213" t="s">
        <v>380</v>
      </c>
      <c r="C213" t="s">
        <v>478</v>
      </c>
      <c r="D213">
        <v>0</v>
      </c>
      <c r="E213" t="s">
        <v>477</v>
      </c>
      <c r="F213" t="s">
        <v>530</v>
      </c>
      <c r="G213" t="s">
        <v>575</v>
      </c>
      <c r="H213">
        <v>0</v>
      </c>
      <c r="I213">
        <v>0</v>
      </c>
    </row>
    <row r="214" spans="1:9" x14ac:dyDescent="0.2">
      <c r="A214" t="s">
        <v>275</v>
      </c>
      <c r="B214" t="s">
        <v>381</v>
      </c>
      <c r="C214" t="s">
        <v>478</v>
      </c>
      <c r="D214">
        <v>0</v>
      </c>
      <c r="E214" t="s">
        <v>477</v>
      </c>
      <c r="F214" t="s">
        <v>530</v>
      </c>
      <c r="G214" t="s">
        <v>575</v>
      </c>
      <c r="H214">
        <v>0</v>
      </c>
      <c r="I214">
        <v>0</v>
      </c>
    </row>
    <row r="215" spans="1:9" x14ac:dyDescent="0.2">
      <c r="A215" t="s">
        <v>275</v>
      </c>
      <c r="B215" t="s">
        <v>382</v>
      </c>
      <c r="C215" t="s">
        <v>478</v>
      </c>
      <c r="D215">
        <v>0</v>
      </c>
      <c r="E215" t="s">
        <v>477</v>
      </c>
      <c r="F215" t="s">
        <v>530</v>
      </c>
      <c r="G215" t="s">
        <v>575</v>
      </c>
      <c r="H215">
        <v>0</v>
      </c>
      <c r="I215">
        <v>0</v>
      </c>
    </row>
    <row r="216" spans="1:9" x14ac:dyDescent="0.2">
      <c r="A216" t="s">
        <v>275</v>
      </c>
      <c r="B216" t="s">
        <v>383</v>
      </c>
      <c r="C216" t="s">
        <v>478</v>
      </c>
      <c r="D216">
        <v>0</v>
      </c>
      <c r="E216" t="s">
        <v>477</v>
      </c>
      <c r="F216" t="s">
        <v>530</v>
      </c>
      <c r="G216" t="s">
        <v>575</v>
      </c>
      <c r="H216">
        <v>0</v>
      </c>
      <c r="I216">
        <v>0</v>
      </c>
    </row>
    <row r="217" spans="1:9" x14ac:dyDescent="0.2">
      <c r="A217" t="s">
        <v>264</v>
      </c>
      <c r="B217" t="s">
        <v>384</v>
      </c>
      <c r="C217" t="s">
        <v>478</v>
      </c>
      <c r="D217">
        <v>0</v>
      </c>
      <c r="E217" t="s">
        <v>477</v>
      </c>
      <c r="F217" t="s">
        <v>516</v>
      </c>
      <c r="G217" t="s">
        <v>575</v>
      </c>
      <c r="H217">
        <v>0</v>
      </c>
      <c r="I217">
        <v>0</v>
      </c>
    </row>
    <row r="218" spans="1:9" x14ac:dyDescent="0.2">
      <c r="A218" t="s">
        <v>284</v>
      </c>
      <c r="B218" t="s">
        <v>385</v>
      </c>
      <c r="C218" t="s">
        <v>477</v>
      </c>
      <c r="D218">
        <v>0</v>
      </c>
      <c r="E218" t="s">
        <v>477</v>
      </c>
      <c r="F218" t="s">
        <v>539</v>
      </c>
      <c r="G218" t="s">
        <v>570</v>
      </c>
      <c r="H218">
        <v>0</v>
      </c>
      <c r="I218">
        <v>0</v>
      </c>
    </row>
    <row r="219" spans="1:9" x14ac:dyDescent="0.2">
      <c r="A219" t="s">
        <v>285</v>
      </c>
      <c r="B219" t="s">
        <v>386</v>
      </c>
      <c r="C219" t="s">
        <v>477</v>
      </c>
      <c r="D219">
        <v>0</v>
      </c>
      <c r="E219" t="s">
        <v>477</v>
      </c>
      <c r="F219" t="s">
        <v>531</v>
      </c>
      <c r="G219" t="s">
        <v>570</v>
      </c>
      <c r="H219">
        <v>0</v>
      </c>
      <c r="I219">
        <v>0</v>
      </c>
    </row>
    <row r="220" spans="1:9" x14ac:dyDescent="0.2">
      <c r="A220" t="s">
        <v>286</v>
      </c>
      <c r="B220" t="s">
        <v>387</v>
      </c>
      <c r="C220" t="s">
        <v>486</v>
      </c>
      <c r="D220">
        <v>0</v>
      </c>
      <c r="E220" t="s">
        <v>486</v>
      </c>
      <c r="F220" t="s">
        <v>540</v>
      </c>
      <c r="G220" t="s">
        <v>572</v>
      </c>
      <c r="H220">
        <v>0</v>
      </c>
      <c r="I220">
        <v>0</v>
      </c>
    </row>
    <row r="221" spans="1:9" x14ac:dyDescent="0.2">
      <c r="A221" t="s">
        <v>286</v>
      </c>
      <c r="B221" t="s">
        <v>388</v>
      </c>
      <c r="C221" t="s">
        <v>491</v>
      </c>
      <c r="D221">
        <v>0</v>
      </c>
      <c r="E221" t="s">
        <v>491</v>
      </c>
      <c r="F221" t="s">
        <v>524</v>
      </c>
      <c r="G221" t="s">
        <v>573</v>
      </c>
      <c r="H221">
        <v>0</v>
      </c>
      <c r="I221">
        <v>0</v>
      </c>
    </row>
    <row r="222" spans="1:9" x14ac:dyDescent="0.2">
      <c r="A222" t="s">
        <v>286</v>
      </c>
      <c r="B222" t="s">
        <v>389</v>
      </c>
      <c r="C222" t="s">
        <v>491</v>
      </c>
      <c r="D222">
        <v>0</v>
      </c>
      <c r="E222" t="s">
        <v>491</v>
      </c>
      <c r="F222" t="s">
        <v>524</v>
      </c>
      <c r="G222" t="s">
        <v>573</v>
      </c>
      <c r="H222">
        <v>0</v>
      </c>
      <c r="I222">
        <v>0</v>
      </c>
    </row>
    <row r="223" spans="1:9" x14ac:dyDescent="0.2">
      <c r="A223" t="s">
        <v>286</v>
      </c>
      <c r="B223" t="s">
        <v>390</v>
      </c>
      <c r="C223" t="s">
        <v>491</v>
      </c>
      <c r="D223">
        <v>0</v>
      </c>
      <c r="E223" t="s">
        <v>491</v>
      </c>
      <c r="F223" t="s">
        <v>524</v>
      </c>
      <c r="G223" t="s">
        <v>573</v>
      </c>
      <c r="H223">
        <v>0</v>
      </c>
      <c r="I223">
        <v>0</v>
      </c>
    </row>
    <row r="224" spans="1:9" x14ac:dyDescent="0.2">
      <c r="A224" t="s">
        <v>286</v>
      </c>
      <c r="B224" t="s">
        <v>391</v>
      </c>
      <c r="C224" t="s">
        <v>491</v>
      </c>
      <c r="D224">
        <v>0</v>
      </c>
      <c r="E224" t="s">
        <v>491</v>
      </c>
      <c r="F224" t="s">
        <v>524</v>
      </c>
      <c r="G224" t="s">
        <v>573</v>
      </c>
      <c r="H224">
        <v>0</v>
      </c>
      <c r="I224">
        <v>0</v>
      </c>
    </row>
    <row r="225" spans="1:9" x14ac:dyDescent="0.2">
      <c r="A225" t="s">
        <v>286</v>
      </c>
      <c r="B225" t="s">
        <v>392</v>
      </c>
      <c r="C225" t="s">
        <v>491</v>
      </c>
      <c r="D225">
        <v>0</v>
      </c>
      <c r="E225" t="s">
        <v>491</v>
      </c>
      <c r="F225" t="s">
        <v>524</v>
      </c>
      <c r="G225" t="s">
        <v>573</v>
      </c>
      <c r="H225">
        <v>0</v>
      </c>
      <c r="I225">
        <v>0</v>
      </c>
    </row>
    <row r="226" spans="1:9" x14ac:dyDescent="0.2">
      <c r="A226" t="s">
        <v>286</v>
      </c>
      <c r="B226" t="s">
        <v>393</v>
      </c>
      <c r="C226" t="s">
        <v>491</v>
      </c>
      <c r="D226">
        <v>0</v>
      </c>
      <c r="E226" t="s">
        <v>491</v>
      </c>
      <c r="F226" t="s">
        <v>524</v>
      </c>
      <c r="G226" t="s">
        <v>573</v>
      </c>
      <c r="H226">
        <v>0</v>
      </c>
      <c r="I226">
        <v>0</v>
      </c>
    </row>
    <row r="227" spans="1:9" x14ac:dyDescent="0.2">
      <c r="A227" t="s">
        <v>286</v>
      </c>
      <c r="B227" t="s">
        <v>394</v>
      </c>
      <c r="C227" t="s">
        <v>491</v>
      </c>
      <c r="D227">
        <v>0</v>
      </c>
      <c r="E227" t="s">
        <v>491</v>
      </c>
      <c r="F227" t="s">
        <v>524</v>
      </c>
      <c r="G227" t="s">
        <v>573</v>
      </c>
      <c r="H227">
        <v>0</v>
      </c>
      <c r="I227">
        <v>0</v>
      </c>
    </row>
    <row r="228" spans="1:9" x14ac:dyDescent="0.2">
      <c r="A228" t="s">
        <v>286</v>
      </c>
      <c r="B228" t="s">
        <v>394</v>
      </c>
      <c r="C228" t="s">
        <v>491</v>
      </c>
      <c r="D228">
        <v>0</v>
      </c>
      <c r="E228" t="s">
        <v>491</v>
      </c>
      <c r="F228" t="s">
        <v>524</v>
      </c>
      <c r="G228" t="s">
        <v>573</v>
      </c>
      <c r="H228">
        <v>0</v>
      </c>
      <c r="I228">
        <v>0</v>
      </c>
    </row>
    <row r="229" spans="1:9" x14ac:dyDescent="0.2">
      <c r="A229" t="s">
        <v>286</v>
      </c>
      <c r="B229" t="s">
        <v>395</v>
      </c>
      <c r="C229" t="s">
        <v>491</v>
      </c>
      <c r="D229">
        <v>0</v>
      </c>
      <c r="E229" t="s">
        <v>491</v>
      </c>
      <c r="F229" t="s">
        <v>524</v>
      </c>
      <c r="G229" t="s">
        <v>573</v>
      </c>
      <c r="H229">
        <v>0</v>
      </c>
      <c r="I229">
        <v>0</v>
      </c>
    </row>
    <row r="230" spans="1:9" x14ac:dyDescent="0.2">
      <c r="A230" t="s">
        <v>286</v>
      </c>
      <c r="B230" t="s">
        <v>396</v>
      </c>
      <c r="C230" t="s">
        <v>486</v>
      </c>
      <c r="D230">
        <v>0</v>
      </c>
      <c r="E230" t="s">
        <v>486</v>
      </c>
      <c r="F230" t="s">
        <v>541</v>
      </c>
      <c r="G230" t="s">
        <v>573</v>
      </c>
      <c r="H230">
        <v>0</v>
      </c>
      <c r="I230">
        <v>0</v>
      </c>
    </row>
    <row r="231" spans="1:9" x14ac:dyDescent="0.2">
      <c r="A231" t="s">
        <v>286</v>
      </c>
      <c r="B231" t="s">
        <v>397</v>
      </c>
      <c r="C231" t="s">
        <v>486</v>
      </c>
      <c r="D231">
        <v>0</v>
      </c>
      <c r="E231" t="s">
        <v>486</v>
      </c>
      <c r="F231" t="s">
        <v>541</v>
      </c>
      <c r="G231" t="s">
        <v>573</v>
      </c>
      <c r="H231">
        <v>0</v>
      </c>
      <c r="I231">
        <v>0</v>
      </c>
    </row>
    <row r="232" spans="1:9" x14ac:dyDescent="0.2">
      <c r="A232" t="s">
        <v>286</v>
      </c>
      <c r="B232" t="s">
        <v>398</v>
      </c>
      <c r="C232" t="s">
        <v>486</v>
      </c>
      <c r="D232">
        <v>0</v>
      </c>
      <c r="E232" t="s">
        <v>486</v>
      </c>
      <c r="F232" t="s">
        <v>541</v>
      </c>
      <c r="G232" t="s">
        <v>573</v>
      </c>
      <c r="H232">
        <v>0</v>
      </c>
      <c r="I232">
        <v>0</v>
      </c>
    </row>
    <row r="233" spans="1:9" x14ac:dyDescent="0.2">
      <c r="A233" t="s">
        <v>287</v>
      </c>
      <c r="B233" t="s">
        <v>399</v>
      </c>
      <c r="C233" t="s">
        <v>477</v>
      </c>
      <c r="D233">
        <v>0</v>
      </c>
      <c r="E233" t="s">
        <v>477</v>
      </c>
      <c r="F233" t="s">
        <v>542</v>
      </c>
      <c r="G233" t="s">
        <v>573</v>
      </c>
      <c r="H233">
        <v>0</v>
      </c>
      <c r="I233">
        <v>0</v>
      </c>
    </row>
    <row r="234" spans="1:9" x14ac:dyDescent="0.2">
      <c r="A234" t="s">
        <v>288</v>
      </c>
      <c r="B234" t="s">
        <v>400</v>
      </c>
      <c r="C234" t="s">
        <v>477</v>
      </c>
      <c r="D234">
        <v>0</v>
      </c>
      <c r="E234" t="s">
        <v>477</v>
      </c>
      <c r="F234" t="s">
        <v>543</v>
      </c>
      <c r="G234" t="s">
        <v>573</v>
      </c>
      <c r="H234">
        <v>0</v>
      </c>
      <c r="I234">
        <v>0</v>
      </c>
    </row>
    <row r="235" spans="1:9" x14ac:dyDescent="0.2">
      <c r="A235" t="s">
        <v>285</v>
      </c>
      <c r="B235" t="s">
        <v>401</v>
      </c>
      <c r="C235" t="s">
        <v>477</v>
      </c>
      <c r="D235">
        <v>0</v>
      </c>
      <c r="E235" t="s">
        <v>477</v>
      </c>
      <c r="F235" t="s">
        <v>529</v>
      </c>
      <c r="G235" t="s">
        <v>570</v>
      </c>
      <c r="H235">
        <v>0</v>
      </c>
      <c r="I235">
        <v>0</v>
      </c>
    </row>
    <row r="236" spans="1:9" x14ac:dyDescent="0.2">
      <c r="A236" t="s">
        <v>289</v>
      </c>
      <c r="B236" t="s">
        <v>402</v>
      </c>
      <c r="C236" t="s">
        <v>492</v>
      </c>
      <c r="D236">
        <v>0</v>
      </c>
      <c r="E236" t="s">
        <v>492</v>
      </c>
      <c r="F236" t="s">
        <v>529</v>
      </c>
      <c r="G236" t="s">
        <v>572</v>
      </c>
      <c r="H236">
        <v>0</v>
      </c>
      <c r="I236">
        <v>0</v>
      </c>
    </row>
    <row r="237" spans="1:9" x14ac:dyDescent="0.2">
      <c r="A237" t="s">
        <v>289</v>
      </c>
      <c r="B237" t="s">
        <v>403</v>
      </c>
      <c r="C237" t="s">
        <v>492</v>
      </c>
      <c r="D237">
        <v>0</v>
      </c>
      <c r="E237" t="s">
        <v>492</v>
      </c>
      <c r="F237" t="s">
        <v>543</v>
      </c>
      <c r="G237" t="s">
        <v>572</v>
      </c>
      <c r="H237">
        <v>0</v>
      </c>
      <c r="I237">
        <v>0</v>
      </c>
    </row>
    <row r="238" spans="1:9" x14ac:dyDescent="0.2">
      <c r="A238" t="s">
        <v>289</v>
      </c>
      <c r="B238" t="s">
        <v>404</v>
      </c>
      <c r="C238" t="s">
        <v>492</v>
      </c>
      <c r="D238">
        <v>0</v>
      </c>
      <c r="E238" t="s">
        <v>492</v>
      </c>
      <c r="F238" t="s">
        <v>529</v>
      </c>
      <c r="G238" t="s">
        <v>572</v>
      </c>
      <c r="H238">
        <v>0</v>
      </c>
      <c r="I238">
        <v>0</v>
      </c>
    </row>
    <row r="239" spans="1:9" x14ac:dyDescent="0.2">
      <c r="A239" t="s">
        <v>286</v>
      </c>
      <c r="B239" t="s">
        <v>405</v>
      </c>
      <c r="C239" t="s">
        <v>486</v>
      </c>
      <c r="D239">
        <v>0</v>
      </c>
      <c r="E239" t="s">
        <v>486</v>
      </c>
      <c r="F239" t="s">
        <v>540</v>
      </c>
      <c r="G239" t="s">
        <v>572</v>
      </c>
      <c r="H239">
        <v>0</v>
      </c>
      <c r="I239">
        <v>0</v>
      </c>
    </row>
    <row r="240" spans="1:9" x14ac:dyDescent="0.2">
      <c r="A240" t="s">
        <v>286</v>
      </c>
      <c r="B240" t="s">
        <v>406</v>
      </c>
      <c r="C240" t="s">
        <v>486</v>
      </c>
      <c r="D240">
        <v>0</v>
      </c>
      <c r="E240" t="s">
        <v>486</v>
      </c>
      <c r="F240" t="s">
        <v>536</v>
      </c>
      <c r="G240" t="s">
        <v>572</v>
      </c>
      <c r="H240">
        <v>0</v>
      </c>
      <c r="I240">
        <v>0</v>
      </c>
    </row>
    <row r="241" spans="1:9" x14ac:dyDescent="0.2">
      <c r="A241" t="s">
        <v>290</v>
      </c>
      <c r="B241" t="s">
        <v>407</v>
      </c>
      <c r="C241" t="s">
        <v>478</v>
      </c>
      <c r="D241">
        <v>0</v>
      </c>
      <c r="E241" t="s">
        <v>478</v>
      </c>
      <c r="F241" t="s">
        <v>544</v>
      </c>
      <c r="G241" t="s">
        <v>569</v>
      </c>
      <c r="H241">
        <v>0</v>
      </c>
      <c r="I241">
        <v>0</v>
      </c>
    </row>
    <row r="242" spans="1:9" x14ac:dyDescent="0.2">
      <c r="A242" t="s">
        <v>291</v>
      </c>
      <c r="B242" t="s">
        <v>408</v>
      </c>
      <c r="C242" t="s">
        <v>478</v>
      </c>
      <c r="D242">
        <v>0</v>
      </c>
      <c r="E242" t="s">
        <v>478</v>
      </c>
      <c r="F242" t="s">
        <v>545</v>
      </c>
      <c r="G242" t="s">
        <v>576</v>
      </c>
      <c r="H242">
        <v>0</v>
      </c>
      <c r="I242">
        <v>0</v>
      </c>
    </row>
    <row r="243" spans="1:9" x14ac:dyDescent="0.2">
      <c r="A243" t="s">
        <v>292</v>
      </c>
      <c r="B243" t="s">
        <v>409</v>
      </c>
      <c r="C243" t="s">
        <v>478</v>
      </c>
      <c r="D243">
        <v>0</v>
      </c>
      <c r="E243" t="s">
        <v>478</v>
      </c>
      <c r="F243" t="s">
        <v>546</v>
      </c>
      <c r="G243" t="s">
        <v>576</v>
      </c>
      <c r="H243">
        <v>0</v>
      </c>
      <c r="I243">
        <v>0</v>
      </c>
    </row>
    <row r="244" spans="1:9" x14ac:dyDescent="0.2">
      <c r="A244" t="s">
        <v>292</v>
      </c>
      <c r="B244" t="s">
        <v>410</v>
      </c>
      <c r="C244" t="s">
        <v>478</v>
      </c>
      <c r="D244">
        <v>0</v>
      </c>
      <c r="E244" t="s">
        <v>478</v>
      </c>
      <c r="F244" t="s">
        <v>547</v>
      </c>
      <c r="G244" t="s">
        <v>576</v>
      </c>
      <c r="H244">
        <v>0</v>
      </c>
      <c r="I244">
        <v>0</v>
      </c>
    </row>
    <row r="245" spans="1:9" x14ac:dyDescent="0.2">
      <c r="A245" t="s">
        <v>268</v>
      </c>
      <c r="B245" t="s">
        <v>411</v>
      </c>
      <c r="C245" t="s">
        <v>478</v>
      </c>
      <c r="D245">
        <v>0</v>
      </c>
      <c r="E245" t="s">
        <v>478</v>
      </c>
      <c r="F245" t="s">
        <v>520</v>
      </c>
      <c r="G245" t="s">
        <v>576</v>
      </c>
      <c r="H245">
        <v>0</v>
      </c>
      <c r="I245">
        <v>0</v>
      </c>
    </row>
    <row r="246" spans="1:9" x14ac:dyDescent="0.2">
      <c r="A246" t="s">
        <v>293</v>
      </c>
      <c r="B246" t="s">
        <v>412</v>
      </c>
      <c r="C246" t="s">
        <v>478</v>
      </c>
      <c r="D246">
        <v>0</v>
      </c>
      <c r="E246" t="s">
        <v>478</v>
      </c>
      <c r="F246" t="s">
        <v>536</v>
      </c>
      <c r="G246" t="s">
        <v>571</v>
      </c>
      <c r="H246">
        <v>0</v>
      </c>
      <c r="I246">
        <v>0</v>
      </c>
    </row>
    <row r="247" spans="1:9" x14ac:dyDescent="0.2">
      <c r="A247" t="s">
        <v>294</v>
      </c>
      <c r="B247" t="s">
        <v>413</v>
      </c>
      <c r="C247" t="s">
        <v>493</v>
      </c>
      <c r="D247">
        <v>0</v>
      </c>
      <c r="E247" t="s">
        <v>493</v>
      </c>
      <c r="F247" t="s">
        <v>548</v>
      </c>
      <c r="G247" t="s">
        <v>577</v>
      </c>
      <c r="H247">
        <v>0</v>
      </c>
      <c r="I247">
        <v>0</v>
      </c>
    </row>
    <row r="248" spans="1:9" x14ac:dyDescent="0.2">
      <c r="A248" t="s">
        <v>295</v>
      </c>
      <c r="B248" t="s">
        <v>414</v>
      </c>
      <c r="C248" t="s">
        <v>494</v>
      </c>
      <c r="D248">
        <v>0</v>
      </c>
      <c r="E248" t="s">
        <v>494</v>
      </c>
      <c r="F248" t="s">
        <v>549</v>
      </c>
      <c r="G248" t="s">
        <v>577</v>
      </c>
      <c r="H248">
        <v>0</v>
      </c>
      <c r="I248">
        <v>0</v>
      </c>
    </row>
    <row r="249" spans="1:9" x14ac:dyDescent="0.2">
      <c r="A249" t="s">
        <v>296</v>
      </c>
      <c r="B249" t="s">
        <v>415</v>
      </c>
      <c r="C249" t="s">
        <v>494</v>
      </c>
      <c r="D249">
        <v>0</v>
      </c>
      <c r="E249" t="s">
        <v>494</v>
      </c>
      <c r="F249" t="s">
        <v>550</v>
      </c>
      <c r="G249" t="s">
        <v>577</v>
      </c>
      <c r="H249">
        <v>0</v>
      </c>
      <c r="I249">
        <v>0</v>
      </c>
    </row>
    <row r="250" spans="1:9" x14ac:dyDescent="0.2">
      <c r="A250" t="s">
        <v>297</v>
      </c>
      <c r="B250" t="s">
        <v>416</v>
      </c>
      <c r="C250" t="s">
        <v>488</v>
      </c>
      <c r="D250">
        <v>0</v>
      </c>
      <c r="E250" t="s">
        <v>488</v>
      </c>
      <c r="F250" t="s">
        <v>551</v>
      </c>
      <c r="G250" t="s">
        <v>577</v>
      </c>
      <c r="H250">
        <v>0</v>
      </c>
      <c r="I250">
        <v>0</v>
      </c>
    </row>
    <row r="251" spans="1:9" x14ac:dyDescent="0.2">
      <c r="A251" t="s">
        <v>298</v>
      </c>
      <c r="B251" t="s">
        <v>417</v>
      </c>
      <c r="C251" t="s">
        <v>495</v>
      </c>
      <c r="D251">
        <v>0</v>
      </c>
      <c r="E251" t="s">
        <v>495</v>
      </c>
      <c r="F251" t="s">
        <v>552</v>
      </c>
      <c r="G251" t="s">
        <v>577</v>
      </c>
      <c r="H251">
        <v>0</v>
      </c>
      <c r="I251">
        <v>0</v>
      </c>
    </row>
    <row r="252" spans="1:9" x14ac:dyDescent="0.2">
      <c r="A252" t="s">
        <v>299</v>
      </c>
      <c r="B252" t="s">
        <v>418</v>
      </c>
      <c r="C252" t="s">
        <v>496</v>
      </c>
      <c r="D252">
        <v>0</v>
      </c>
      <c r="E252" t="s">
        <v>496</v>
      </c>
      <c r="F252" t="s">
        <v>516</v>
      </c>
      <c r="G252" t="s">
        <v>577</v>
      </c>
      <c r="H252">
        <v>0</v>
      </c>
      <c r="I252">
        <v>0</v>
      </c>
    </row>
    <row r="253" spans="1:9" x14ac:dyDescent="0.2">
      <c r="A253" t="s">
        <v>300</v>
      </c>
      <c r="B253" t="s">
        <v>419</v>
      </c>
      <c r="C253" t="s">
        <v>497</v>
      </c>
      <c r="D253">
        <v>0</v>
      </c>
      <c r="E253" t="s">
        <v>497</v>
      </c>
      <c r="F253" t="s">
        <v>553</v>
      </c>
      <c r="G253" t="s">
        <v>577</v>
      </c>
      <c r="H253">
        <v>0</v>
      </c>
      <c r="I253">
        <v>0</v>
      </c>
    </row>
    <row r="254" spans="1:9" x14ac:dyDescent="0.2">
      <c r="A254" t="s">
        <v>301</v>
      </c>
      <c r="B254" t="s">
        <v>420</v>
      </c>
      <c r="C254" t="s">
        <v>478</v>
      </c>
      <c r="D254">
        <v>0</v>
      </c>
      <c r="E254" t="s">
        <v>478</v>
      </c>
      <c r="F254" t="s">
        <v>516</v>
      </c>
      <c r="G254" t="s">
        <v>576</v>
      </c>
      <c r="H254">
        <v>0</v>
      </c>
      <c r="I254">
        <v>0</v>
      </c>
    </row>
    <row r="255" spans="1:9" x14ac:dyDescent="0.2">
      <c r="A255" t="s">
        <v>283</v>
      </c>
      <c r="B255" t="s">
        <v>421</v>
      </c>
      <c r="C255" t="s">
        <v>477</v>
      </c>
      <c r="D255">
        <v>0</v>
      </c>
      <c r="E255" t="s">
        <v>477</v>
      </c>
      <c r="F255" t="s">
        <v>540</v>
      </c>
      <c r="G255" t="s">
        <v>578</v>
      </c>
      <c r="H255">
        <v>0</v>
      </c>
      <c r="I255">
        <v>0</v>
      </c>
    </row>
    <row r="256" spans="1:9" x14ac:dyDescent="0.2">
      <c r="A256" t="s">
        <v>264</v>
      </c>
      <c r="B256" t="s">
        <v>422</v>
      </c>
      <c r="C256" t="s">
        <v>477</v>
      </c>
      <c r="D256">
        <v>0</v>
      </c>
      <c r="E256" t="s">
        <v>477</v>
      </c>
      <c r="F256" t="s">
        <v>541</v>
      </c>
      <c r="G256" t="s">
        <v>578</v>
      </c>
      <c r="H256">
        <v>0</v>
      </c>
      <c r="I256">
        <v>0</v>
      </c>
    </row>
    <row r="257" spans="1:9" x14ac:dyDescent="0.2">
      <c r="A257" t="s">
        <v>264</v>
      </c>
      <c r="B257" t="s">
        <v>423</v>
      </c>
      <c r="C257" t="s">
        <v>478</v>
      </c>
      <c r="D257">
        <v>0</v>
      </c>
      <c r="E257" t="s">
        <v>478</v>
      </c>
      <c r="F257" t="s">
        <v>516</v>
      </c>
      <c r="G257" t="s">
        <v>578</v>
      </c>
      <c r="H257">
        <v>0</v>
      </c>
      <c r="I257">
        <v>0</v>
      </c>
    </row>
    <row r="258" spans="1:9" x14ac:dyDescent="0.2">
      <c r="A258" t="s">
        <v>301</v>
      </c>
      <c r="B258" t="s">
        <v>424</v>
      </c>
      <c r="C258" t="s">
        <v>478</v>
      </c>
      <c r="D258">
        <v>0</v>
      </c>
      <c r="E258" t="s">
        <v>478</v>
      </c>
      <c r="F258" t="s">
        <v>537</v>
      </c>
      <c r="G258" t="s">
        <v>576</v>
      </c>
      <c r="H258">
        <v>0</v>
      </c>
      <c r="I258">
        <v>0</v>
      </c>
    </row>
    <row r="259" spans="1:9" x14ac:dyDescent="0.2">
      <c r="A259" t="s">
        <v>283</v>
      </c>
      <c r="B259" t="s">
        <v>425</v>
      </c>
      <c r="C259" t="s">
        <v>498</v>
      </c>
      <c r="D259">
        <v>0</v>
      </c>
      <c r="E259" t="s">
        <v>498</v>
      </c>
      <c r="F259" t="s">
        <v>529</v>
      </c>
      <c r="G259" t="s">
        <v>578</v>
      </c>
      <c r="H259">
        <v>0</v>
      </c>
      <c r="I259">
        <v>0</v>
      </c>
    </row>
    <row r="260" spans="1:9" x14ac:dyDescent="0.2">
      <c r="A260" t="s">
        <v>302</v>
      </c>
      <c r="B260" t="s">
        <v>426</v>
      </c>
      <c r="C260" t="s">
        <v>478</v>
      </c>
      <c r="D260">
        <v>0</v>
      </c>
      <c r="E260" t="s">
        <v>478</v>
      </c>
      <c r="F260" t="s">
        <v>529</v>
      </c>
      <c r="G260" t="s">
        <v>579</v>
      </c>
      <c r="H260">
        <v>0</v>
      </c>
      <c r="I260">
        <v>0</v>
      </c>
    </row>
    <row r="261" spans="1:9" x14ac:dyDescent="0.2">
      <c r="A261" t="s">
        <v>285</v>
      </c>
      <c r="B261" t="s">
        <v>427</v>
      </c>
      <c r="C261" t="s">
        <v>499</v>
      </c>
      <c r="D261">
        <v>0</v>
      </c>
      <c r="E261" t="s">
        <v>499</v>
      </c>
      <c r="F261" t="s">
        <v>542</v>
      </c>
      <c r="G261" t="s">
        <v>577</v>
      </c>
      <c r="H261">
        <v>0</v>
      </c>
      <c r="I261">
        <v>0</v>
      </c>
    </row>
    <row r="262" spans="1:9" x14ac:dyDescent="0.2">
      <c r="A262" t="s">
        <v>303</v>
      </c>
      <c r="B262" t="s">
        <v>428</v>
      </c>
      <c r="C262" t="s">
        <v>500</v>
      </c>
      <c r="D262">
        <v>0</v>
      </c>
      <c r="E262" t="s">
        <v>500</v>
      </c>
      <c r="F262" t="s">
        <v>546</v>
      </c>
      <c r="G262" t="s">
        <v>577</v>
      </c>
      <c r="H262">
        <v>0</v>
      </c>
      <c r="I262">
        <v>0</v>
      </c>
    </row>
    <row r="263" spans="1:9" x14ac:dyDescent="0.2">
      <c r="A263" t="s">
        <v>304</v>
      </c>
      <c r="B263" t="s">
        <v>429</v>
      </c>
      <c r="C263" t="s">
        <v>478</v>
      </c>
      <c r="D263">
        <v>0</v>
      </c>
      <c r="E263" t="s">
        <v>478</v>
      </c>
      <c r="F263" t="s">
        <v>554</v>
      </c>
      <c r="G263" t="s">
        <v>569</v>
      </c>
      <c r="H263">
        <v>0</v>
      </c>
      <c r="I263">
        <v>0</v>
      </c>
    </row>
    <row r="264" spans="1:9" x14ac:dyDescent="0.2">
      <c r="A264" t="s">
        <v>277</v>
      </c>
      <c r="B264" t="s">
        <v>430</v>
      </c>
      <c r="C264" t="s">
        <v>478</v>
      </c>
      <c r="D264">
        <v>0</v>
      </c>
      <c r="E264" t="s">
        <v>478</v>
      </c>
      <c r="F264" t="s">
        <v>539</v>
      </c>
      <c r="G264" t="s">
        <v>571</v>
      </c>
      <c r="H264">
        <v>0</v>
      </c>
      <c r="I264">
        <v>0</v>
      </c>
    </row>
    <row r="265" spans="1:9" x14ac:dyDescent="0.2">
      <c r="A265" t="s">
        <v>277</v>
      </c>
      <c r="B265" t="s">
        <v>431</v>
      </c>
      <c r="C265" t="s">
        <v>478</v>
      </c>
      <c r="D265">
        <v>0</v>
      </c>
      <c r="E265" t="s">
        <v>478</v>
      </c>
      <c r="F265" t="s">
        <v>534</v>
      </c>
      <c r="G265" t="s">
        <v>571</v>
      </c>
      <c r="H265">
        <v>0</v>
      </c>
      <c r="I265">
        <v>0</v>
      </c>
    </row>
    <row r="266" spans="1:9" x14ac:dyDescent="0.2">
      <c r="A266" t="s">
        <v>277</v>
      </c>
      <c r="B266" t="s">
        <v>432</v>
      </c>
      <c r="C266" t="s">
        <v>501</v>
      </c>
      <c r="D266">
        <v>0</v>
      </c>
      <c r="E266" t="s">
        <v>501</v>
      </c>
      <c r="F266" t="s">
        <v>555</v>
      </c>
      <c r="G266" t="s">
        <v>571</v>
      </c>
      <c r="H266">
        <v>0</v>
      </c>
      <c r="I266">
        <v>0</v>
      </c>
    </row>
    <row r="267" spans="1:9" x14ac:dyDescent="0.2">
      <c r="A267" t="s">
        <v>263</v>
      </c>
      <c r="B267" t="s">
        <v>433</v>
      </c>
      <c r="C267" t="s">
        <v>502</v>
      </c>
      <c r="D267">
        <v>0</v>
      </c>
      <c r="E267" t="s">
        <v>502</v>
      </c>
      <c r="F267" t="s">
        <v>556</v>
      </c>
      <c r="G267" t="s">
        <v>580</v>
      </c>
      <c r="H267">
        <v>0</v>
      </c>
      <c r="I267">
        <v>0</v>
      </c>
    </row>
    <row r="268" spans="1:9" x14ac:dyDescent="0.2">
      <c r="A268" t="s">
        <v>268</v>
      </c>
      <c r="B268" t="s">
        <v>434</v>
      </c>
      <c r="C268" t="s">
        <v>478</v>
      </c>
      <c r="D268">
        <v>0</v>
      </c>
      <c r="E268" t="s">
        <v>478</v>
      </c>
      <c r="F268" t="s">
        <v>520</v>
      </c>
      <c r="G268" t="s">
        <v>571</v>
      </c>
      <c r="H268">
        <v>0</v>
      </c>
      <c r="I268">
        <v>0</v>
      </c>
    </row>
    <row r="269" spans="1:9" x14ac:dyDescent="0.2">
      <c r="A269" t="s">
        <v>305</v>
      </c>
      <c r="B269" t="s">
        <v>435</v>
      </c>
      <c r="C269" t="s">
        <v>478</v>
      </c>
      <c r="D269">
        <v>0</v>
      </c>
      <c r="E269" t="s">
        <v>478</v>
      </c>
      <c r="F269" t="s">
        <v>557</v>
      </c>
      <c r="G269" t="s">
        <v>569</v>
      </c>
      <c r="H269">
        <v>0</v>
      </c>
      <c r="I269">
        <v>0</v>
      </c>
    </row>
    <row r="270" spans="1:9" x14ac:dyDescent="0.2">
      <c r="A270" t="s">
        <v>306</v>
      </c>
      <c r="B270" t="s">
        <v>436</v>
      </c>
      <c r="C270" t="s">
        <v>478</v>
      </c>
      <c r="D270">
        <v>0</v>
      </c>
      <c r="E270" t="s">
        <v>478</v>
      </c>
      <c r="F270" t="s">
        <v>558</v>
      </c>
      <c r="G270" t="s">
        <v>569</v>
      </c>
      <c r="H270">
        <v>0</v>
      </c>
      <c r="I270">
        <v>0</v>
      </c>
    </row>
    <row r="271" spans="1:9" x14ac:dyDescent="0.2">
      <c r="A271" t="s">
        <v>307</v>
      </c>
      <c r="B271" t="s">
        <v>437</v>
      </c>
      <c r="C271" t="s">
        <v>478</v>
      </c>
      <c r="D271">
        <v>0</v>
      </c>
      <c r="E271" t="s">
        <v>478</v>
      </c>
      <c r="F271" t="s">
        <v>559</v>
      </c>
      <c r="G271" t="s">
        <v>574</v>
      </c>
      <c r="H271">
        <v>0</v>
      </c>
      <c r="I271">
        <v>0</v>
      </c>
    </row>
    <row r="272" spans="1:9" x14ac:dyDescent="0.2">
      <c r="A272" t="s">
        <v>308</v>
      </c>
      <c r="B272" t="s">
        <v>438</v>
      </c>
      <c r="C272" t="s">
        <v>478</v>
      </c>
      <c r="D272">
        <v>0</v>
      </c>
      <c r="E272" t="s">
        <v>478</v>
      </c>
      <c r="F272" t="s">
        <v>560</v>
      </c>
      <c r="G272" t="s">
        <v>569</v>
      </c>
      <c r="H272">
        <v>0</v>
      </c>
      <c r="I272">
        <v>0</v>
      </c>
    </row>
    <row r="273" spans="1:9" x14ac:dyDescent="0.2">
      <c r="A273" t="s">
        <v>309</v>
      </c>
      <c r="B273" t="s">
        <v>439</v>
      </c>
      <c r="C273" t="s">
        <v>478</v>
      </c>
      <c r="D273">
        <v>0</v>
      </c>
      <c r="E273" t="s">
        <v>478</v>
      </c>
      <c r="F273" t="s">
        <v>558</v>
      </c>
      <c r="G273" t="s">
        <v>574</v>
      </c>
      <c r="H273">
        <v>0</v>
      </c>
      <c r="I273">
        <v>0</v>
      </c>
    </row>
    <row r="274" spans="1:9" x14ac:dyDescent="0.2">
      <c r="A274" t="s">
        <v>310</v>
      </c>
      <c r="B274" t="s">
        <v>440</v>
      </c>
      <c r="C274" t="s">
        <v>478</v>
      </c>
      <c r="D274">
        <v>0</v>
      </c>
      <c r="E274" t="s">
        <v>478</v>
      </c>
      <c r="F274" t="s">
        <v>561</v>
      </c>
      <c r="G274" t="s">
        <v>569</v>
      </c>
      <c r="H274">
        <v>0</v>
      </c>
      <c r="I274">
        <v>0</v>
      </c>
    </row>
    <row r="275" spans="1:9" x14ac:dyDescent="0.2">
      <c r="A275" t="s">
        <v>311</v>
      </c>
      <c r="B275" t="s">
        <v>441</v>
      </c>
      <c r="C275" t="s">
        <v>481</v>
      </c>
      <c r="D275">
        <v>0</v>
      </c>
      <c r="E275" t="s">
        <v>481</v>
      </c>
      <c r="F275" t="s">
        <v>527</v>
      </c>
      <c r="G275" t="s">
        <v>580</v>
      </c>
      <c r="H275">
        <v>0</v>
      </c>
      <c r="I275">
        <v>0</v>
      </c>
    </row>
    <row r="276" spans="1:9" x14ac:dyDescent="0.2">
      <c r="A276" t="s">
        <v>311</v>
      </c>
      <c r="B276" t="s">
        <v>442</v>
      </c>
      <c r="C276" t="s">
        <v>482</v>
      </c>
      <c r="D276">
        <v>0</v>
      </c>
      <c r="E276" t="s">
        <v>482</v>
      </c>
      <c r="F276" t="s">
        <v>562</v>
      </c>
      <c r="G276" t="s">
        <v>580</v>
      </c>
      <c r="H276">
        <v>0</v>
      </c>
      <c r="I276">
        <v>0</v>
      </c>
    </row>
    <row r="277" spans="1:9" x14ac:dyDescent="0.2">
      <c r="A277" t="s">
        <v>311</v>
      </c>
      <c r="B277" t="s">
        <v>443</v>
      </c>
      <c r="C277" t="s">
        <v>481</v>
      </c>
      <c r="D277">
        <v>0</v>
      </c>
      <c r="E277" t="s">
        <v>481</v>
      </c>
      <c r="F277" t="s">
        <v>563</v>
      </c>
      <c r="G277" t="s">
        <v>580</v>
      </c>
      <c r="H277">
        <v>0</v>
      </c>
      <c r="I277">
        <v>0</v>
      </c>
    </row>
    <row r="278" spans="1:9" x14ac:dyDescent="0.2">
      <c r="A278" t="s">
        <v>312</v>
      </c>
      <c r="B278" t="s">
        <v>444</v>
      </c>
      <c r="C278" t="s">
        <v>481</v>
      </c>
      <c r="D278">
        <v>0</v>
      </c>
      <c r="E278" t="s">
        <v>481</v>
      </c>
      <c r="F278" t="s">
        <v>526</v>
      </c>
      <c r="G278" t="s">
        <v>580</v>
      </c>
      <c r="H278">
        <v>0</v>
      </c>
      <c r="I278">
        <v>0</v>
      </c>
    </row>
    <row r="279" spans="1:9" x14ac:dyDescent="0.2">
      <c r="A279" t="s">
        <v>286</v>
      </c>
      <c r="B279" t="s">
        <v>445</v>
      </c>
      <c r="C279" t="s">
        <v>486</v>
      </c>
      <c r="D279">
        <v>0</v>
      </c>
      <c r="E279" t="s">
        <v>486</v>
      </c>
      <c r="F279" t="s">
        <v>542</v>
      </c>
      <c r="G279" t="s">
        <v>580</v>
      </c>
      <c r="H279">
        <v>0</v>
      </c>
      <c r="I279">
        <v>0</v>
      </c>
    </row>
    <row r="280" spans="1:9" x14ac:dyDescent="0.2">
      <c r="A280" t="s">
        <v>286</v>
      </c>
      <c r="B280" t="s">
        <v>446</v>
      </c>
      <c r="C280" t="s">
        <v>486</v>
      </c>
      <c r="D280">
        <v>0</v>
      </c>
      <c r="E280" t="s">
        <v>486</v>
      </c>
      <c r="F280" t="s">
        <v>541</v>
      </c>
      <c r="G280" t="s">
        <v>580</v>
      </c>
      <c r="H280">
        <v>0</v>
      </c>
      <c r="I280">
        <v>0</v>
      </c>
    </row>
    <row r="281" spans="1:9" x14ac:dyDescent="0.2">
      <c r="A281" t="s">
        <v>313</v>
      </c>
      <c r="B281" t="s">
        <v>447</v>
      </c>
      <c r="C281" t="s">
        <v>478</v>
      </c>
      <c r="D281">
        <v>0</v>
      </c>
      <c r="E281" t="s">
        <v>478</v>
      </c>
      <c r="F281" t="s">
        <v>516</v>
      </c>
      <c r="G281" t="s">
        <v>569</v>
      </c>
      <c r="H281">
        <v>0</v>
      </c>
      <c r="I281">
        <v>0</v>
      </c>
    </row>
    <row r="282" spans="1:9" x14ac:dyDescent="0.2">
      <c r="A282" t="s">
        <v>314</v>
      </c>
      <c r="B282" t="s">
        <v>448</v>
      </c>
      <c r="C282" t="s">
        <v>478</v>
      </c>
      <c r="D282">
        <v>0</v>
      </c>
      <c r="E282" t="s">
        <v>478</v>
      </c>
      <c r="F282" t="s">
        <v>516</v>
      </c>
      <c r="G282" t="s">
        <v>569</v>
      </c>
      <c r="H282">
        <v>0</v>
      </c>
      <c r="I282">
        <v>0</v>
      </c>
    </row>
    <row r="283" spans="1:9" x14ac:dyDescent="0.2">
      <c r="A283" t="s">
        <v>315</v>
      </c>
      <c r="B283" t="s">
        <v>449</v>
      </c>
      <c r="C283" t="s">
        <v>478</v>
      </c>
      <c r="D283">
        <v>0</v>
      </c>
      <c r="E283" t="s">
        <v>478</v>
      </c>
      <c r="F283" t="s">
        <v>530</v>
      </c>
      <c r="G283" t="s">
        <v>569</v>
      </c>
      <c r="H283">
        <v>0</v>
      </c>
      <c r="I283">
        <v>0</v>
      </c>
    </row>
    <row r="284" spans="1:9" x14ac:dyDescent="0.2">
      <c r="A284" t="s">
        <v>315</v>
      </c>
      <c r="B284" t="s">
        <v>450</v>
      </c>
      <c r="C284" t="s">
        <v>478</v>
      </c>
      <c r="D284">
        <v>0</v>
      </c>
      <c r="E284" t="s">
        <v>478</v>
      </c>
      <c r="F284" t="s">
        <v>530</v>
      </c>
      <c r="G284" t="s">
        <v>569</v>
      </c>
      <c r="H284">
        <v>0</v>
      </c>
      <c r="I284">
        <v>0</v>
      </c>
    </row>
    <row r="285" spans="1:9" x14ac:dyDescent="0.2">
      <c r="A285" t="s">
        <v>315</v>
      </c>
      <c r="B285" t="s">
        <v>451</v>
      </c>
      <c r="C285" t="s">
        <v>478</v>
      </c>
      <c r="D285">
        <v>0</v>
      </c>
      <c r="E285" t="s">
        <v>478</v>
      </c>
      <c r="F285" t="s">
        <v>530</v>
      </c>
      <c r="G285" t="s">
        <v>569</v>
      </c>
      <c r="H285">
        <v>0</v>
      </c>
      <c r="I285">
        <v>0</v>
      </c>
    </row>
    <row r="286" spans="1:9" x14ac:dyDescent="0.2">
      <c r="A286" t="s">
        <v>313</v>
      </c>
      <c r="B286" t="s">
        <v>452</v>
      </c>
      <c r="C286" t="s">
        <v>478</v>
      </c>
      <c r="D286">
        <v>0</v>
      </c>
      <c r="E286" t="s">
        <v>478</v>
      </c>
      <c r="F286" t="s">
        <v>524</v>
      </c>
      <c r="G286" t="s">
        <v>569</v>
      </c>
      <c r="H286">
        <v>0</v>
      </c>
      <c r="I286">
        <v>0</v>
      </c>
    </row>
    <row r="287" spans="1:9" x14ac:dyDescent="0.2">
      <c r="A287" t="s">
        <v>314</v>
      </c>
      <c r="B287" t="s">
        <v>453</v>
      </c>
      <c r="C287" t="s">
        <v>478</v>
      </c>
      <c r="D287">
        <v>0</v>
      </c>
      <c r="E287" t="s">
        <v>478</v>
      </c>
      <c r="F287" t="s">
        <v>538</v>
      </c>
      <c r="G287" t="s">
        <v>569</v>
      </c>
      <c r="H287">
        <v>0</v>
      </c>
      <c r="I287">
        <v>0</v>
      </c>
    </row>
    <row r="288" spans="1:9" x14ac:dyDescent="0.2">
      <c r="A288" t="s">
        <v>314</v>
      </c>
      <c r="B288" t="s">
        <v>454</v>
      </c>
      <c r="C288" t="s">
        <v>478</v>
      </c>
      <c r="D288">
        <v>0</v>
      </c>
      <c r="E288" t="s">
        <v>478</v>
      </c>
      <c r="F288" t="s">
        <v>530</v>
      </c>
      <c r="G288" t="s">
        <v>569</v>
      </c>
      <c r="H288">
        <v>0</v>
      </c>
      <c r="I288">
        <v>0</v>
      </c>
    </row>
    <row r="289" spans="1:9" x14ac:dyDescent="0.2">
      <c r="A289" t="s">
        <v>314</v>
      </c>
      <c r="B289" t="s">
        <v>455</v>
      </c>
      <c r="C289" t="s">
        <v>478</v>
      </c>
      <c r="D289">
        <v>0</v>
      </c>
      <c r="E289" t="s">
        <v>478</v>
      </c>
      <c r="F289" t="s">
        <v>538</v>
      </c>
      <c r="G289" t="s">
        <v>569</v>
      </c>
      <c r="H289">
        <v>0</v>
      </c>
      <c r="I289">
        <v>0</v>
      </c>
    </row>
    <row r="290" spans="1:9" x14ac:dyDescent="0.2">
      <c r="A290" t="s">
        <v>314</v>
      </c>
      <c r="B290" t="s">
        <v>456</v>
      </c>
      <c r="C290" t="s">
        <v>478</v>
      </c>
      <c r="D290">
        <v>0</v>
      </c>
      <c r="E290" t="s">
        <v>478</v>
      </c>
      <c r="F290" t="s">
        <v>530</v>
      </c>
      <c r="G290" t="s">
        <v>569</v>
      </c>
      <c r="H290">
        <v>0</v>
      </c>
      <c r="I290">
        <v>0</v>
      </c>
    </row>
    <row r="291" spans="1:9" x14ac:dyDescent="0.2">
      <c r="A291" t="s">
        <v>277</v>
      </c>
      <c r="B291" t="s">
        <v>457</v>
      </c>
      <c r="C291" t="s">
        <v>501</v>
      </c>
      <c r="D291">
        <v>0</v>
      </c>
      <c r="E291" t="s">
        <v>501</v>
      </c>
      <c r="F291" t="s">
        <v>564</v>
      </c>
      <c r="G291" t="s">
        <v>571</v>
      </c>
      <c r="H291">
        <v>0</v>
      </c>
      <c r="I291">
        <v>0</v>
      </c>
    </row>
    <row r="292" spans="1:9" x14ac:dyDescent="0.2">
      <c r="A292" t="s">
        <v>263</v>
      </c>
      <c r="B292" t="s">
        <v>458</v>
      </c>
      <c r="C292" t="s">
        <v>476</v>
      </c>
      <c r="D292">
        <v>0</v>
      </c>
      <c r="E292" t="s">
        <v>476</v>
      </c>
      <c r="F292" t="s">
        <v>565</v>
      </c>
      <c r="G292" t="s">
        <v>580</v>
      </c>
      <c r="H292">
        <v>0</v>
      </c>
      <c r="I292">
        <v>0</v>
      </c>
    </row>
    <row r="293" spans="1:9" x14ac:dyDescent="0.2">
      <c r="A293" t="s">
        <v>316</v>
      </c>
      <c r="B293" t="s">
        <v>459</v>
      </c>
      <c r="C293" t="s">
        <v>478</v>
      </c>
      <c r="D293">
        <v>0</v>
      </c>
      <c r="E293" t="s">
        <v>478</v>
      </c>
      <c r="F293" t="s">
        <v>557</v>
      </c>
      <c r="G293" t="s">
        <v>569</v>
      </c>
      <c r="H293">
        <v>0</v>
      </c>
      <c r="I293">
        <v>0</v>
      </c>
    </row>
    <row r="294" spans="1:9" x14ac:dyDescent="0.2">
      <c r="A294" t="s">
        <v>317</v>
      </c>
      <c r="B294" t="s">
        <v>460</v>
      </c>
      <c r="C294" t="s">
        <v>478</v>
      </c>
      <c r="D294">
        <v>0</v>
      </c>
      <c r="E294" t="s">
        <v>478</v>
      </c>
      <c r="F294" t="s">
        <v>560</v>
      </c>
      <c r="G294" t="s">
        <v>569</v>
      </c>
      <c r="H294">
        <v>0</v>
      </c>
      <c r="I294">
        <v>0</v>
      </c>
    </row>
    <row r="295" spans="1:9" x14ac:dyDescent="0.2">
      <c r="A295" t="s">
        <v>318</v>
      </c>
      <c r="B295" t="s">
        <v>461</v>
      </c>
      <c r="C295" t="s">
        <v>478</v>
      </c>
      <c r="D295">
        <v>0</v>
      </c>
      <c r="E295" t="s">
        <v>478</v>
      </c>
      <c r="F295" t="s">
        <v>561</v>
      </c>
      <c r="G295" t="s">
        <v>574</v>
      </c>
      <c r="H295">
        <v>0</v>
      </c>
      <c r="I295">
        <v>0</v>
      </c>
    </row>
    <row r="296" spans="1:9" x14ac:dyDescent="0.2">
      <c r="A296" t="s">
        <v>319</v>
      </c>
      <c r="B296" t="s">
        <v>462</v>
      </c>
      <c r="C296" t="s">
        <v>482</v>
      </c>
      <c r="D296">
        <v>0</v>
      </c>
      <c r="E296" t="s">
        <v>482</v>
      </c>
      <c r="F296" t="s">
        <v>526</v>
      </c>
      <c r="G296" t="s">
        <v>580</v>
      </c>
      <c r="H296">
        <v>0</v>
      </c>
      <c r="I296">
        <v>0</v>
      </c>
    </row>
    <row r="297" spans="1:9" x14ac:dyDescent="0.2">
      <c r="A297" t="s">
        <v>320</v>
      </c>
      <c r="B297" t="s">
        <v>463</v>
      </c>
      <c r="C297" t="s">
        <v>488</v>
      </c>
      <c r="D297">
        <v>0</v>
      </c>
      <c r="E297" t="s">
        <v>488</v>
      </c>
      <c r="F297" t="s">
        <v>562</v>
      </c>
      <c r="G297" t="s">
        <v>580</v>
      </c>
      <c r="H297">
        <v>0</v>
      </c>
      <c r="I297">
        <v>0</v>
      </c>
    </row>
    <row r="298" spans="1:9" x14ac:dyDescent="0.2">
      <c r="A298" t="s">
        <v>319</v>
      </c>
      <c r="B298" t="s">
        <v>464</v>
      </c>
      <c r="C298" t="s">
        <v>482</v>
      </c>
      <c r="D298">
        <v>0</v>
      </c>
      <c r="E298" t="s">
        <v>482</v>
      </c>
      <c r="F298" t="s">
        <v>563</v>
      </c>
      <c r="G298" t="s">
        <v>580</v>
      </c>
      <c r="H298">
        <v>0</v>
      </c>
      <c r="I298">
        <v>0</v>
      </c>
    </row>
    <row r="299" spans="1:9" x14ac:dyDescent="0.2">
      <c r="A299" t="s">
        <v>319</v>
      </c>
      <c r="B299" t="s">
        <v>465</v>
      </c>
      <c r="C299" t="s">
        <v>481</v>
      </c>
      <c r="D299">
        <v>0</v>
      </c>
      <c r="E299" t="s">
        <v>481</v>
      </c>
      <c r="F299" t="s">
        <v>526</v>
      </c>
      <c r="G299" t="s">
        <v>580</v>
      </c>
      <c r="H299">
        <v>0</v>
      </c>
      <c r="I299">
        <v>0</v>
      </c>
    </row>
    <row r="300" spans="1:9" x14ac:dyDescent="0.2">
      <c r="A300" t="s">
        <v>321</v>
      </c>
      <c r="B300" t="s">
        <v>466</v>
      </c>
      <c r="C300" t="s">
        <v>488</v>
      </c>
      <c r="D300">
        <v>0</v>
      </c>
      <c r="E300" t="s">
        <v>488</v>
      </c>
      <c r="F300" t="s">
        <v>547</v>
      </c>
      <c r="G300" t="s">
        <v>574</v>
      </c>
      <c r="H300">
        <v>0</v>
      </c>
      <c r="I300">
        <v>0</v>
      </c>
    </row>
    <row r="301" spans="1:9" x14ac:dyDescent="0.2">
      <c r="A301" t="s">
        <v>322</v>
      </c>
      <c r="B301" t="s">
        <v>467</v>
      </c>
      <c r="C301" t="s">
        <v>482</v>
      </c>
      <c r="D301">
        <v>0</v>
      </c>
      <c r="E301" t="s">
        <v>482</v>
      </c>
      <c r="F301" t="s">
        <v>566</v>
      </c>
      <c r="G301" t="s">
        <v>574</v>
      </c>
      <c r="H301">
        <v>0</v>
      </c>
      <c r="I301">
        <v>0</v>
      </c>
    </row>
    <row r="302" spans="1:9" x14ac:dyDescent="0.2">
      <c r="A302" t="s">
        <v>283</v>
      </c>
      <c r="B302" t="s">
        <v>468</v>
      </c>
      <c r="C302" t="s">
        <v>478</v>
      </c>
      <c r="D302">
        <v>0</v>
      </c>
      <c r="E302" t="s">
        <v>478</v>
      </c>
      <c r="F302" t="s">
        <v>524</v>
      </c>
      <c r="G302" t="s">
        <v>581</v>
      </c>
      <c r="H302">
        <v>0</v>
      </c>
      <c r="I302">
        <v>0</v>
      </c>
    </row>
    <row r="303" spans="1:9" x14ac:dyDescent="0.2">
      <c r="A303" t="s">
        <v>275</v>
      </c>
      <c r="B303" t="s">
        <v>469</v>
      </c>
      <c r="C303" t="s">
        <v>478</v>
      </c>
      <c r="D303">
        <v>0</v>
      </c>
      <c r="E303" t="s">
        <v>478</v>
      </c>
      <c r="F303" t="s">
        <v>530</v>
      </c>
      <c r="G303" t="s">
        <v>581</v>
      </c>
      <c r="H303">
        <v>0</v>
      </c>
      <c r="I303">
        <v>0</v>
      </c>
    </row>
    <row r="304" spans="1:9" x14ac:dyDescent="0.2">
      <c r="A304" t="s">
        <v>275</v>
      </c>
      <c r="B304" t="s">
        <v>470</v>
      </c>
      <c r="C304" t="s">
        <v>478</v>
      </c>
      <c r="D304">
        <v>0</v>
      </c>
      <c r="E304" t="s">
        <v>478</v>
      </c>
      <c r="F304" t="s">
        <v>530</v>
      </c>
      <c r="G304" t="s">
        <v>581</v>
      </c>
      <c r="H304">
        <v>0</v>
      </c>
      <c r="I304">
        <v>0</v>
      </c>
    </row>
    <row r="305" spans="1:9" x14ac:dyDescent="0.2">
      <c r="A305" t="s">
        <v>275</v>
      </c>
      <c r="B305" t="s">
        <v>471</v>
      </c>
      <c r="C305" t="s">
        <v>478</v>
      </c>
      <c r="D305">
        <v>0</v>
      </c>
      <c r="E305" t="s">
        <v>478</v>
      </c>
      <c r="F305" t="s">
        <v>530</v>
      </c>
      <c r="G305" t="s">
        <v>581</v>
      </c>
      <c r="H305">
        <v>0</v>
      </c>
      <c r="I305">
        <v>0</v>
      </c>
    </row>
    <row r="306" spans="1:9" x14ac:dyDescent="0.2">
      <c r="A306" t="s">
        <v>275</v>
      </c>
      <c r="B306" t="s">
        <v>472</v>
      </c>
      <c r="C306" t="s">
        <v>478</v>
      </c>
      <c r="D306">
        <v>0</v>
      </c>
      <c r="E306" t="s">
        <v>478</v>
      </c>
      <c r="F306" t="s">
        <v>530</v>
      </c>
      <c r="G306" t="s">
        <v>581</v>
      </c>
      <c r="H306">
        <v>0</v>
      </c>
      <c r="I306">
        <v>0</v>
      </c>
    </row>
    <row r="307" spans="1:9" x14ac:dyDescent="0.2">
      <c r="A307" t="s">
        <v>286</v>
      </c>
      <c r="B307" t="s">
        <v>473</v>
      </c>
      <c r="C307" t="s">
        <v>486</v>
      </c>
      <c r="D307">
        <v>0</v>
      </c>
      <c r="E307" t="s">
        <v>486</v>
      </c>
      <c r="F307" t="s">
        <v>542</v>
      </c>
      <c r="G307" t="s">
        <v>580</v>
      </c>
      <c r="H307">
        <v>0</v>
      </c>
      <c r="I307">
        <v>0</v>
      </c>
    </row>
    <row r="308" spans="1:9" x14ac:dyDescent="0.2">
      <c r="A308" t="s">
        <v>286</v>
      </c>
      <c r="B308" t="s">
        <v>474</v>
      </c>
      <c r="C308" t="s">
        <v>486</v>
      </c>
      <c r="D308">
        <v>0</v>
      </c>
      <c r="E308" t="s">
        <v>486</v>
      </c>
      <c r="F308" t="s">
        <v>542</v>
      </c>
      <c r="G308" t="s">
        <v>580</v>
      </c>
      <c r="H308">
        <v>0</v>
      </c>
      <c r="I308">
        <v>0</v>
      </c>
    </row>
    <row r="309" spans="1:9" x14ac:dyDescent="0.2">
      <c r="A309" t="s">
        <v>289</v>
      </c>
      <c r="B309" t="s">
        <v>475</v>
      </c>
      <c r="C309" t="s">
        <v>478</v>
      </c>
      <c r="D309">
        <v>0</v>
      </c>
      <c r="E309" t="s">
        <v>478</v>
      </c>
      <c r="F309" t="s">
        <v>559</v>
      </c>
      <c r="G309" t="s">
        <v>574</v>
      </c>
      <c r="H309">
        <v>0</v>
      </c>
      <c r="I309">
        <v>0</v>
      </c>
    </row>
    <row r="310" spans="1:9" x14ac:dyDescent="0.2">
      <c r="A310" t="s">
        <v>302</v>
      </c>
      <c r="B310" t="s">
        <v>302</v>
      </c>
      <c r="C310" t="s">
        <v>478</v>
      </c>
      <c r="D310">
        <v>0</v>
      </c>
      <c r="E310" t="s">
        <v>478</v>
      </c>
      <c r="F310" t="s">
        <v>567</v>
      </c>
      <c r="G310" t="s">
        <v>579</v>
      </c>
      <c r="H310">
        <v>0</v>
      </c>
      <c r="I310">
        <v>0</v>
      </c>
    </row>
    <row r="311" spans="1:9" x14ac:dyDescent="0.2">
      <c r="A311" t="s">
        <v>323</v>
      </c>
      <c r="B311" t="s">
        <v>302</v>
      </c>
      <c r="C311" t="s">
        <v>478</v>
      </c>
      <c r="D311">
        <v>0</v>
      </c>
      <c r="E311" t="s">
        <v>478</v>
      </c>
      <c r="F311" t="s">
        <v>568</v>
      </c>
      <c r="G311" t="s">
        <v>569</v>
      </c>
      <c r="H311">
        <v>0</v>
      </c>
      <c r="I311">
        <v>0</v>
      </c>
    </row>
    <row r="312" spans="1:9" x14ac:dyDescent="0.2">
      <c r="A312" t="s">
        <v>263</v>
      </c>
      <c r="B312" t="s">
        <v>324</v>
      </c>
      <c r="C312" t="s">
        <v>476</v>
      </c>
      <c r="D312" t="s">
        <v>503</v>
      </c>
      <c r="E312" t="s">
        <v>478</v>
      </c>
      <c r="F312" t="s">
        <v>515</v>
      </c>
      <c r="G312" t="s">
        <v>319</v>
      </c>
      <c r="H312">
        <v>512.20168843859256</v>
      </c>
      <c r="I312">
        <v>550</v>
      </c>
    </row>
    <row r="313" spans="1:9" x14ac:dyDescent="0.2">
      <c r="A313" t="s">
        <v>264</v>
      </c>
      <c r="B313" t="s">
        <v>325</v>
      </c>
      <c r="C313" t="s">
        <v>477</v>
      </c>
      <c r="D313" t="s">
        <v>504</v>
      </c>
      <c r="E313" t="s">
        <v>477</v>
      </c>
      <c r="F313" t="s">
        <v>516</v>
      </c>
      <c r="G313" t="s">
        <v>569</v>
      </c>
      <c r="H313">
        <v>137.34523897192631</v>
      </c>
      <c r="I313">
        <v>150</v>
      </c>
    </row>
    <row r="314" spans="1:9" x14ac:dyDescent="0.2">
      <c r="A314" t="s">
        <v>265</v>
      </c>
      <c r="B314" t="s">
        <v>326</v>
      </c>
      <c r="C314" t="s">
        <v>478</v>
      </c>
      <c r="D314" t="s">
        <v>505</v>
      </c>
      <c r="E314" t="s">
        <v>478</v>
      </c>
      <c r="F314" t="s">
        <v>517</v>
      </c>
      <c r="G314" t="s">
        <v>570</v>
      </c>
      <c r="H314">
        <v>0</v>
      </c>
      <c r="I314">
        <v>0</v>
      </c>
    </row>
    <row r="315" spans="1:9" x14ac:dyDescent="0.2">
      <c r="A315" t="s">
        <v>266</v>
      </c>
      <c r="B315" t="s">
        <v>327</v>
      </c>
      <c r="C315" t="s">
        <v>479</v>
      </c>
      <c r="D315" t="s">
        <v>506</v>
      </c>
      <c r="E315" t="s">
        <v>479</v>
      </c>
      <c r="F315" t="s">
        <v>518</v>
      </c>
      <c r="G315" t="s">
        <v>571</v>
      </c>
      <c r="H315">
        <v>437.1338624340375</v>
      </c>
      <c r="I315">
        <v>450</v>
      </c>
    </row>
    <row r="316" spans="1:9" x14ac:dyDescent="0.2">
      <c r="A316" t="s">
        <v>267</v>
      </c>
      <c r="B316" t="s">
        <v>328</v>
      </c>
      <c r="C316" t="s">
        <v>480</v>
      </c>
      <c r="D316" t="s">
        <v>507</v>
      </c>
      <c r="E316" t="s">
        <v>480</v>
      </c>
      <c r="F316" t="s">
        <v>519</v>
      </c>
      <c r="G316" t="s">
        <v>572</v>
      </c>
      <c r="H316">
        <v>0</v>
      </c>
      <c r="I316">
        <v>0</v>
      </c>
    </row>
    <row r="317" spans="1:9" x14ac:dyDescent="0.2">
      <c r="A317" t="s">
        <v>268</v>
      </c>
      <c r="B317" t="s">
        <v>329</v>
      </c>
      <c r="C317" t="s">
        <v>478</v>
      </c>
      <c r="D317" t="s">
        <v>505</v>
      </c>
      <c r="E317" t="s">
        <v>478</v>
      </c>
      <c r="F317" t="s">
        <v>520</v>
      </c>
      <c r="G317" t="s">
        <v>571</v>
      </c>
      <c r="H317">
        <v>0</v>
      </c>
      <c r="I317">
        <v>0</v>
      </c>
    </row>
    <row r="318" spans="1:9" x14ac:dyDescent="0.2">
      <c r="A318" t="s">
        <v>268</v>
      </c>
      <c r="B318" t="s">
        <v>330</v>
      </c>
      <c r="C318" t="s">
        <v>478</v>
      </c>
      <c r="D318" t="s">
        <v>505</v>
      </c>
      <c r="E318" t="s">
        <v>478</v>
      </c>
      <c r="F318" t="s">
        <v>516</v>
      </c>
      <c r="G318" t="s">
        <v>571</v>
      </c>
      <c r="H318">
        <v>0</v>
      </c>
      <c r="I318">
        <v>0</v>
      </c>
    </row>
    <row r="319" spans="1:9" x14ac:dyDescent="0.2">
      <c r="A319" t="s">
        <v>268</v>
      </c>
      <c r="B319" t="s">
        <v>331</v>
      </c>
      <c r="C319" t="s">
        <v>478</v>
      </c>
      <c r="D319" t="s">
        <v>505</v>
      </c>
      <c r="E319" t="s">
        <v>478</v>
      </c>
      <c r="F319" t="s">
        <v>520</v>
      </c>
      <c r="G319" t="s">
        <v>571</v>
      </c>
      <c r="H319">
        <v>0</v>
      </c>
      <c r="I319">
        <v>0</v>
      </c>
    </row>
    <row r="320" spans="1:9" x14ac:dyDescent="0.2">
      <c r="A320" t="s">
        <v>269</v>
      </c>
      <c r="B320" t="s">
        <v>332</v>
      </c>
      <c r="C320" t="s">
        <v>481</v>
      </c>
      <c r="D320" t="s">
        <v>508</v>
      </c>
      <c r="E320" t="s">
        <v>481</v>
      </c>
      <c r="F320" t="s">
        <v>521</v>
      </c>
      <c r="G320" t="s">
        <v>573</v>
      </c>
      <c r="H320">
        <v>0</v>
      </c>
      <c r="I320">
        <v>0</v>
      </c>
    </row>
    <row r="321" spans="1:9" x14ac:dyDescent="0.2">
      <c r="A321" t="s">
        <v>270</v>
      </c>
      <c r="B321" t="s">
        <v>333</v>
      </c>
      <c r="C321" t="s">
        <v>481</v>
      </c>
      <c r="D321" t="s">
        <v>508</v>
      </c>
      <c r="E321" t="s">
        <v>481</v>
      </c>
      <c r="F321" t="s">
        <v>522</v>
      </c>
      <c r="G321" t="s">
        <v>573</v>
      </c>
      <c r="H321">
        <v>0</v>
      </c>
      <c r="I321">
        <v>0</v>
      </c>
    </row>
    <row r="322" spans="1:9" x14ac:dyDescent="0.2">
      <c r="A322" t="s">
        <v>270</v>
      </c>
      <c r="B322" t="s">
        <v>334</v>
      </c>
      <c r="C322" t="s">
        <v>481</v>
      </c>
      <c r="D322" t="s">
        <v>508</v>
      </c>
      <c r="E322" t="s">
        <v>481</v>
      </c>
      <c r="F322" t="s">
        <v>523</v>
      </c>
      <c r="G322" t="s">
        <v>573</v>
      </c>
      <c r="H322">
        <v>0</v>
      </c>
      <c r="I322">
        <v>0</v>
      </c>
    </row>
    <row r="323" spans="1:9" x14ac:dyDescent="0.2">
      <c r="A323" t="s">
        <v>271</v>
      </c>
      <c r="B323" t="s">
        <v>335</v>
      </c>
      <c r="C323" t="s">
        <v>478</v>
      </c>
      <c r="D323" t="s">
        <v>505</v>
      </c>
      <c r="E323" t="s">
        <v>478</v>
      </c>
      <c r="F323" t="s">
        <v>524</v>
      </c>
      <c r="G323" t="s">
        <v>574</v>
      </c>
      <c r="H323">
        <v>0</v>
      </c>
      <c r="I323">
        <v>0</v>
      </c>
    </row>
    <row r="324" spans="1:9" x14ac:dyDescent="0.2">
      <c r="A324" t="s">
        <v>269</v>
      </c>
      <c r="B324" t="s">
        <v>336</v>
      </c>
      <c r="C324" t="s">
        <v>481</v>
      </c>
      <c r="D324" t="s">
        <v>508</v>
      </c>
      <c r="E324" t="s">
        <v>481</v>
      </c>
      <c r="F324" t="s">
        <v>525</v>
      </c>
      <c r="G324" t="s">
        <v>573</v>
      </c>
      <c r="H324">
        <v>0</v>
      </c>
      <c r="I324">
        <v>0</v>
      </c>
    </row>
    <row r="325" spans="1:9" x14ac:dyDescent="0.2">
      <c r="A325" t="s">
        <v>272</v>
      </c>
      <c r="B325" t="s">
        <v>337</v>
      </c>
      <c r="C325" t="s">
        <v>481</v>
      </c>
      <c r="D325" t="s">
        <v>508</v>
      </c>
      <c r="E325" t="s">
        <v>481</v>
      </c>
      <c r="F325" t="s">
        <v>526</v>
      </c>
      <c r="G325" t="s">
        <v>572</v>
      </c>
      <c r="H325">
        <v>0</v>
      </c>
      <c r="I325">
        <v>0</v>
      </c>
    </row>
    <row r="326" spans="1:9" x14ac:dyDescent="0.2">
      <c r="A326" t="s">
        <v>272</v>
      </c>
      <c r="B326" t="s">
        <v>338</v>
      </c>
      <c r="C326" t="s">
        <v>481</v>
      </c>
      <c r="D326" t="s">
        <v>508</v>
      </c>
      <c r="E326" t="s">
        <v>481</v>
      </c>
      <c r="F326" t="s">
        <v>527</v>
      </c>
      <c r="G326" t="s">
        <v>572</v>
      </c>
      <c r="H326">
        <v>0</v>
      </c>
      <c r="I326">
        <v>0</v>
      </c>
    </row>
    <row r="327" spans="1:9" x14ac:dyDescent="0.2">
      <c r="A327" t="s">
        <v>273</v>
      </c>
      <c r="B327" t="s">
        <v>339</v>
      </c>
      <c r="C327" t="s">
        <v>481</v>
      </c>
      <c r="D327" t="s">
        <v>508</v>
      </c>
      <c r="E327" t="s">
        <v>481</v>
      </c>
      <c r="F327" t="s">
        <v>527</v>
      </c>
      <c r="G327" t="s">
        <v>572</v>
      </c>
      <c r="H327">
        <v>0</v>
      </c>
      <c r="I327">
        <v>0</v>
      </c>
    </row>
    <row r="328" spans="1:9" x14ac:dyDescent="0.2">
      <c r="A328" t="s">
        <v>273</v>
      </c>
      <c r="B328" t="s">
        <v>340</v>
      </c>
      <c r="C328" t="s">
        <v>482</v>
      </c>
      <c r="D328" t="s">
        <v>509</v>
      </c>
      <c r="E328" t="s">
        <v>482</v>
      </c>
      <c r="F328" t="s">
        <v>528</v>
      </c>
      <c r="G328" t="s">
        <v>572</v>
      </c>
      <c r="H328">
        <v>0</v>
      </c>
      <c r="I328">
        <v>0</v>
      </c>
    </row>
    <row r="329" spans="1:9" x14ac:dyDescent="0.2">
      <c r="A329" t="s">
        <v>273</v>
      </c>
      <c r="B329" t="s">
        <v>341</v>
      </c>
      <c r="C329" t="s">
        <v>481</v>
      </c>
      <c r="D329" t="s">
        <v>508</v>
      </c>
      <c r="E329" t="s">
        <v>481</v>
      </c>
      <c r="F329" t="s">
        <v>527</v>
      </c>
      <c r="G329" t="s">
        <v>572</v>
      </c>
      <c r="H329">
        <v>0</v>
      </c>
      <c r="I329">
        <v>0</v>
      </c>
    </row>
    <row r="330" spans="1:9" x14ac:dyDescent="0.2">
      <c r="A330" t="s">
        <v>273</v>
      </c>
      <c r="B330" t="s">
        <v>342</v>
      </c>
      <c r="C330" t="s">
        <v>481</v>
      </c>
      <c r="D330" t="s">
        <v>508</v>
      </c>
      <c r="E330" t="s">
        <v>481</v>
      </c>
      <c r="F330" t="s">
        <v>526</v>
      </c>
      <c r="G330" t="s">
        <v>572</v>
      </c>
      <c r="H330">
        <v>0</v>
      </c>
      <c r="I330">
        <v>0</v>
      </c>
    </row>
    <row r="331" spans="1:9" x14ac:dyDescent="0.2">
      <c r="A331" t="s">
        <v>274</v>
      </c>
      <c r="B331" t="s">
        <v>343</v>
      </c>
      <c r="C331" t="s">
        <v>483</v>
      </c>
      <c r="D331" t="s">
        <v>510</v>
      </c>
      <c r="E331" t="s">
        <v>483</v>
      </c>
      <c r="F331" t="s">
        <v>529</v>
      </c>
      <c r="G331" t="s">
        <v>575</v>
      </c>
      <c r="H331">
        <v>0</v>
      </c>
      <c r="I331">
        <v>0</v>
      </c>
    </row>
    <row r="332" spans="1:9" x14ac:dyDescent="0.2">
      <c r="A332" t="s">
        <v>275</v>
      </c>
      <c r="B332" t="s">
        <v>344</v>
      </c>
      <c r="C332" t="s">
        <v>478</v>
      </c>
      <c r="D332" t="s">
        <v>505</v>
      </c>
      <c r="E332" t="s">
        <v>477</v>
      </c>
      <c r="F332" t="s">
        <v>530</v>
      </c>
      <c r="G332" t="s">
        <v>575</v>
      </c>
      <c r="H332">
        <v>0</v>
      </c>
      <c r="I332">
        <v>0</v>
      </c>
    </row>
    <row r="333" spans="1:9" x14ac:dyDescent="0.2">
      <c r="A333" t="s">
        <v>275</v>
      </c>
      <c r="B333" t="s">
        <v>345</v>
      </c>
      <c r="C333" t="s">
        <v>478</v>
      </c>
      <c r="D333" t="s">
        <v>505</v>
      </c>
      <c r="E333" t="s">
        <v>477</v>
      </c>
      <c r="F333" t="s">
        <v>530</v>
      </c>
      <c r="G333" t="s">
        <v>575</v>
      </c>
      <c r="H333">
        <v>0</v>
      </c>
      <c r="I333">
        <v>0</v>
      </c>
    </row>
    <row r="334" spans="1:9" x14ac:dyDescent="0.2">
      <c r="A334" t="s">
        <v>275</v>
      </c>
      <c r="B334" t="s">
        <v>346</v>
      </c>
      <c r="C334" t="s">
        <v>478</v>
      </c>
      <c r="D334" t="s">
        <v>505</v>
      </c>
      <c r="E334" t="s">
        <v>477</v>
      </c>
      <c r="F334" t="s">
        <v>530</v>
      </c>
      <c r="G334" t="s">
        <v>575</v>
      </c>
      <c r="H334">
        <v>0</v>
      </c>
      <c r="I334">
        <v>0</v>
      </c>
    </row>
    <row r="335" spans="1:9" x14ac:dyDescent="0.2">
      <c r="A335" t="s">
        <v>275</v>
      </c>
      <c r="B335" t="s">
        <v>347</v>
      </c>
      <c r="C335" t="s">
        <v>478</v>
      </c>
      <c r="D335" t="s">
        <v>505</v>
      </c>
      <c r="E335" t="s">
        <v>477</v>
      </c>
      <c r="F335" t="s">
        <v>530</v>
      </c>
      <c r="G335" t="s">
        <v>575</v>
      </c>
      <c r="H335">
        <v>0</v>
      </c>
      <c r="I335">
        <v>0</v>
      </c>
    </row>
    <row r="336" spans="1:9" x14ac:dyDescent="0.2">
      <c r="A336" t="s">
        <v>275</v>
      </c>
      <c r="B336" t="s">
        <v>348</v>
      </c>
      <c r="C336" t="s">
        <v>478</v>
      </c>
      <c r="D336" t="s">
        <v>505</v>
      </c>
      <c r="E336" t="s">
        <v>477</v>
      </c>
      <c r="F336" t="s">
        <v>530</v>
      </c>
      <c r="G336" t="s">
        <v>575</v>
      </c>
      <c r="H336">
        <v>0</v>
      </c>
      <c r="I336">
        <v>0</v>
      </c>
    </row>
    <row r="337" spans="1:9" x14ac:dyDescent="0.2">
      <c r="A337" t="s">
        <v>275</v>
      </c>
      <c r="B337" t="s">
        <v>349</v>
      </c>
      <c r="C337" t="s">
        <v>478</v>
      </c>
      <c r="D337" t="s">
        <v>505</v>
      </c>
      <c r="E337" t="s">
        <v>477</v>
      </c>
      <c r="F337" t="s">
        <v>530</v>
      </c>
      <c r="G337" t="s">
        <v>575</v>
      </c>
      <c r="H337">
        <v>0</v>
      </c>
      <c r="I337">
        <v>0</v>
      </c>
    </row>
    <row r="338" spans="1:9" x14ac:dyDescent="0.2">
      <c r="A338" t="s">
        <v>275</v>
      </c>
      <c r="B338" t="s">
        <v>350</v>
      </c>
      <c r="C338" t="s">
        <v>478</v>
      </c>
      <c r="D338" t="s">
        <v>505</v>
      </c>
      <c r="E338" t="s">
        <v>477</v>
      </c>
      <c r="F338" t="s">
        <v>530</v>
      </c>
      <c r="G338" t="s">
        <v>575</v>
      </c>
      <c r="H338">
        <v>0</v>
      </c>
      <c r="I338">
        <v>0</v>
      </c>
    </row>
    <row r="339" spans="1:9" x14ac:dyDescent="0.2">
      <c r="A339" t="s">
        <v>275</v>
      </c>
      <c r="B339" t="s">
        <v>351</v>
      </c>
      <c r="C339" t="s">
        <v>478</v>
      </c>
      <c r="D339" t="s">
        <v>505</v>
      </c>
      <c r="E339" t="s">
        <v>477</v>
      </c>
      <c r="F339" t="s">
        <v>530</v>
      </c>
      <c r="G339" t="s">
        <v>575</v>
      </c>
      <c r="H339">
        <v>0</v>
      </c>
      <c r="I339">
        <v>0</v>
      </c>
    </row>
    <row r="340" spans="1:9" x14ac:dyDescent="0.2">
      <c r="A340" t="s">
        <v>275</v>
      </c>
      <c r="B340" t="s">
        <v>352</v>
      </c>
      <c r="C340" t="s">
        <v>478</v>
      </c>
      <c r="D340" t="s">
        <v>505</v>
      </c>
      <c r="E340" t="s">
        <v>477</v>
      </c>
      <c r="F340" t="s">
        <v>530</v>
      </c>
      <c r="G340" t="s">
        <v>575</v>
      </c>
      <c r="H340">
        <v>0</v>
      </c>
      <c r="I340">
        <v>0</v>
      </c>
    </row>
    <row r="341" spans="1:9" x14ac:dyDescent="0.2">
      <c r="A341" t="s">
        <v>264</v>
      </c>
      <c r="B341" t="s">
        <v>353</v>
      </c>
      <c r="C341" t="s">
        <v>478</v>
      </c>
      <c r="D341" t="s">
        <v>505</v>
      </c>
      <c r="E341" t="s">
        <v>477</v>
      </c>
      <c r="F341" t="s">
        <v>516</v>
      </c>
      <c r="G341" t="s">
        <v>575</v>
      </c>
      <c r="H341">
        <v>0</v>
      </c>
      <c r="I341">
        <v>0</v>
      </c>
    </row>
    <row r="342" spans="1:9" x14ac:dyDescent="0.2">
      <c r="A342" t="s">
        <v>276</v>
      </c>
      <c r="B342" t="s">
        <v>354</v>
      </c>
      <c r="C342" t="s">
        <v>484</v>
      </c>
      <c r="D342" t="s">
        <v>511</v>
      </c>
      <c r="E342" t="s">
        <v>484</v>
      </c>
      <c r="F342" t="s">
        <v>531</v>
      </c>
      <c r="G342" t="s">
        <v>575</v>
      </c>
      <c r="H342">
        <v>0</v>
      </c>
      <c r="I342">
        <v>0</v>
      </c>
    </row>
    <row r="343" spans="1:9" x14ac:dyDescent="0.2">
      <c r="A343" t="s">
        <v>275</v>
      </c>
      <c r="B343" t="s">
        <v>355</v>
      </c>
      <c r="C343" t="s">
        <v>478</v>
      </c>
      <c r="D343" t="s">
        <v>505</v>
      </c>
      <c r="E343" t="s">
        <v>477</v>
      </c>
      <c r="F343" t="s">
        <v>530</v>
      </c>
      <c r="G343" t="s">
        <v>575</v>
      </c>
      <c r="H343">
        <v>0</v>
      </c>
      <c r="I343">
        <v>0</v>
      </c>
    </row>
    <row r="344" spans="1:9" x14ac:dyDescent="0.2">
      <c r="A344" t="s">
        <v>275</v>
      </c>
      <c r="B344" t="s">
        <v>356</v>
      </c>
      <c r="C344" t="s">
        <v>478</v>
      </c>
      <c r="D344" t="s">
        <v>505</v>
      </c>
      <c r="E344" t="s">
        <v>477</v>
      </c>
      <c r="F344" t="s">
        <v>530</v>
      </c>
      <c r="G344" t="s">
        <v>575</v>
      </c>
      <c r="H344">
        <v>0</v>
      </c>
      <c r="I344">
        <v>0</v>
      </c>
    </row>
    <row r="345" spans="1:9" x14ac:dyDescent="0.2">
      <c r="A345" t="s">
        <v>275</v>
      </c>
      <c r="B345" t="s">
        <v>357</v>
      </c>
      <c r="C345" t="s">
        <v>478</v>
      </c>
      <c r="D345" t="s">
        <v>505</v>
      </c>
      <c r="E345" t="s">
        <v>477</v>
      </c>
      <c r="F345" t="s">
        <v>530</v>
      </c>
      <c r="G345" t="s">
        <v>575</v>
      </c>
      <c r="H345">
        <v>0</v>
      </c>
      <c r="I345">
        <v>0</v>
      </c>
    </row>
    <row r="346" spans="1:9" x14ac:dyDescent="0.2">
      <c r="A346" t="s">
        <v>275</v>
      </c>
      <c r="B346" t="s">
        <v>358</v>
      </c>
      <c r="C346" t="s">
        <v>478</v>
      </c>
      <c r="D346" t="s">
        <v>505</v>
      </c>
      <c r="E346" t="s">
        <v>477</v>
      </c>
      <c r="F346" t="s">
        <v>530</v>
      </c>
      <c r="G346" t="s">
        <v>575</v>
      </c>
      <c r="H346">
        <v>0</v>
      </c>
      <c r="I346">
        <v>0</v>
      </c>
    </row>
    <row r="347" spans="1:9" x14ac:dyDescent="0.2">
      <c r="A347" t="s">
        <v>275</v>
      </c>
      <c r="B347" t="s">
        <v>359</v>
      </c>
      <c r="C347" t="s">
        <v>478</v>
      </c>
      <c r="D347" t="s">
        <v>505</v>
      </c>
      <c r="E347" t="s">
        <v>477</v>
      </c>
      <c r="F347" t="s">
        <v>530</v>
      </c>
      <c r="G347" t="s">
        <v>575</v>
      </c>
      <c r="H347">
        <v>0</v>
      </c>
      <c r="I347">
        <v>0</v>
      </c>
    </row>
    <row r="348" spans="1:9" x14ac:dyDescent="0.2">
      <c r="A348" t="s">
        <v>275</v>
      </c>
      <c r="B348" t="s">
        <v>360</v>
      </c>
      <c r="C348" t="s">
        <v>478</v>
      </c>
      <c r="D348" t="s">
        <v>505</v>
      </c>
      <c r="E348" t="s">
        <v>477</v>
      </c>
      <c r="F348" t="s">
        <v>530</v>
      </c>
      <c r="G348" t="s">
        <v>575</v>
      </c>
      <c r="H348">
        <v>0</v>
      </c>
      <c r="I348">
        <v>0</v>
      </c>
    </row>
    <row r="349" spans="1:9" x14ac:dyDescent="0.2">
      <c r="A349" t="s">
        <v>264</v>
      </c>
      <c r="B349" t="s">
        <v>361</v>
      </c>
      <c r="C349" t="s">
        <v>478</v>
      </c>
      <c r="D349" t="s">
        <v>505</v>
      </c>
      <c r="E349" t="s">
        <v>477</v>
      </c>
      <c r="F349" t="s">
        <v>516</v>
      </c>
      <c r="G349" t="s">
        <v>575</v>
      </c>
      <c r="H349">
        <v>0</v>
      </c>
      <c r="I349">
        <v>0</v>
      </c>
    </row>
    <row r="350" spans="1:9" x14ac:dyDescent="0.2">
      <c r="A350" t="s">
        <v>265</v>
      </c>
      <c r="B350" t="s">
        <v>362</v>
      </c>
      <c r="C350" t="s">
        <v>478</v>
      </c>
      <c r="D350" t="s">
        <v>505</v>
      </c>
      <c r="E350" t="s">
        <v>491</v>
      </c>
      <c r="F350" t="s">
        <v>532</v>
      </c>
      <c r="G350" t="s">
        <v>570</v>
      </c>
      <c r="H350">
        <v>0</v>
      </c>
      <c r="I350">
        <v>0</v>
      </c>
    </row>
    <row r="351" spans="1:9" x14ac:dyDescent="0.2">
      <c r="A351" t="s">
        <v>277</v>
      </c>
      <c r="B351" t="s">
        <v>363</v>
      </c>
      <c r="C351" t="s">
        <v>485</v>
      </c>
      <c r="D351" t="s">
        <v>512</v>
      </c>
      <c r="E351" t="s">
        <v>485</v>
      </c>
      <c r="F351" t="s">
        <v>525</v>
      </c>
      <c r="G351" t="s">
        <v>571</v>
      </c>
      <c r="H351">
        <v>0</v>
      </c>
      <c r="I351">
        <v>0</v>
      </c>
    </row>
    <row r="352" spans="1:9" x14ac:dyDescent="0.2">
      <c r="A352" t="s">
        <v>267</v>
      </c>
      <c r="B352" t="s">
        <v>364</v>
      </c>
      <c r="C352" t="s">
        <v>480</v>
      </c>
      <c r="D352" t="s">
        <v>507</v>
      </c>
      <c r="E352" t="s">
        <v>480</v>
      </c>
      <c r="F352" t="s">
        <v>533</v>
      </c>
      <c r="G352" t="s">
        <v>572</v>
      </c>
      <c r="H352">
        <v>0</v>
      </c>
      <c r="I352">
        <v>0</v>
      </c>
    </row>
    <row r="353" spans="1:9" x14ac:dyDescent="0.2">
      <c r="A353" t="s">
        <v>278</v>
      </c>
      <c r="B353" t="s">
        <v>365</v>
      </c>
      <c r="C353" t="s">
        <v>486</v>
      </c>
      <c r="D353" t="s">
        <v>513</v>
      </c>
      <c r="E353" t="s">
        <v>486</v>
      </c>
      <c r="F353" t="s">
        <v>534</v>
      </c>
      <c r="G353" t="s">
        <v>573</v>
      </c>
      <c r="H353">
        <v>0</v>
      </c>
      <c r="I353">
        <v>0</v>
      </c>
    </row>
    <row r="354" spans="1:9" x14ac:dyDescent="0.2">
      <c r="A354" t="s">
        <v>278</v>
      </c>
      <c r="B354" t="s">
        <v>366</v>
      </c>
      <c r="C354" t="s">
        <v>486</v>
      </c>
      <c r="D354" t="s">
        <v>513</v>
      </c>
      <c r="E354" t="s">
        <v>486</v>
      </c>
      <c r="F354" t="s">
        <v>534</v>
      </c>
      <c r="G354" t="s">
        <v>573</v>
      </c>
      <c r="H354">
        <v>0</v>
      </c>
      <c r="I354">
        <v>0</v>
      </c>
    </row>
    <row r="355" spans="1:9" x14ac:dyDescent="0.2">
      <c r="A355" t="s">
        <v>279</v>
      </c>
      <c r="B355" t="s">
        <v>367</v>
      </c>
      <c r="C355" t="s">
        <v>487</v>
      </c>
      <c r="D355" t="s">
        <v>514</v>
      </c>
      <c r="E355" t="s">
        <v>487</v>
      </c>
      <c r="F355" t="s">
        <v>535</v>
      </c>
      <c r="G355" t="s">
        <v>573</v>
      </c>
      <c r="H355">
        <v>0</v>
      </c>
      <c r="I355">
        <v>0</v>
      </c>
    </row>
    <row r="356" spans="1:9" x14ac:dyDescent="0.2">
      <c r="A356" t="s">
        <v>279</v>
      </c>
      <c r="B356" t="s">
        <v>368</v>
      </c>
      <c r="C356" t="s">
        <v>487</v>
      </c>
      <c r="D356" t="s">
        <v>514</v>
      </c>
      <c r="E356" t="s">
        <v>487</v>
      </c>
      <c r="F356" t="s">
        <v>527</v>
      </c>
      <c r="G356" t="s">
        <v>573</v>
      </c>
      <c r="H356">
        <v>0</v>
      </c>
      <c r="I356">
        <v>0</v>
      </c>
    </row>
    <row r="357" spans="1:9" x14ac:dyDescent="0.2">
      <c r="A357" t="s">
        <v>280</v>
      </c>
      <c r="B357" t="s">
        <v>369</v>
      </c>
      <c r="C357" t="s">
        <v>482</v>
      </c>
      <c r="D357">
        <v>0</v>
      </c>
      <c r="E357" t="s">
        <v>482</v>
      </c>
      <c r="F357" t="s">
        <v>526</v>
      </c>
      <c r="G357" t="s">
        <v>572</v>
      </c>
      <c r="H357">
        <v>0</v>
      </c>
      <c r="I357">
        <v>0</v>
      </c>
    </row>
    <row r="358" spans="1:9" x14ac:dyDescent="0.2">
      <c r="A358" t="s">
        <v>280</v>
      </c>
      <c r="B358" t="s">
        <v>370</v>
      </c>
      <c r="C358" t="s">
        <v>482</v>
      </c>
      <c r="D358">
        <v>0</v>
      </c>
      <c r="E358" t="s">
        <v>482</v>
      </c>
      <c r="F358" t="s">
        <v>527</v>
      </c>
      <c r="G358" t="s">
        <v>572</v>
      </c>
      <c r="H358">
        <v>0</v>
      </c>
      <c r="I358">
        <v>0</v>
      </c>
    </row>
    <row r="359" spans="1:9" x14ac:dyDescent="0.2">
      <c r="A359" t="s">
        <v>272</v>
      </c>
      <c r="B359" t="s">
        <v>371</v>
      </c>
      <c r="C359" t="s">
        <v>482</v>
      </c>
      <c r="D359">
        <v>0</v>
      </c>
      <c r="E359" t="s">
        <v>482</v>
      </c>
      <c r="F359" t="s">
        <v>527</v>
      </c>
      <c r="G359" t="s">
        <v>572</v>
      </c>
      <c r="H359">
        <v>0</v>
      </c>
      <c r="I359">
        <v>0</v>
      </c>
    </row>
    <row r="360" spans="1:9" x14ac:dyDescent="0.2">
      <c r="A360" t="s">
        <v>272</v>
      </c>
      <c r="B360" t="s">
        <v>372</v>
      </c>
      <c r="C360" t="s">
        <v>488</v>
      </c>
      <c r="D360">
        <v>0</v>
      </c>
      <c r="E360" t="s">
        <v>488</v>
      </c>
      <c r="F360" t="s">
        <v>528</v>
      </c>
      <c r="G360" t="s">
        <v>572</v>
      </c>
      <c r="H360">
        <v>0</v>
      </c>
      <c r="I360">
        <v>0</v>
      </c>
    </row>
    <row r="361" spans="1:9" x14ac:dyDescent="0.2">
      <c r="A361" t="s">
        <v>281</v>
      </c>
      <c r="B361" t="s">
        <v>373</v>
      </c>
      <c r="C361" t="s">
        <v>482</v>
      </c>
      <c r="D361">
        <v>0</v>
      </c>
      <c r="E361" t="s">
        <v>482</v>
      </c>
      <c r="F361" t="s">
        <v>527</v>
      </c>
      <c r="G361" t="s">
        <v>572</v>
      </c>
      <c r="H361">
        <v>0</v>
      </c>
      <c r="I361">
        <v>0</v>
      </c>
    </row>
    <row r="362" spans="1:9" x14ac:dyDescent="0.2">
      <c r="A362" t="s">
        <v>273</v>
      </c>
      <c r="B362" t="s">
        <v>374</v>
      </c>
      <c r="C362" t="s">
        <v>481</v>
      </c>
      <c r="D362">
        <v>0</v>
      </c>
      <c r="E362" t="s">
        <v>481</v>
      </c>
      <c r="F362" t="s">
        <v>526</v>
      </c>
      <c r="G362" t="s">
        <v>572</v>
      </c>
      <c r="H362">
        <v>0</v>
      </c>
      <c r="I362">
        <v>0</v>
      </c>
    </row>
    <row r="363" spans="1:9" x14ac:dyDescent="0.2">
      <c r="A363" t="s">
        <v>282</v>
      </c>
      <c r="B363" t="s">
        <v>375</v>
      </c>
      <c r="C363" t="s">
        <v>489</v>
      </c>
      <c r="D363">
        <v>0</v>
      </c>
      <c r="E363" t="s">
        <v>489</v>
      </c>
      <c r="F363" t="s">
        <v>526</v>
      </c>
      <c r="G363" t="s">
        <v>572</v>
      </c>
      <c r="H363">
        <v>0</v>
      </c>
      <c r="I363">
        <v>0</v>
      </c>
    </row>
    <row r="364" spans="1:9" x14ac:dyDescent="0.2">
      <c r="A364" t="s">
        <v>283</v>
      </c>
      <c r="B364" t="s">
        <v>376</v>
      </c>
      <c r="C364" t="s">
        <v>490</v>
      </c>
      <c r="D364">
        <v>0</v>
      </c>
      <c r="E364" t="s">
        <v>478</v>
      </c>
      <c r="F364" t="s">
        <v>536</v>
      </c>
      <c r="G364" t="s">
        <v>575</v>
      </c>
      <c r="H364">
        <v>0</v>
      </c>
      <c r="I364">
        <v>0</v>
      </c>
    </row>
    <row r="365" spans="1:9" x14ac:dyDescent="0.2">
      <c r="A365" t="s">
        <v>275</v>
      </c>
      <c r="B365" t="s">
        <v>377</v>
      </c>
      <c r="C365" t="s">
        <v>478</v>
      </c>
      <c r="D365">
        <v>0</v>
      </c>
      <c r="E365" t="s">
        <v>477</v>
      </c>
      <c r="F365" t="s">
        <v>537</v>
      </c>
      <c r="G365" t="s">
        <v>575</v>
      </c>
      <c r="H365">
        <v>0</v>
      </c>
      <c r="I365">
        <v>0</v>
      </c>
    </row>
    <row r="366" spans="1:9" x14ac:dyDescent="0.2">
      <c r="A366" t="s">
        <v>275</v>
      </c>
      <c r="B366" t="s">
        <v>378</v>
      </c>
      <c r="C366" t="s">
        <v>478</v>
      </c>
      <c r="D366">
        <v>0</v>
      </c>
      <c r="E366" t="s">
        <v>477</v>
      </c>
      <c r="F366" t="s">
        <v>538</v>
      </c>
      <c r="G366" t="s">
        <v>575</v>
      </c>
      <c r="H366">
        <v>0</v>
      </c>
      <c r="I366">
        <v>0</v>
      </c>
    </row>
    <row r="367" spans="1:9" x14ac:dyDescent="0.2">
      <c r="A367" t="s">
        <v>275</v>
      </c>
      <c r="B367" t="s">
        <v>379</v>
      </c>
      <c r="C367" t="s">
        <v>478</v>
      </c>
      <c r="D367">
        <v>0</v>
      </c>
      <c r="E367" t="s">
        <v>477</v>
      </c>
      <c r="F367" t="s">
        <v>538</v>
      </c>
      <c r="G367" t="s">
        <v>575</v>
      </c>
      <c r="H367">
        <v>0</v>
      </c>
      <c r="I367">
        <v>0</v>
      </c>
    </row>
    <row r="368" spans="1:9" x14ac:dyDescent="0.2">
      <c r="A368" t="s">
        <v>275</v>
      </c>
      <c r="B368" t="s">
        <v>380</v>
      </c>
      <c r="C368" t="s">
        <v>478</v>
      </c>
      <c r="D368">
        <v>0</v>
      </c>
      <c r="E368" t="s">
        <v>477</v>
      </c>
      <c r="F368" t="s">
        <v>530</v>
      </c>
      <c r="G368" t="s">
        <v>575</v>
      </c>
      <c r="H368">
        <v>0</v>
      </c>
      <c r="I368">
        <v>0</v>
      </c>
    </row>
    <row r="369" spans="1:9" x14ac:dyDescent="0.2">
      <c r="A369" t="s">
        <v>275</v>
      </c>
      <c r="B369" t="s">
        <v>381</v>
      </c>
      <c r="C369" t="s">
        <v>478</v>
      </c>
      <c r="D369">
        <v>0</v>
      </c>
      <c r="E369" t="s">
        <v>477</v>
      </c>
      <c r="F369" t="s">
        <v>530</v>
      </c>
      <c r="G369" t="s">
        <v>575</v>
      </c>
      <c r="H369">
        <v>0</v>
      </c>
      <c r="I369">
        <v>0</v>
      </c>
    </row>
    <row r="370" spans="1:9" x14ac:dyDescent="0.2">
      <c r="A370" t="s">
        <v>275</v>
      </c>
      <c r="B370" t="s">
        <v>382</v>
      </c>
      <c r="C370" t="s">
        <v>478</v>
      </c>
      <c r="D370">
        <v>0</v>
      </c>
      <c r="E370" t="s">
        <v>477</v>
      </c>
      <c r="F370" t="s">
        <v>530</v>
      </c>
      <c r="G370" t="s">
        <v>575</v>
      </c>
      <c r="H370">
        <v>0</v>
      </c>
      <c r="I370">
        <v>0</v>
      </c>
    </row>
    <row r="371" spans="1:9" x14ac:dyDescent="0.2">
      <c r="A371" t="s">
        <v>275</v>
      </c>
      <c r="B371" t="s">
        <v>383</v>
      </c>
      <c r="C371" t="s">
        <v>478</v>
      </c>
      <c r="D371">
        <v>0</v>
      </c>
      <c r="E371" t="s">
        <v>477</v>
      </c>
      <c r="F371" t="s">
        <v>530</v>
      </c>
      <c r="G371" t="s">
        <v>575</v>
      </c>
      <c r="H371">
        <v>0</v>
      </c>
      <c r="I371">
        <v>0</v>
      </c>
    </row>
    <row r="372" spans="1:9" x14ac:dyDescent="0.2">
      <c r="A372" t="s">
        <v>264</v>
      </c>
      <c r="B372" t="s">
        <v>384</v>
      </c>
      <c r="C372" t="s">
        <v>478</v>
      </c>
      <c r="D372">
        <v>0</v>
      </c>
      <c r="E372" t="s">
        <v>477</v>
      </c>
      <c r="F372" t="s">
        <v>516</v>
      </c>
      <c r="G372" t="s">
        <v>575</v>
      </c>
      <c r="H372">
        <v>0</v>
      </c>
      <c r="I372">
        <v>0</v>
      </c>
    </row>
    <row r="373" spans="1:9" x14ac:dyDescent="0.2">
      <c r="A373" t="s">
        <v>284</v>
      </c>
      <c r="B373" t="s">
        <v>385</v>
      </c>
      <c r="C373" t="s">
        <v>477</v>
      </c>
      <c r="D373">
        <v>0</v>
      </c>
      <c r="E373" t="s">
        <v>477</v>
      </c>
      <c r="F373" t="s">
        <v>539</v>
      </c>
      <c r="G373" t="s">
        <v>570</v>
      </c>
      <c r="H373">
        <v>0</v>
      </c>
      <c r="I373">
        <v>0</v>
      </c>
    </row>
    <row r="374" spans="1:9" x14ac:dyDescent="0.2">
      <c r="A374" t="s">
        <v>285</v>
      </c>
      <c r="B374" t="s">
        <v>386</v>
      </c>
      <c r="C374" t="s">
        <v>477</v>
      </c>
      <c r="D374">
        <v>0</v>
      </c>
      <c r="E374" t="s">
        <v>477</v>
      </c>
      <c r="F374" t="s">
        <v>531</v>
      </c>
      <c r="G374" t="s">
        <v>570</v>
      </c>
      <c r="H374">
        <v>0</v>
      </c>
      <c r="I374">
        <v>0</v>
      </c>
    </row>
    <row r="375" spans="1:9" x14ac:dyDescent="0.2">
      <c r="A375" t="s">
        <v>286</v>
      </c>
      <c r="B375" t="s">
        <v>387</v>
      </c>
      <c r="C375" t="s">
        <v>486</v>
      </c>
      <c r="D375">
        <v>0</v>
      </c>
      <c r="E375" t="s">
        <v>486</v>
      </c>
      <c r="F375" t="s">
        <v>540</v>
      </c>
      <c r="G375" t="s">
        <v>572</v>
      </c>
      <c r="H375">
        <v>0</v>
      </c>
      <c r="I375">
        <v>0</v>
      </c>
    </row>
    <row r="376" spans="1:9" x14ac:dyDescent="0.2">
      <c r="A376" t="s">
        <v>286</v>
      </c>
      <c r="B376" t="s">
        <v>388</v>
      </c>
      <c r="C376" t="s">
        <v>491</v>
      </c>
      <c r="D376">
        <v>0</v>
      </c>
      <c r="E376" t="s">
        <v>491</v>
      </c>
      <c r="F376" t="s">
        <v>524</v>
      </c>
      <c r="G376" t="s">
        <v>573</v>
      </c>
      <c r="H376">
        <v>0</v>
      </c>
      <c r="I376">
        <v>0</v>
      </c>
    </row>
    <row r="377" spans="1:9" x14ac:dyDescent="0.2">
      <c r="A377" t="s">
        <v>286</v>
      </c>
      <c r="B377" t="s">
        <v>389</v>
      </c>
      <c r="C377" t="s">
        <v>491</v>
      </c>
      <c r="D377">
        <v>0</v>
      </c>
      <c r="E377" t="s">
        <v>491</v>
      </c>
      <c r="F377" t="s">
        <v>524</v>
      </c>
      <c r="G377" t="s">
        <v>573</v>
      </c>
      <c r="H377">
        <v>0</v>
      </c>
      <c r="I377">
        <v>0</v>
      </c>
    </row>
    <row r="378" spans="1:9" x14ac:dyDescent="0.2">
      <c r="A378" t="s">
        <v>286</v>
      </c>
      <c r="B378" t="s">
        <v>390</v>
      </c>
      <c r="C378" t="s">
        <v>491</v>
      </c>
      <c r="D378">
        <v>0</v>
      </c>
      <c r="E378" t="s">
        <v>491</v>
      </c>
      <c r="F378" t="s">
        <v>524</v>
      </c>
      <c r="G378" t="s">
        <v>573</v>
      </c>
      <c r="H378">
        <v>0</v>
      </c>
      <c r="I378">
        <v>0</v>
      </c>
    </row>
    <row r="379" spans="1:9" x14ac:dyDescent="0.2">
      <c r="A379" t="s">
        <v>286</v>
      </c>
      <c r="B379" t="s">
        <v>391</v>
      </c>
      <c r="C379" t="s">
        <v>491</v>
      </c>
      <c r="D379">
        <v>0</v>
      </c>
      <c r="E379" t="s">
        <v>491</v>
      </c>
      <c r="F379" t="s">
        <v>524</v>
      </c>
      <c r="G379" t="s">
        <v>573</v>
      </c>
      <c r="H379">
        <v>0</v>
      </c>
      <c r="I379">
        <v>0</v>
      </c>
    </row>
    <row r="380" spans="1:9" x14ac:dyDescent="0.2">
      <c r="A380" t="s">
        <v>286</v>
      </c>
      <c r="B380" t="s">
        <v>392</v>
      </c>
      <c r="C380" t="s">
        <v>491</v>
      </c>
      <c r="D380">
        <v>0</v>
      </c>
      <c r="E380" t="s">
        <v>491</v>
      </c>
      <c r="F380" t="s">
        <v>524</v>
      </c>
      <c r="G380" t="s">
        <v>573</v>
      </c>
      <c r="H380">
        <v>0</v>
      </c>
      <c r="I380">
        <v>0</v>
      </c>
    </row>
    <row r="381" spans="1:9" x14ac:dyDescent="0.2">
      <c r="A381" t="s">
        <v>286</v>
      </c>
      <c r="B381" t="s">
        <v>393</v>
      </c>
      <c r="C381" t="s">
        <v>491</v>
      </c>
      <c r="D381">
        <v>0</v>
      </c>
      <c r="E381" t="s">
        <v>491</v>
      </c>
      <c r="F381" t="s">
        <v>524</v>
      </c>
      <c r="G381" t="s">
        <v>573</v>
      </c>
      <c r="H381">
        <v>0</v>
      </c>
      <c r="I381">
        <v>0</v>
      </c>
    </row>
    <row r="382" spans="1:9" x14ac:dyDescent="0.2">
      <c r="A382" t="s">
        <v>286</v>
      </c>
      <c r="B382" t="s">
        <v>394</v>
      </c>
      <c r="C382" t="s">
        <v>491</v>
      </c>
      <c r="D382">
        <v>0</v>
      </c>
      <c r="E382" t="s">
        <v>491</v>
      </c>
      <c r="F382" t="s">
        <v>524</v>
      </c>
      <c r="G382" t="s">
        <v>573</v>
      </c>
      <c r="H382">
        <v>0</v>
      </c>
      <c r="I382">
        <v>0</v>
      </c>
    </row>
    <row r="383" spans="1:9" x14ac:dyDescent="0.2">
      <c r="A383" t="s">
        <v>286</v>
      </c>
      <c r="B383" t="s">
        <v>394</v>
      </c>
      <c r="C383" t="s">
        <v>491</v>
      </c>
      <c r="D383">
        <v>0</v>
      </c>
      <c r="E383" t="s">
        <v>491</v>
      </c>
      <c r="F383" t="s">
        <v>524</v>
      </c>
      <c r="G383" t="s">
        <v>573</v>
      </c>
      <c r="H383">
        <v>0</v>
      </c>
      <c r="I383">
        <v>0</v>
      </c>
    </row>
    <row r="384" spans="1:9" x14ac:dyDescent="0.2">
      <c r="A384" t="s">
        <v>286</v>
      </c>
      <c r="B384" t="s">
        <v>395</v>
      </c>
      <c r="C384" t="s">
        <v>491</v>
      </c>
      <c r="D384">
        <v>0</v>
      </c>
      <c r="E384" t="s">
        <v>491</v>
      </c>
      <c r="F384" t="s">
        <v>524</v>
      </c>
      <c r="G384" t="s">
        <v>573</v>
      </c>
      <c r="H384">
        <v>0</v>
      </c>
      <c r="I384">
        <v>0</v>
      </c>
    </row>
    <row r="385" spans="1:9" x14ac:dyDescent="0.2">
      <c r="A385" t="s">
        <v>286</v>
      </c>
      <c r="B385" t="s">
        <v>396</v>
      </c>
      <c r="C385" t="s">
        <v>486</v>
      </c>
      <c r="D385">
        <v>0</v>
      </c>
      <c r="E385" t="s">
        <v>486</v>
      </c>
      <c r="F385" t="s">
        <v>541</v>
      </c>
      <c r="G385" t="s">
        <v>573</v>
      </c>
      <c r="H385">
        <v>0</v>
      </c>
      <c r="I385">
        <v>0</v>
      </c>
    </row>
    <row r="386" spans="1:9" x14ac:dyDescent="0.2">
      <c r="A386" t="s">
        <v>286</v>
      </c>
      <c r="B386" t="s">
        <v>397</v>
      </c>
      <c r="C386" t="s">
        <v>486</v>
      </c>
      <c r="D386">
        <v>0</v>
      </c>
      <c r="E386" t="s">
        <v>486</v>
      </c>
      <c r="F386" t="s">
        <v>541</v>
      </c>
      <c r="G386" t="s">
        <v>573</v>
      </c>
      <c r="H386">
        <v>0</v>
      </c>
      <c r="I386">
        <v>0</v>
      </c>
    </row>
    <row r="387" spans="1:9" x14ac:dyDescent="0.2">
      <c r="A387" t="s">
        <v>286</v>
      </c>
      <c r="B387" t="s">
        <v>398</v>
      </c>
      <c r="C387" t="s">
        <v>486</v>
      </c>
      <c r="D387">
        <v>0</v>
      </c>
      <c r="E387" t="s">
        <v>486</v>
      </c>
      <c r="F387" t="s">
        <v>541</v>
      </c>
      <c r="G387" t="s">
        <v>573</v>
      </c>
      <c r="H387">
        <v>0</v>
      </c>
      <c r="I387">
        <v>0</v>
      </c>
    </row>
    <row r="388" spans="1:9" x14ac:dyDescent="0.2">
      <c r="A388" t="s">
        <v>287</v>
      </c>
      <c r="B388" t="s">
        <v>399</v>
      </c>
      <c r="C388" t="s">
        <v>477</v>
      </c>
      <c r="D388">
        <v>0</v>
      </c>
      <c r="E388" t="s">
        <v>477</v>
      </c>
      <c r="F388" t="s">
        <v>542</v>
      </c>
      <c r="G388" t="s">
        <v>573</v>
      </c>
      <c r="H388">
        <v>0</v>
      </c>
      <c r="I388">
        <v>0</v>
      </c>
    </row>
    <row r="389" spans="1:9" x14ac:dyDescent="0.2">
      <c r="A389" t="s">
        <v>288</v>
      </c>
      <c r="B389" t="s">
        <v>400</v>
      </c>
      <c r="C389" t="s">
        <v>477</v>
      </c>
      <c r="D389">
        <v>0</v>
      </c>
      <c r="E389" t="s">
        <v>477</v>
      </c>
      <c r="F389" t="s">
        <v>543</v>
      </c>
      <c r="G389" t="s">
        <v>573</v>
      </c>
      <c r="H389">
        <v>0</v>
      </c>
      <c r="I389">
        <v>0</v>
      </c>
    </row>
    <row r="390" spans="1:9" x14ac:dyDescent="0.2">
      <c r="A390" t="s">
        <v>285</v>
      </c>
      <c r="B390" t="s">
        <v>401</v>
      </c>
      <c r="C390" t="s">
        <v>477</v>
      </c>
      <c r="D390">
        <v>0</v>
      </c>
      <c r="E390" t="s">
        <v>477</v>
      </c>
      <c r="F390" t="s">
        <v>529</v>
      </c>
      <c r="G390" t="s">
        <v>570</v>
      </c>
      <c r="H390">
        <v>0</v>
      </c>
      <c r="I390">
        <v>0</v>
      </c>
    </row>
    <row r="391" spans="1:9" x14ac:dyDescent="0.2">
      <c r="A391" t="s">
        <v>289</v>
      </c>
      <c r="B391" t="s">
        <v>402</v>
      </c>
      <c r="C391" t="s">
        <v>492</v>
      </c>
      <c r="D391">
        <v>0</v>
      </c>
      <c r="E391" t="s">
        <v>492</v>
      </c>
      <c r="F391" t="s">
        <v>529</v>
      </c>
      <c r="G391" t="s">
        <v>572</v>
      </c>
      <c r="H391">
        <v>0</v>
      </c>
      <c r="I391">
        <v>0</v>
      </c>
    </row>
    <row r="392" spans="1:9" x14ac:dyDescent="0.2">
      <c r="A392" t="s">
        <v>289</v>
      </c>
      <c r="B392" t="s">
        <v>403</v>
      </c>
      <c r="C392" t="s">
        <v>492</v>
      </c>
      <c r="D392">
        <v>0</v>
      </c>
      <c r="E392" t="s">
        <v>492</v>
      </c>
      <c r="F392" t="s">
        <v>543</v>
      </c>
      <c r="G392" t="s">
        <v>572</v>
      </c>
      <c r="H392">
        <v>0</v>
      </c>
      <c r="I392">
        <v>0</v>
      </c>
    </row>
    <row r="393" spans="1:9" x14ac:dyDescent="0.2">
      <c r="A393" t="s">
        <v>289</v>
      </c>
      <c r="B393" t="s">
        <v>404</v>
      </c>
      <c r="C393" t="s">
        <v>492</v>
      </c>
      <c r="D393">
        <v>0</v>
      </c>
      <c r="E393" t="s">
        <v>492</v>
      </c>
      <c r="F393" t="s">
        <v>529</v>
      </c>
      <c r="G393" t="s">
        <v>572</v>
      </c>
      <c r="H393">
        <v>0</v>
      </c>
      <c r="I393">
        <v>0</v>
      </c>
    </row>
    <row r="394" spans="1:9" x14ac:dyDescent="0.2">
      <c r="A394" t="s">
        <v>286</v>
      </c>
      <c r="B394" t="s">
        <v>405</v>
      </c>
      <c r="C394" t="s">
        <v>486</v>
      </c>
      <c r="D394">
        <v>0</v>
      </c>
      <c r="E394" t="s">
        <v>486</v>
      </c>
      <c r="F394" t="s">
        <v>540</v>
      </c>
      <c r="G394" t="s">
        <v>572</v>
      </c>
      <c r="H394">
        <v>0</v>
      </c>
      <c r="I394">
        <v>0</v>
      </c>
    </row>
    <row r="395" spans="1:9" x14ac:dyDescent="0.2">
      <c r="A395" t="s">
        <v>286</v>
      </c>
      <c r="B395" t="s">
        <v>406</v>
      </c>
      <c r="C395" t="s">
        <v>486</v>
      </c>
      <c r="D395">
        <v>0</v>
      </c>
      <c r="E395" t="s">
        <v>486</v>
      </c>
      <c r="F395" t="s">
        <v>536</v>
      </c>
      <c r="G395" t="s">
        <v>572</v>
      </c>
      <c r="H395">
        <v>0</v>
      </c>
      <c r="I395">
        <v>0</v>
      </c>
    </row>
    <row r="396" spans="1:9" x14ac:dyDescent="0.2">
      <c r="A396" t="s">
        <v>290</v>
      </c>
      <c r="B396" t="s">
        <v>407</v>
      </c>
      <c r="C396" t="s">
        <v>478</v>
      </c>
      <c r="D396">
        <v>0</v>
      </c>
      <c r="E396" t="s">
        <v>478</v>
      </c>
      <c r="F396" t="s">
        <v>544</v>
      </c>
      <c r="G396" t="s">
        <v>569</v>
      </c>
      <c r="H396">
        <v>0</v>
      </c>
      <c r="I396">
        <v>0</v>
      </c>
    </row>
    <row r="397" spans="1:9" x14ac:dyDescent="0.2">
      <c r="A397" t="s">
        <v>291</v>
      </c>
      <c r="B397" t="s">
        <v>408</v>
      </c>
      <c r="C397" t="s">
        <v>478</v>
      </c>
      <c r="D397">
        <v>0</v>
      </c>
      <c r="E397" t="s">
        <v>478</v>
      </c>
      <c r="F397" t="s">
        <v>545</v>
      </c>
      <c r="G397" t="s">
        <v>576</v>
      </c>
      <c r="H397">
        <v>0</v>
      </c>
      <c r="I397">
        <v>0</v>
      </c>
    </row>
    <row r="398" spans="1:9" x14ac:dyDescent="0.2">
      <c r="A398" t="s">
        <v>292</v>
      </c>
      <c r="B398" t="s">
        <v>409</v>
      </c>
      <c r="C398" t="s">
        <v>478</v>
      </c>
      <c r="D398">
        <v>0</v>
      </c>
      <c r="E398" t="s">
        <v>478</v>
      </c>
      <c r="F398" t="s">
        <v>546</v>
      </c>
      <c r="G398" t="s">
        <v>576</v>
      </c>
      <c r="H398">
        <v>0</v>
      </c>
      <c r="I398">
        <v>0</v>
      </c>
    </row>
    <row r="399" spans="1:9" x14ac:dyDescent="0.2">
      <c r="A399" t="s">
        <v>292</v>
      </c>
      <c r="B399" t="s">
        <v>410</v>
      </c>
      <c r="C399" t="s">
        <v>478</v>
      </c>
      <c r="D399">
        <v>0</v>
      </c>
      <c r="E399" t="s">
        <v>478</v>
      </c>
      <c r="F399" t="s">
        <v>547</v>
      </c>
      <c r="G399" t="s">
        <v>576</v>
      </c>
      <c r="H399">
        <v>0</v>
      </c>
      <c r="I399">
        <v>0</v>
      </c>
    </row>
    <row r="400" spans="1:9" x14ac:dyDescent="0.2">
      <c r="A400" t="s">
        <v>268</v>
      </c>
      <c r="B400" t="s">
        <v>411</v>
      </c>
      <c r="C400" t="s">
        <v>478</v>
      </c>
      <c r="D400">
        <v>0</v>
      </c>
      <c r="E400" t="s">
        <v>478</v>
      </c>
      <c r="F400" t="s">
        <v>520</v>
      </c>
      <c r="G400" t="s">
        <v>576</v>
      </c>
      <c r="H400">
        <v>0</v>
      </c>
      <c r="I400">
        <v>0</v>
      </c>
    </row>
    <row r="401" spans="1:9" x14ac:dyDescent="0.2">
      <c r="A401" t="s">
        <v>293</v>
      </c>
      <c r="B401" t="s">
        <v>412</v>
      </c>
      <c r="C401" t="s">
        <v>478</v>
      </c>
      <c r="D401">
        <v>0</v>
      </c>
      <c r="E401" t="s">
        <v>478</v>
      </c>
      <c r="F401" t="s">
        <v>536</v>
      </c>
      <c r="G401" t="s">
        <v>571</v>
      </c>
      <c r="H401">
        <v>0</v>
      </c>
      <c r="I401">
        <v>0</v>
      </c>
    </row>
    <row r="402" spans="1:9" x14ac:dyDescent="0.2">
      <c r="A402" t="s">
        <v>294</v>
      </c>
      <c r="B402" t="s">
        <v>413</v>
      </c>
      <c r="C402" t="s">
        <v>493</v>
      </c>
      <c r="D402">
        <v>0</v>
      </c>
      <c r="E402" t="s">
        <v>493</v>
      </c>
      <c r="F402" t="s">
        <v>548</v>
      </c>
      <c r="G402" t="s">
        <v>577</v>
      </c>
      <c r="H402">
        <v>0</v>
      </c>
      <c r="I402">
        <v>0</v>
      </c>
    </row>
    <row r="403" spans="1:9" x14ac:dyDescent="0.2">
      <c r="A403" t="s">
        <v>295</v>
      </c>
      <c r="B403" t="s">
        <v>414</v>
      </c>
      <c r="C403" t="s">
        <v>494</v>
      </c>
      <c r="D403">
        <v>0</v>
      </c>
      <c r="E403" t="s">
        <v>494</v>
      </c>
      <c r="F403" t="s">
        <v>549</v>
      </c>
      <c r="G403" t="s">
        <v>577</v>
      </c>
      <c r="H403">
        <v>0</v>
      </c>
      <c r="I403">
        <v>0</v>
      </c>
    </row>
    <row r="404" spans="1:9" x14ac:dyDescent="0.2">
      <c r="A404" t="s">
        <v>296</v>
      </c>
      <c r="B404" t="s">
        <v>415</v>
      </c>
      <c r="C404" t="s">
        <v>494</v>
      </c>
      <c r="D404">
        <v>0</v>
      </c>
      <c r="E404" t="s">
        <v>494</v>
      </c>
      <c r="F404" t="s">
        <v>550</v>
      </c>
      <c r="G404" t="s">
        <v>577</v>
      </c>
      <c r="H404">
        <v>0</v>
      </c>
      <c r="I404">
        <v>0</v>
      </c>
    </row>
    <row r="405" spans="1:9" x14ac:dyDescent="0.2">
      <c r="A405" t="s">
        <v>297</v>
      </c>
      <c r="B405" t="s">
        <v>416</v>
      </c>
      <c r="C405" t="s">
        <v>488</v>
      </c>
      <c r="D405">
        <v>0</v>
      </c>
      <c r="E405" t="s">
        <v>488</v>
      </c>
      <c r="F405" t="s">
        <v>551</v>
      </c>
      <c r="G405" t="s">
        <v>577</v>
      </c>
      <c r="H405">
        <v>0</v>
      </c>
      <c r="I405">
        <v>0</v>
      </c>
    </row>
    <row r="406" spans="1:9" x14ac:dyDescent="0.2">
      <c r="A406" t="s">
        <v>298</v>
      </c>
      <c r="B406" t="s">
        <v>417</v>
      </c>
      <c r="C406" t="s">
        <v>495</v>
      </c>
      <c r="D406">
        <v>0</v>
      </c>
      <c r="E406" t="s">
        <v>495</v>
      </c>
      <c r="F406" t="s">
        <v>552</v>
      </c>
      <c r="G406" t="s">
        <v>577</v>
      </c>
      <c r="H406">
        <v>0</v>
      </c>
      <c r="I406">
        <v>0</v>
      </c>
    </row>
    <row r="407" spans="1:9" x14ac:dyDescent="0.2">
      <c r="A407" t="s">
        <v>299</v>
      </c>
      <c r="B407" t="s">
        <v>418</v>
      </c>
      <c r="C407" t="s">
        <v>496</v>
      </c>
      <c r="D407">
        <v>0</v>
      </c>
      <c r="E407" t="s">
        <v>496</v>
      </c>
      <c r="F407" t="s">
        <v>516</v>
      </c>
      <c r="G407" t="s">
        <v>577</v>
      </c>
      <c r="H407">
        <v>0</v>
      </c>
      <c r="I407">
        <v>0</v>
      </c>
    </row>
    <row r="408" spans="1:9" x14ac:dyDescent="0.2">
      <c r="A408" t="s">
        <v>300</v>
      </c>
      <c r="B408" t="s">
        <v>419</v>
      </c>
      <c r="C408" t="s">
        <v>497</v>
      </c>
      <c r="D408">
        <v>0</v>
      </c>
      <c r="E408" t="s">
        <v>497</v>
      </c>
      <c r="F408" t="s">
        <v>553</v>
      </c>
      <c r="G408" t="s">
        <v>577</v>
      </c>
      <c r="H408">
        <v>0</v>
      </c>
      <c r="I408">
        <v>0</v>
      </c>
    </row>
    <row r="409" spans="1:9" x14ac:dyDescent="0.2">
      <c r="A409" t="s">
        <v>301</v>
      </c>
      <c r="B409" t="s">
        <v>420</v>
      </c>
      <c r="C409" t="s">
        <v>478</v>
      </c>
      <c r="D409">
        <v>0</v>
      </c>
      <c r="E409" t="s">
        <v>478</v>
      </c>
      <c r="F409" t="s">
        <v>516</v>
      </c>
      <c r="G409" t="s">
        <v>576</v>
      </c>
      <c r="H409">
        <v>0</v>
      </c>
      <c r="I409">
        <v>0</v>
      </c>
    </row>
    <row r="410" spans="1:9" x14ac:dyDescent="0.2">
      <c r="A410" t="s">
        <v>283</v>
      </c>
      <c r="B410" t="s">
        <v>421</v>
      </c>
      <c r="C410" t="s">
        <v>477</v>
      </c>
      <c r="D410">
        <v>0</v>
      </c>
      <c r="E410" t="s">
        <v>477</v>
      </c>
      <c r="F410" t="s">
        <v>540</v>
      </c>
      <c r="G410" t="s">
        <v>578</v>
      </c>
      <c r="H410">
        <v>0</v>
      </c>
      <c r="I410">
        <v>0</v>
      </c>
    </row>
    <row r="411" spans="1:9" x14ac:dyDescent="0.2">
      <c r="A411" t="s">
        <v>264</v>
      </c>
      <c r="B411" t="s">
        <v>422</v>
      </c>
      <c r="C411" t="s">
        <v>477</v>
      </c>
      <c r="D411">
        <v>0</v>
      </c>
      <c r="E411" t="s">
        <v>477</v>
      </c>
      <c r="F411" t="s">
        <v>541</v>
      </c>
      <c r="G411" t="s">
        <v>578</v>
      </c>
      <c r="H411">
        <v>0</v>
      </c>
      <c r="I411">
        <v>0</v>
      </c>
    </row>
    <row r="412" spans="1:9" x14ac:dyDescent="0.2">
      <c r="A412" t="s">
        <v>264</v>
      </c>
      <c r="B412" t="s">
        <v>423</v>
      </c>
      <c r="C412" t="s">
        <v>478</v>
      </c>
      <c r="D412">
        <v>0</v>
      </c>
      <c r="E412" t="s">
        <v>478</v>
      </c>
      <c r="F412" t="s">
        <v>516</v>
      </c>
      <c r="G412" t="s">
        <v>578</v>
      </c>
      <c r="H412">
        <v>0</v>
      </c>
      <c r="I412">
        <v>0</v>
      </c>
    </row>
    <row r="413" spans="1:9" x14ac:dyDescent="0.2">
      <c r="A413" t="s">
        <v>301</v>
      </c>
      <c r="B413" t="s">
        <v>424</v>
      </c>
      <c r="C413" t="s">
        <v>478</v>
      </c>
      <c r="D413">
        <v>0</v>
      </c>
      <c r="E413" t="s">
        <v>478</v>
      </c>
      <c r="F413" t="s">
        <v>537</v>
      </c>
      <c r="G413" t="s">
        <v>576</v>
      </c>
      <c r="H413">
        <v>0</v>
      </c>
      <c r="I413">
        <v>0</v>
      </c>
    </row>
    <row r="414" spans="1:9" x14ac:dyDescent="0.2">
      <c r="A414" t="s">
        <v>283</v>
      </c>
      <c r="B414" t="s">
        <v>425</v>
      </c>
      <c r="C414" t="s">
        <v>498</v>
      </c>
      <c r="D414">
        <v>0</v>
      </c>
      <c r="E414" t="s">
        <v>498</v>
      </c>
      <c r="F414" t="s">
        <v>529</v>
      </c>
      <c r="G414" t="s">
        <v>578</v>
      </c>
      <c r="H414">
        <v>0</v>
      </c>
      <c r="I414">
        <v>0</v>
      </c>
    </row>
    <row r="415" spans="1:9" x14ac:dyDescent="0.2">
      <c r="A415" t="s">
        <v>302</v>
      </c>
      <c r="B415" t="s">
        <v>426</v>
      </c>
      <c r="C415" t="s">
        <v>478</v>
      </c>
      <c r="D415">
        <v>0</v>
      </c>
      <c r="E415" t="s">
        <v>478</v>
      </c>
      <c r="F415" t="s">
        <v>529</v>
      </c>
      <c r="G415" t="s">
        <v>579</v>
      </c>
      <c r="H415">
        <v>0</v>
      </c>
      <c r="I415">
        <v>0</v>
      </c>
    </row>
    <row r="416" spans="1:9" x14ac:dyDescent="0.2">
      <c r="A416" t="s">
        <v>285</v>
      </c>
      <c r="B416" t="s">
        <v>427</v>
      </c>
      <c r="C416" t="s">
        <v>499</v>
      </c>
      <c r="D416">
        <v>0</v>
      </c>
      <c r="E416" t="s">
        <v>499</v>
      </c>
      <c r="F416" t="s">
        <v>542</v>
      </c>
      <c r="G416" t="s">
        <v>577</v>
      </c>
      <c r="H416">
        <v>0</v>
      </c>
      <c r="I416">
        <v>0</v>
      </c>
    </row>
    <row r="417" spans="1:9" x14ac:dyDescent="0.2">
      <c r="A417" t="s">
        <v>303</v>
      </c>
      <c r="B417" t="s">
        <v>428</v>
      </c>
      <c r="C417" t="s">
        <v>500</v>
      </c>
      <c r="D417">
        <v>0</v>
      </c>
      <c r="E417" t="s">
        <v>500</v>
      </c>
      <c r="F417" t="s">
        <v>546</v>
      </c>
      <c r="G417" t="s">
        <v>577</v>
      </c>
      <c r="H417">
        <v>0</v>
      </c>
      <c r="I417">
        <v>0</v>
      </c>
    </row>
    <row r="418" spans="1:9" x14ac:dyDescent="0.2">
      <c r="A418" t="s">
        <v>304</v>
      </c>
      <c r="B418" t="s">
        <v>429</v>
      </c>
      <c r="C418" t="s">
        <v>478</v>
      </c>
      <c r="D418">
        <v>0</v>
      </c>
      <c r="E418" t="s">
        <v>478</v>
      </c>
      <c r="F418" t="s">
        <v>554</v>
      </c>
      <c r="G418" t="s">
        <v>569</v>
      </c>
      <c r="H418">
        <v>0</v>
      </c>
      <c r="I418">
        <v>0</v>
      </c>
    </row>
    <row r="419" spans="1:9" x14ac:dyDescent="0.2">
      <c r="A419" t="s">
        <v>277</v>
      </c>
      <c r="B419" t="s">
        <v>430</v>
      </c>
      <c r="C419" t="s">
        <v>478</v>
      </c>
      <c r="D419">
        <v>0</v>
      </c>
      <c r="E419" t="s">
        <v>478</v>
      </c>
      <c r="F419" t="s">
        <v>539</v>
      </c>
      <c r="G419" t="s">
        <v>571</v>
      </c>
      <c r="H419">
        <v>0</v>
      </c>
      <c r="I419">
        <v>0</v>
      </c>
    </row>
    <row r="420" spans="1:9" x14ac:dyDescent="0.2">
      <c r="A420" t="s">
        <v>277</v>
      </c>
      <c r="B420" t="s">
        <v>431</v>
      </c>
      <c r="C420" t="s">
        <v>478</v>
      </c>
      <c r="D420">
        <v>0</v>
      </c>
      <c r="E420" t="s">
        <v>478</v>
      </c>
      <c r="F420" t="s">
        <v>534</v>
      </c>
      <c r="G420" t="s">
        <v>571</v>
      </c>
      <c r="H420">
        <v>0</v>
      </c>
      <c r="I420">
        <v>0</v>
      </c>
    </row>
    <row r="421" spans="1:9" x14ac:dyDescent="0.2">
      <c r="A421" t="s">
        <v>277</v>
      </c>
      <c r="B421" t="s">
        <v>432</v>
      </c>
      <c r="C421" t="s">
        <v>501</v>
      </c>
      <c r="D421">
        <v>0</v>
      </c>
      <c r="E421" t="s">
        <v>501</v>
      </c>
      <c r="F421" t="s">
        <v>555</v>
      </c>
      <c r="G421" t="s">
        <v>571</v>
      </c>
      <c r="H421">
        <v>0</v>
      </c>
      <c r="I421">
        <v>0</v>
      </c>
    </row>
    <row r="422" spans="1:9" x14ac:dyDescent="0.2">
      <c r="A422" t="s">
        <v>263</v>
      </c>
      <c r="B422" t="s">
        <v>433</v>
      </c>
      <c r="C422" t="s">
        <v>502</v>
      </c>
      <c r="D422">
        <v>0</v>
      </c>
      <c r="E422" t="s">
        <v>502</v>
      </c>
      <c r="F422" t="s">
        <v>556</v>
      </c>
      <c r="G422" t="s">
        <v>580</v>
      </c>
      <c r="H422">
        <v>0</v>
      </c>
      <c r="I422">
        <v>0</v>
      </c>
    </row>
    <row r="423" spans="1:9" x14ac:dyDescent="0.2">
      <c r="A423" t="s">
        <v>268</v>
      </c>
      <c r="B423" t="s">
        <v>434</v>
      </c>
      <c r="C423" t="s">
        <v>478</v>
      </c>
      <c r="D423">
        <v>0</v>
      </c>
      <c r="E423" t="s">
        <v>478</v>
      </c>
      <c r="F423" t="s">
        <v>520</v>
      </c>
      <c r="G423" t="s">
        <v>571</v>
      </c>
      <c r="H423">
        <v>0</v>
      </c>
      <c r="I423">
        <v>0</v>
      </c>
    </row>
    <row r="424" spans="1:9" x14ac:dyDescent="0.2">
      <c r="A424" t="s">
        <v>305</v>
      </c>
      <c r="B424" t="s">
        <v>435</v>
      </c>
      <c r="C424" t="s">
        <v>478</v>
      </c>
      <c r="D424">
        <v>0</v>
      </c>
      <c r="E424" t="s">
        <v>478</v>
      </c>
      <c r="F424" t="s">
        <v>557</v>
      </c>
      <c r="G424" t="s">
        <v>569</v>
      </c>
      <c r="H424">
        <v>0</v>
      </c>
      <c r="I424">
        <v>0</v>
      </c>
    </row>
    <row r="425" spans="1:9" x14ac:dyDescent="0.2">
      <c r="A425" t="s">
        <v>306</v>
      </c>
      <c r="B425" t="s">
        <v>436</v>
      </c>
      <c r="C425" t="s">
        <v>478</v>
      </c>
      <c r="D425">
        <v>0</v>
      </c>
      <c r="E425" t="s">
        <v>478</v>
      </c>
      <c r="F425" t="s">
        <v>558</v>
      </c>
      <c r="G425" t="s">
        <v>569</v>
      </c>
      <c r="H425">
        <v>0</v>
      </c>
      <c r="I425">
        <v>0</v>
      </c>
    </row>
    <row r="426" spans="1:9" x14ac:dyDescent="0.2">
      <c r="A426" t="s">
        <v>307</v>
      </c>
      <c r="B426" t="s">
        <v>437</v>
      </c>
      <c r="C426" t="s">
        <v>478</v>
      </c>
      <c r="D426">
        <v>0</v>
      </c>
      <c r="E426" t="s">
        <v>478</v>
      </c>
      <c r="F426" t="s">
        <v>559</v>
      </c>
      <c r="G426" t="s">
        <v>574</v>
      </c>
      <c r="H426">
        <v>0</v>
      </c>
      <c r="I426">
        <v>0</v>
      </c>
    </row>
    <row r="427" spans="1:9" x14ac:dyDescent="0.2">
      <c r="A427" t="s">
        <v>308</v>
      </c>
      <c r="B427" t="s">
        <v>438</v>
      </c>
      <c r="C427" t="s">
        <v>478</v>
      </c>
      <c r="D427">
        <v>0</v>
      </c>
      <c r="E427" t="s">
        <v>478</v>
      </c>
      <c r="F427" t="s">
        <v>560</v>
      </c>
      <c r="G427" t="s">
        <v>569</v>
      </c>
      <c r="H427">
        <v>0</v>
      </c>
      <c r="I427">
        <v>0</v>
      </c>
    </row>
    <row r="428" spans="1:9" x14ac:dyDescent="0.2">
      <c r="A428" t="s">
        <v>309</v>
      </c>
      <c r="B428" t="s">
        <v>439</v>
      </c>
      <c r="C428" t="s">
        <v>478</v>
      </c>
      <c r="D428">
        <v>0</v>
      </c>
      <c r="E428" t="s">
        <v>478</v>
      </c>
      <c r="F428" t="s">
        <v>558</v>
      </c>
      <c r="G428" t="s">
        <v>574</v>
      </c>
      <c r="H428">
        <v>0</v>
      </c>
      <c r="I428">
        <v>0</v>
      </c>
    </row>
    <row r="429" spans="1:9" x14ac:dyDescent="0.2">
      <c r="A429" t="s">
        <v>310</v>
      </c>
      <c r="B429" t="s">
        <v>440</v>
      </c>
      <c r="C429" t="s">
        <v>478</v>
      </c>
      <c r="D429">
        <v>0</v>
      </c>
      <c r="E429" t="s">
        <v>478</v>
      </c>
      <c r="F429" t="s">
        <v>561</v>
      </c>
      <c r="G429" t="s">
        <v>569</v>
      </c>
      <c r="H429">
        <v>0</v>
      </c>
      <c r="I429">
        <v>0</v>
      </c>
    </row>
    <row r="430" spans="1:9" x14ac:dyDescent="0.2">
      <c r="A430" t="s">
        <v>311</v>
      </c>
      <c r="B430" t="s">
        <v>441</v>
      </c>
      <c r="C430" t="s">
        <v>481</v>
      </c>
      <c r="D430">
        <v>0</v>
      </c>
      <c r="E430" t="s">
        <v>481</v>
      </c>
      <c r="F430" t="s">
        <v>527</v>
      </c>
      <c r="G430" t="s">
        <v>580</v>
      </c>
      <c r="H430">
        <v>0</v>
      </c>
      <c r="I430">
        <v>0</v>
      </c>
    </row>
    <row r="431" spans="1:9" x14ac:dyDescent="0.2">
      <c r="A431" t="s">
        <v>311</v>
      </c>
      <c r="B431" t="s">
        <v>442</v>
      </c>
      <c r="C431" t="s">
        <v>482</v>
      </c>
      <c r="D431">
        <v>0</v>
      </c>
      <c r="E431" t="s">
        <v>482</v>
      </c>
      <c r="F431" t="s">
        <v>562</v>
      </c>
      <c r="G431" t="s">
        <v>580</v>
      </c>
      <c r="H431">
        <v>0</v>
      </c>
      <c r="I431">
        <v>0</v>
      </c>
    </row>
    <row r="432" spans="1:9" x14ac:dyDescent="0.2">
      <c r="A432" t="s">
        <v>311</v>
      </c>
      <c r="B432" t="s">
        <v>443</v>
      </c>
      <c r="C432" t="s">
        <v>481</v>
      </c>
      <c r="D432">
        <v>0</v>
      </c>
      <c r="E432" t="s">
        <v>481</v>
      </c>
      <c r="F432" t="s">
        <v>563</v>
      </c>
      <c r="G432" t="s">
        <v>580</v>
      </c>
      <c r="H432">
        <v>0</v>
      </c>
      <c r="I432">
        <v>0</v>
      </c>
    </row>
    <row r="433" spans="1:9" x14ac:dyDescent="0.2">
      <c r="A433" t="s">
        <v>312</v>
      </c>
      <c r="B433" t="s">
        <v>444</v>
      </c>
      <c r="C433" t="s">
        <v>481</v>
      </c>
      <c r="D433">
        <v>0</v>
      </c>
      <c r="E433" t="s">
        <v>481</v>
      </c>
      <c r="F433" t="s">
        <v>526</v>
      </c>
      <c r="G433" t="s">
        <v>580</v>
      </c>
      <c r="H433">
        <v>0</v>
      </c>
      <c r="I433">
        <v>0</v>
      </c>
    </row>
    <row r="434" spans="1:9" x14ac:dyDescent="0.2">
      <c r="A434" t="s">
        <v>286</v>
      </c>
      <c r="B434" t="s">
        <v>445</v>
      </c>
      <c r="C434" t="s">
        <v>486</v>
      </c>
      <c r="D434">
        <v>0</v>
      </c>
      <c r="E434" t="s">
        <v>486</v>
      </c>
      <c r="F434" t="s">
        <v>542</v>
      </c>
      <c r="G434" t="s">
        <v>580</v>
      </c>
      <c r="H434">
        <v>0</v>
      </c>
      <c r="I434">
        <v>0</v>
      </c>
    </row>
    <row r="435" spans="1:9" x14ac:dyDescent="0.2">
      <c r="A435" t="s">
        <v>286</v>
      </c>
      <c r="B435" t="s">
        <v>446</v>
      </c>
      <c r="C435" t="s">
        <v>486</v>
      </c>
      <c r="D435">
        <v>0</v>
      </c>
      <c r="E435" t="s">
        <v>486</v>
      </c>
      <c r="F435" t="s">
        <v>541</v>
      </c>
      <c r="G435" t="s">
        <v>580</v>
      </c>
      <c r="H435">
        <v>0</v>
      </c>
      <c r="I435">
        <v>0</v>
      </c>
    </row>
    <row r="436" spans="1:9" x14ac:dyDescent="0.2">
      <c r="A436" t="s">
        <v>313</v>
      </c>
      <c r="B436" t="s">
        <v>447</v>
      </c>
      <c r="C436" t="s">
        <v>478</v>
      </c>
      <c r="D436">
        <v>0</v>
      </c>
      <c r="E436" t="s">
        <v>478</v>
      </c>
      <c r="F436" t="s">
        <v>516</v>
      </c>
      <c r="G436" t="s">
        <v>569</v>
      </c>
      <c r="H436">
        <v>0</v>
      </c>
      <c r="I436">
        <v>0</v>
      </c>
    </row>
    <row r="437" spans="1:9" x14ac:dyDescent="0.2">
      <c r="A437" t="s">
        <v>314</v>
      </c>
      <c r="B437" t="s">
        <v>448</v>
      </c>
      <c r="C437" t="s">
        <v>478</v>
      </c>
      <c r="D437">
        <v>0</v>
      </c>
      <c r="E437" t="s">
        <v>478</v>
      </c>
      <c r="F437" t="s">
        <v>516</v>
      </c>
      <c r="G437" t="s">
        <v>569</v>
      </c>
      <c r="H437">
        <v>0</v>
      </c>
      <c r="I437">
        <v>0</v>
      </c>
    </row>
    <row r="438" spans="1:9" x14ac:dyDescent="0.2">
      <c r="A438" t="s">
        <v>315</v>
      </c>
      <c r="B438" t="s">
        <v>449</v>
      </c>
      <c r="C438" t="s">
        <v>478</v>
      </c>
      <c r="D438">
        <v>0</v>
      </c>
      <c r="E438" t="s">
        <v>478</v>
      </c>
      <c r="F438" t="s">
        <v>530</v>
      </c>
      <c r="G438" t="s">
        <v>569</v>
      </c>
      <c r="H438">
        <v>0</v>
      </c>
      <c r="I438">
        <v>0</v>
      </c>
    </row>
    <row r="439" spans="1:9" x14ac:dyDescent="0.2">
      <c r="A439" t="s">
        <v>315</v>
      </c>
      <c r="B439" t="s">
        <v>450</v>
      </c>
      <c r="C439" t="s">
        <v>478</v>
      </c>
      <c r="D439">
        <v>0</v>
      </c>
      <c r="E439" t="s">
        <v>478</v>
      </c>
      <c r="F439" t="s">
        <v>530</v>
      </c>
      <c r="G439" t="s">
        <v>569</v>
      </c>
      <c r="H439">
        <v>0</v>
      </c>
      <c r="I439">
        <v>0</v>
      </c>
    </row>
    <row r="440" spans="1:9" x14ac:dyDescent="0.2">
      <c r="A440" t="s">
        <v>315</v>
      </c>
      <c r="B440" t="s">
        <v>451</v>
      </c>
      <c r="C440" t="s">
        <v>478</v>
      </c>
      <c r="D440">
        <v>0</v>
      </c>
      <c r="E440" t="s">
        <v>478</v>
      </c>
      <c r="F440" t="s">
        <v>530</v>
      </c>
      <c r="G440" t="s">
        <v>569</v>
      </c>
      <c r="H440">
        <v>0</v>
      </c>
      <c r="I440">
        <v>0</v>
      </c>
    </row>
    <row r="441" spans="1:9" x14ac:dyDescent="0.2">
      <c r="A441" t="s">
        <v>313</v>
      </c>
      <c r="B441" t="s">
        <v>452</v>
      </c>
      <c r="C441" t="s">
        <v>478</v>
      </c>
      <c r="D441">
        <v>0</v>
      </c>
      <c r="E441" t="s">
        <v>478</v>
      </c>
      <c r="F441" t="s">
        <v>524</v>
      </c>
      <c r="G441" t="s">
        <v>569</v>
      </c>
      <c r="H441">
        <v>0</v>
      </c>
      <c r="I441">
        <v>0</v>
      </c>
    </row>
    <row r="442" spans="1:9" x14ac:dyDescent="0.2">
      <c r="A442" t="s">
        <v>314</v>
      </c>
      <c r="B442" t="s">
        <v>453</v>
      </c>
      <c r="C442" t="s">
        <v>478</v>
      </c>
      <c r="D442">
        <v>0</v>
      </c>
      <c r="E442" t="s">
        <v>478</v>
      </c>
      <c r="F442" t="s">
        <v>538</v>
      </c>
      <c r="G442" t="s">
        <v>569</v>
      </c>
      <c r="H442">
        <v>0</v>
      </c>
      <c r="I442">
        <v>0</v>
      </c>
    </row>
    <row r="443" spans="1:9" x14ac:dyDescent="0.2">
      <c r="A443" t="s">
        <v>314</v>
      </c>
      <c r="B443" t="s">
        <v>454</v>
      </c>
      <c r="C443" t="s">
        <v>478</v>
      </c>
      <c r="D443">
        <v>0</v>
      </c>
      <c r="E443" t="s">
        <v>478</v>
      </c>
      <c r="F443" t="s">
        <v>530</v>
      </c>
      <c r="G443" t="s">
        <v>569</v>
      </c>
      <c r="H443">
        <v>0</v>
      </c>
      <c r="I443">
        <v>0</v>
      </c>
    </row>
    <row r="444" spans="1:9" x14ac:dyDescent="0.2">
      <c r="A444" t="s">
        <v>314</v>
      </c>
      <c r="B444" t="s">
        <v>455</v>
      </c>
      <c r="C444" t="s">
        <v>478</v>
      </c>
      <c r="D444">
        <v>0</v>
      </c>
      <c r="E444" t="s">
        <v>478</v>
      </c>
      <c r="F444" t="s">
        <v>538</v>
      </c>
      <c r="G444" t="s">
        <v>569</v>
      </c>
      <c r="H444">
        <v>0</v>
      </c>
      <c r="I444">
        <v>0</v>
      </c>
    </row>
    <row r="445" spans="1:9" x14ac:dyDescent="0.2">
      <c r="A445" t="s">
        <v>314</v>
      </c>
      <c r="B445" t="s">
        <v>456</v>
      </c>
      <c r="C445" t="s">
        <v>478</v>
      </c>
      <c r="D445">
        <v>0</v>
      </c>
      <c r="E445" t="s">
        <v>478</v>
      </c>
      <c r="F445" t="s">
        <v>530</v>
      </c>
      <c r="G445" t="s">
        <v>569</v>
      </c>
      <c r="H445">
        <v>0</v>
      </c>
      <c r="I445">
        <v>0</v>
      </c>
    </row>
    <row r="446" spans="1:9" x14ac:dyDescent="0.2">
      <c r="A446" t="s">
        <v>277</v>
      </c>
      <c r="B446" t="s">
        <v>457</v>
      </c>
      <c r="C446" t="s">
        <v>501</v>
      </c>
      <c r="D446">
        <v>0</v>
      </c>
      <c r="E446" t="s">
        <v>501</v>
      </c>
      <c r="F446" t="s">
        <v>564</v>
      </c>
      <c r="G446" t="s">
        <v>571</v>
      </c>
      <c r="H446">
        <v>0</v>
      </c>
      <c r="I446">
        <v>0</v>
      </c>
    </row>
    <row r="447" spans="1:9" x14ac:dyDescent="0.2">
      <c r="A447" t="s">
        <v>263</v>
      </c>
      <c r="B447" t="s">
        <v>458</v>
      </c>
      <c r="C447" t="s">
        <v>476</v>
      </c>
      <c r="D447">
        <v>0</v>
      </c>
      <c r="E447" t="s">
        <v>476</v>
      </c>
      <c r="F447" t="s">
        <v>565</v>
      </c>
      <c r="G447" t="s">
        <v>580</v>
      </c>
      <c r="H447">
        <v>0</v>
      </c>
      <c r="I447">
        <v>0</v>
      </c>
    </row>
    <row r="448" spans="1:9" x14ac:dyDescent="0.2">
      <c r="A448" t="s">
        <v>316</v>
      </c>
      <c r="B448" t="s">
        <v>459</v>
      </c>
      <c r="C448" t="s">
        <v>478</v>
      </c>
      <c r="D448">
        <v>0</v>
      </c>
      <c r="E448" t="s">
        <v>478</v>
      </c>
      <c r="F448" t="s">
        <v>557</v>
      </c>
      <c r="G448" t="s">
        <v>569</v>
      </c>
      <c r="H448">
        <v>0</v>
      </c>
      <c r="I448">
        <v>0</v>
      </c>
    </row>
    <row r="449" spans="1:9" x14ac:dyDescent="0.2">
      <c r="A449" t="s">
        <v>317</v>
      </c>
      <c r="B449" t="s">
        <v>460</v>
      </c>
      <c r="C449" t="s">
        <v>478</v>
      </c>
      <c r="D449">
        <v>0</v>
      </c>
      <c r="E449" t="s">
        <v>478</v>
      </c>
      <c r="F449" t="s">
        <v>560</v>
      </c>
      <c r="G449" t="s">
        <v>569</v>
      </c>
      <c r="H449">
        <v>0</v>
      </c>
      <c r="I449">
        <v>0</v>
      </c>
    </row>
    <row r="450" spans="1:9" x14ac:dyDescent="0.2">
      <c r="A450" t="s">
        <v>318</v>
      </c>
      <c r="B450" t="s">
        <v>461</v>
      </c>
      <c r="C450" t="s">
        <v>478</v>
      </c>
      <c r="D450">
        <v>0</v>
      </c>
      <c r="E450" t="s">
        <v>478</v>
      </c>
      <c r="F450" t="s">
        <v>561</v>
      </c>
      <c r="G450" t="s">
        <v>574</v>
      </c>
      <c r="H450">
        <v>0</v>
      </c>
      <c r="I450">
        <v>0</v>
      </c>
    </row>
    <row r="451" spans="1:9" x14ac:dyDescent="0.2">
      <c r="A451" t="s">
        <v>319</v>
      </c>
      <c r="B451" t="s">
        <v>462</v>
      </c>
      <c r="C451" t="s">
        <v>482</v>
      </c>
      <c r="D451">
        <v>0</v>
      </c>
      <c r="E451" t="s">
        <v>482</v>
      </c>
      <c r="F451" t="s">
        <v>526</v>
      </c>
      <c r="G451" t="s">
        <v>580</v>
      </c>
      <c r="H451">
        <v>0</v>
      </c>
      <c r="I451">
        <v>0</v>
      </c>
    </row>
    <row r="452" spans="1:9" x14ac:dyDescent="0.2">
      <c r="A452" t="s">
        <v>320</v>
      </c>
      <c r="B452" t="s">
        <v>463</v>
      </c>
      <c r="C452" t="s">
        <v>488</v>
      </c>
      <c r="D452">
        <v>0</v>
      </c>
      <c r="E452" t="s">
        <v>488</v>
      </c>
      <c r="F452" t="s">
        <v>562</v>
      </c>
      <c r="G452" t="s">
        <v>580</v>
      </c>
      <c r="H452">
        <v>0</v>
      </c>
      <c r="I452">
        <v>0</v>
      </c>
    </row>
    <row r="453" spans="1:9" x14ac:dyDescent="0.2">
      <c r="A453" t="s">
        <v>319</v>
      </c>
      <c r="B453" t="s">
        <v>464</v>
      </c>
      <c r="C453" t="s">
        <v>482</v>
      </c>
      <c r="D453">
        <v>0</v>
      </c>
      <c r="E453" t="s">
        <v>482</v>
      </c>
      <c r="F453" t="s">
        <v>563</v>
      </c>
      <c r="G453" t="s">
        <v>580</v>
      </c>
      <c r="H453">
        <v>0</v>
      </c>
      <c r="I453">
        <v>0</v>
      </c>
    </row>
    <row r="454" spans="1:9" x14ac:dyDescent="0.2">
      <c r="A454" t="s">
        <v>319</v>
      </c>
      <c r="B454" t="s">
        <v>465</v>
      </c>
      <c r="C454" t="s">
        <v>481</v>
      </c>
      <c r="D454">
        <v>0</v>
      </c>
      <c r="E454" t="s">
        <v>481</v>
      </c>
      <c r="F454" t="s">
        <v>526</v>
      </c>
      <c r="G454" t="s">
        <v>580</v>
      </c>
      <c r="H454">
        <v>0</v>
      </c>
      <c r="I454">
        <v>0</v>
      </c>
    </row>
    <row r="455" spans="1:9" x14ac:dyDescent="0.2">
      <c r="A455" t="s">
        <v>321</v>
      </c>
      <c r="B455" t="s">
        <v>466</v>
      </c>
      <c r="C455" t="s">
        <v>488</v>
      </c>
      <c r="D455">
        <v>0</v>
      </c>
      <c r="E455" t="s">
        <v>488</v>
      </c>
      <c r="F455" t="s">
        <v>547</v>
      </c>
      <c r="G455" t="s">
        <v>574</v>
      </c>
      <c r="H455">
        <v>0</v>
      </c>
      <c r="I455">
        <v>0</v>
      </c>
    </row>
    <row r="456" spans="1:9" x14ac:dyDescent="0.2">
      <c r="A456" t="s">
        <v>322</v>
      </c>
      <c r="B456" t="s">
        <v>467</v>
      </c>
      <c r="C456" t="s">
        <v>482</v>
      </c>
      <c r="D456">
        <v>0</v>
      </c>
      <c r="E456" t="s">
        <v>482</v>
      </c>
      <c r="F456" t="s">
        <v>566</v>
      </c>
      <c r="G456" t="s">
        <v>574</v>
      </c>
      <c r="H456">
        <v>0</v>
      </c>
      <c r="I456">
        <v>0</v>
      </c>
    </row>
    <row r="457" spans="1:9" x14ac:dyDescent="0.2">
      <c r="A457" t="s">
        <v>283</v>
      </c>
      <c r="B457" t="s">
        <v>468</v>
      </c>
      <c r="C457" t="s">
        <v>478</v>
      </c>
      <c r="D457">
        <v>0</v>
      </c>
      <c r="E457" t="s">
        <v>478</v>
      </c>
      <c r="F457" t="s">
        <v>524</v>
      </c>
      <c r="G457" t="s">
        <v>581</v>
      </c>
      <c r="H457">
        <v>0</v>
      </c>
      <c r="I457">
        <v>0</v>
      </c>
    </row>
    <row r="458" spans="1:9" x14ac:dyDescent="0.2">
      <c r="A458" t="s">
        <v>275</v>
      </c>
      <c r="B458" t="s">
        <v>469</v>
      </c>
      <c r="C458" t="s">
        <v>478</v>
      </c>
      <c r="D458">
        <v>0</v>
      </c>
      <c r="E458" t="s">
        <v>478</v>
      </c>
      <c r="F458" t="s">
        <v>530</v>
      </c>
      <c r="G458" t="s">
        <v>581</v>
      </c>
      <c r="H458">
        <v>0</v>
      </c>
      <c r="I458">
        <v>0</v>
      </c>
    </row>
    <row r="459" spans="1:9" x14ac:dyDescent="0.2">
      <c r="A459" t="s">
        <v>275</v>
      </c>
      <c r="B459" t="s">
        <v>470</v>
      </c>
      <c r="C459" t="s">
        <v>478</v>
      </c>
      <c r="D459">
        <v>0</v>
      </c>
      <c r="E459" t="s">
        <v>478</v>
      </c>
      <c r="F459" t="s">
        <v>530</v>
      </c>
      <c r="G459" t="s">
        <v>581</v>
      </c>
      <c r="H459">
        <v>0</v>
      </c>
      <c r="I459">
        <v>0</v>
      </c>
    </row>
    <row r="460" spans="1:9" x14ac:dyDescent="0.2">
      <c r="A460" t="s">
        <v>275</v>
      </c>
      <c r="B460" t="s">
        <v>471</v>
      </c>
      <c r="C460" t="s">
        <v>478</v>
      </c>
      <c r="D460">
        <v>0</v>
      </c>
      <c r="E460" t="s">
        <v>478</v>
      </c>
      <c r="F460" t="s">
        <v>530</v>
      </c>
      <c r="G460" t="s">
        <v>581</v>
      </c>
      <c r="H460">
        <v>0</v>
      </c>
      <c r="I460">
        <v>0</v>
      </c>
    </row>
    <row r="461" spans="1:9" x14ac:dyDescent="0.2">
      <c r="A461" t="s">
        <v>275</v>
      </c>
      <c r="B461" t="s">
        <v>472</v>
      </c>
      <c r="C461" t="s">
        <v>478</v>
      </c>
      <c r="D461">
        <v>0</v>
      </c>
      <c r="E461" t="s">
        <v>478</v>
      </c>
      <c r="F461" t="s">
        <v>530</v>
      </c>
      <c r="G461" t="s">
        <v>581</v>
      </c>
      <c r="H461">
        <v>0</v>
      </c>
      <c r="I461">
        <v>0</v>
      </c>
    </row>
    <row r="462" spans="1:9" x14ac:dyDescent="0.2">
      <c r="A462" t="s">
        <v>286</v>
      </c>
      <c r="B462" t="s">
        <v>473</v>
      </c>
      <c r="C462" t="s">
        <v>486</v>
      </c>
      <c r="D462">
        <v>0</v>
      </c>
      <c r="E462" t="s">
        <v>486</v>
      </c>
      <c r="F462" t="s">
        <v>542</v>
      </c>
      <c r="G462" t="s">
        <v>580</v>
      </c>
      <c r="H462">
        <v>0</v>
      </c>
      <c r="I462">
        <v>0</v>
      </c>
    </row>
    <row r="463" spans="1:9" x14ac:dyDescent="0.2">
      <c r="A463" t="s">
        <v>286</v>
      </c>
      <c r="B463" t="s">
        <v>474</v>
      </c>
      <c r="C463" t="s">
        <v>486</v>
      </c>
      <c r="D463">
        <v>0</v>
      </c>
      <c r="E463" t="s">
        <v>486</v>
      </c>
      <c r="F463" t="s">
        <v>542</v>
      </c>
      <c r="G463" t="s">
        <v>580</v>
      </c>
      <c r="H463">
        <v>0</v>
      </c>
      <c r="I463">
        <v>0</v>
      </c>
    </row>
    <row r="464" spans="1:9" x14ac:dyDescent="0.2">
      <c r="A464" t="s">
        <v>289</v>
      </c>
      <c r="B464" t="s">
        <v>475</v>
      </c>
      <c r="C464" t="s">
        <v>478</v>
      </c>
      <c r="D464">
        <v>0</v>
      </c>
      <c r="E464" t="s">
        <v>478</v>
      </c>
      <c r="F464" t="s">
        <v>559</v>
      </c>
      <c r="G464" t="s">
        <v>574</v>
      </c>
      <c r="H464">
        <v>0</v>
      </c>
      <c r="I464">
        <v>0</v>
      </c>
    </row>
    <row r="465" spans="1:9" x14ac:dyDescent="0.2">
      <c r="A465" t="s">
        <v>302</v>
      </c>
      <c r="B465" t="s">
        <v>302</v>
      </c>
      <c r="C465" t="s">
        <v>478</v>
      </c>
      <c r="D465">
        <v>0</v>
      </c>
      <c r="E465" t="s">
        <v>478</v>
      </c>
      <c r="F465" t="s">
        <v>567</v>
      </c>
      <c r="G465" t="s">
        <v>579</v>
      </c>
      <c r="H465">
        <v>0</v>
      </c>
      <c r="I465">
        <v>0</v>
      </c>
    </row>
    <row r="466" spans="1:9" x14ac:dyDescent="0.2">
      <c r="A466" t="s">
        <v>323</v>
      </c>
      <c r="B466" t="s">
        <v>302</v>
      </c>
      <c r="C466" t="s">
        <v>478</v>
      </c>
      <c r="D466">
        <v>0</v>
      </c>
      <c r="E466" t="s">
        <v>478</v>
      </c>
      <c r="F466" t="s">
        <v>568</v>
      </c>
      <c r="G466" t="s">
        <v>569</v>
      </c>
      <c r="H466">
        <v>0</v>
      </c>
      <c r="I466">
        <v>0</v>
      </c>
    </row>
    <row r="467" spans="1:9" x14ac:dyDescent="0.2">
      <c r="A467" t="s">
        <v>263</v>
      </c>
      <c r="B467" t="s">
        <v>324</v>
      </c>
      <c r="C467" t="s">
        <v>476</v>
      </c>
      <c r="D467" t="s">
        <v>503</v>
      </c>
      <c r="E467" t="s">
        <v>478</v>
      </c>
      <c r="F467" t="s">
        <v>515</v>
      </c>
      <c r="G467" t="s">
        <v>319</v>
      </c>
      <c r="H467">
        <v>512.20168843859256</v>
      </c>
      <c r="I467">
        <v>550</v>
      </c>
    </row>
    <row r="468" spans="1:9" x14ac:dyDescent="0.2">
      <c r="A468" t="s">
        <v>264</v>
      </c>
      <c r="B468" t="s">
        <v>325</v>
      </c>
      <c r="C468" t="s">
        <v>477</v>
      </c>
      <c r="D468" t="s">
        <v>504</v>
      </c>
      <c r="E468" t="s">
        <v>477</v>
      </c>
      <c r="F468" t="s">
        <v>516</v>
      </c>
      <c r="G468" t="s">
        <v>569</v>
      </c>
      <c r="H468">
        <v>137.34523897192631</v>
      </c>
      <c r="I468">
        <v>150</v>
      </c>
    </row>
    <row r="469" spans="1:9" x14ac:dyDescent="0.2">
      <c r="A469" t="s">
        <v>265</v>
      </c>
      <c r="B469" t="s">
        <v>326</v>
      </c>
      <c r="C469" t="s">
        <v>478</v>
      </c>
      <c r="D469" t="s">
        <v>505</v>
      </c>
      <c r="E469" t="s">
        <v>478</v>
      </c>
      <c r="F469" t="s">
        <v>517</v>
      </c>
      <c r="G469" t="s">
        <v>570</v>
      </c>
      <c r="H469">
        <v>0</v>
      </c>
      <c r="I469">
        <v>0</v>
      </c>
    </row>
    <row r="470" spans="1:9" x14ac:dyDescent="0.2">
      <c r="A470" t="s">
        <v>266</v>
      </c>
      <c r="B470" t="s">
        <v>327</v>
      </c>
      <c r="C470" t="s">
        <v>479</v>
      </c>
      <c r="D470" t="s">
        <v>506</v>
      </c>
      <c r="E470" t="s">
        <v>479</v>
      </c>
      <c r="F470" t="s">
        <v>518</v>
      </c>
      <c r="G470" t="s">
        <v>571</v>
      </c>
      <c r="H470">
        <v>437.1338624340375</v>
      </c>
      <c r="I470">
        <v>450</v>
      </c>
    </row>
    <row r="471" spans="1:9" x14ac:dyDescent="0.2">
      <c r="A471" t="s">
        <v>267</v>
      </c>
      <c r="B471" t="s">
        <v>328</v>
      </c>
      <c r="C471" t="s">
        <v>480</v>
      </c>
      <c r="D471" t="s">
        <v>507</v>
      </c>
      <c r="E471" t="s">
        <v>480</v>
      </c>
      <c r="F471" t="s">
        <v>519</v>
      </c>
      <c r="G471" t="s">
        <v>572</v>
      </c>
      <c r="H471">
        <v>0</v>
      </c>
      <c r="I471">
        <v>0</v>
      </c>
    </row>
    <row r="472" spans="1:9" x14ac:dyDescent="0.2">
      <c r="A472" t="s">
        <v>268</v>
      </c>
      <c r="B472" t="s">
        <v>329</v>
      </c>
      <c r="C472" t="s">
        <v>478</v>
      </c>
      <c r="D472" t="s">
        <v>505</v>
      </c>
      <c r="E472" t="s">
        <v>478</v>
      </c>
      <c r="F472" t="s">
        <v>520</v>
      </c>
      <c r="G472" t="s">
        <v>571</v>
      </c>
      <c r="H472">
        <v>0</v>
      </c>
      <c r="I472">
        <v>0</v>
      </c>
    </row>
    <row r="473" spans="1:9" x14ac:dyDescent="0.2">
      <c r="A473" t="s">
        <v>268</v>
      </c>
      <c r="B473" t="s">
        <v>330</v>
      </c>
      <c r="C473" t="s">
        <v>478</v>
      </c>
      <c r="D473" t="s">
        <v>505</v>
      </c>
      <c r="E473" t="s">
        <v>478</v>
      </c>
      <c r="F473" t="s">
        <v>516</v>
      </c>
      <c r="G473" t="s">
        <v>571</v>
      </c>
      <c r="H473">
        <v>0</v>
      </c>
      <c r="I473">
        <v>0</v>
      </c>
    </row>
    <row r="474" spans="1:9" x14ac:dyDescent="0.2">
      <c r="A474" t="s">
        <v>268</v>
      </c>
      <c r="B474" t="s">
        <v>331</v>
      </c>
      <c r="C474" t="s">
        <v>478</v>
      </c>
      <c r="D474" t="s">
        <v>505</v>
      </c>
      <c r="E474" t="s">
        <v>478</v>
      </c>
      <c r="F474" t="s">
        <v>520</v>
      </c>
      <c r="G474" t="s">
        <v>571</v>
      </c>
      <c r="H474">
        <v>0</v>
      </c>
      <c r="I474">
        <v>0</v>
      </c>
    </row>
    <row r="475" spans="1:9" x14ac:dyDescent="0.2">
      <c r="A475" t="s">
        <v>269</v>
      </c>
      <c r="B475" t="s">
        <v>332</v>
      </c>
      <c r="C475" t="s">
        <v>481</v>
      </c>
      <c r="D475" t="s">
        <v>508</v>
      </c>
      <c r="E475" t="s">
        <v>481</v>
      </c>
      <c r="F475" t="s">
        <v>521</v>
      </c>
      <c r="G475" t="s">
        <v>573</v>
      </c>
      <c r="H475">
        <v>0</v>
      </c>
      <c r="I475">
        <v>0</v>
      </c>
    </row>
    <row r="476" spans="1:9" x14ac:dyDescent="0.2">
      <c r="A476" t="s">
        <v>270</v>
      </c>
      <c r="B476" t="s">
        <v>333</v>
      </c>
      <c r="C476" t="s">
        <v>481</v>
      </c>
      <c r="D476" t="s">
        <v>508</v>
      </c>
      <c r="E476" t="s">
        <v>481</v>
      </c>
      <c r="F476" t="s">
        <v>522</v>
      </c>
      <c r="G476" t="s">
        <v>573</v>
      </c>
      <c r="H476">
        <v>0</v>
      </c>
      <c r="I476">
        <v>0</v>
      </c>
    </row>
    <row r="477" spans="1:9" x14ac:dyDescent="0.2">
      <c r="A477" t="s">
        <v>270</v>
      </c>
      <c r="B477" t="s">
        <v>334</v>
      </c>
      <c r="C477" t="s">
        <v>481</v>
      </c>
      <c r="D477" t="s">
        <v>508</v>
      </c>
      <c r="E477" t="s">
        <v>481</v>
      </c>
      <c r="F477" t="s">
        <v>523</v>
      </c>
      <c r="G477" t="s">
        <v>573</v>
      </c>
      <c r="H477">
        <v>0</v>
      </c>
      <c r="I477">
        <v>0</v>
      </c>
    </row>
    <row r="478" spans="1:9" x14ac:dyDescent="0.2">
      <c r="A478" t="s">
        <v>271</v>
      </c>
      <c r="B478" t="s">
        <v>335</v>
      </c>
      <c r="C478" t="s">
        <v>478</v>
      </c>
      <c r="D478" t="s">
        <v>505</v>
      </c>
      <c r="E478" t="s">
        <v>478</v>
      </c>
      <c r="F478" t="s">
        <v>524</v>
      </c>
      <c r="G478" t="s">
        <v>574</v>
      </c>
      <c r="H478">
        <v>0</v>
      </c>
      <c r="I478">
        <v>0</v>
      </c>
    </row>
    <row r="479" spans="1:9" x14ac:dyDescent="0.2">
      <c r="A479" t="s">
        <v>269</v>
      </c>
      <c r="B479" t="s">
        <v>336</v>
      </c>
      <c r="C479" t="s">
        <v>481</v>
      </c>
      <c r="D479" t="s">
        <v>508</v>
      </c>
      <c r="E479" t="s">
        <v>481</v>
      </c>
      <c r="F479" t="s">
        <v>525</v>
      </c>
      <c r="G479" t="s">
        <v>573</v>
      </c>
      <c r="H479">
        <v>0</v>
      </c>
      <c r="I479">
        <v>0</v>
      </c>
    </row>
    <row r="480" spans="1:9" x14ac:dyDescent="0.2">
      <c r="A480" t="s">
        <v>272</v>
      </c>
      <c r="B480" t="s">
        <v>337</v>
      </c>
      <c r="C480" t="s">
        <v>481</v>
      </c>
      <c r="D480" t="s">
        <v>508</v>
      </c>
      <c r="E480" t="s">
        <v>481</v>
      </c>
      <c r="F480" t="s">
        <v>526</v>
      </c>
      <c r="G480" t="s">
        <v>572</v>
      </c>
      <c r="H480">
        <v>0</v>
      </c>
      <c r="I480">
        <v>0</v>
      </c>
    </row>
    <row r="481" spans="1:9" x14ac:dyDescent="0.2">
      <c r="A481" t="s">
        <v>272</v>
      </c>
      <c r="B481" t="s">
        <v>338</v>
      </c>
      <c r="C481" t="s">
        <v>481</v>
      </c>
      <c r="D481" t="s">
        <v>508</v>
      </c>
      <c r="E481" t="s">
        <v>481</v>
      </c>
      <c r="F481" t="s">
        <v>527</v>
      </c>
      <c r="G481" t="s">
        <v>572</v>
      </c>
      <c r="H481">
        <v>0</v>
      </c>
      <c r="I481">
        <v>0</v>
      </c>
    </row>
    <row r="482" spans="1:9" x14ac:dyDescent="0.2">
      <c r="A482" t="s">
        <v>273</v>
      </c>
      <c r="B482" t="s">
        <v>339</v>
      </c>
      <c r="C482" t="s">
        <v>481</v>
      </c>
      <c r="D482" t="s">
        <v>508</v>
      </c>
      <c r="E482" t="s">
        <v>481</v>
      </c>
      <c r="F482" t="s">
        <v>527</v>
      </c>
      <c r="G482" t="s">
        <v>572</v>
      </c>
      <c r="H482">
        <v>0</v>
      </c>
      <c r="I482">
        <v>0</v>
      </c>
    </row>
    <row r="483" spans="1:9" x14ac:dyDescent="0.2">
      <c r="A483" t="s">
        <v>273</v>
      </c>
      <c r="B483" t="s">
        <v>340</v>
      </c>
      <c r="C483" t="s">
        <v>482</v>
      </c>
      <c r="D483" t="s">
        <v>509</v>
      </c>
      <c r="E483" t="s">
        <v>482</v>
      </c>
      <c r="F483" t="s">
        <v>528</v>
      </c>
      <c r="G483" t="s">
        <v>572</v>
      </c>
      <c r="H483">
        <v>0</v>
      </c>
      <c r="I483">
        <v>0</v>
      </c>
    </row>
    <row r="484" spans="1:9" x14ac:dyDescent="0.2">
      <c r="A484" t="s">
        <v>273</v>
      </c>
      <c r="B484" t="s">
        <v>341</v>
      </c>
      <c r="C484" t="s">
        <v>481</v>
      </c>
      <c r="D484" t="s">
        <v>508</v>
      </c>
      <c r="E484" t="s">
        <v>481</v>
      </c>
      <c r="F484" t="s">
        <v>527</v>
      </c>
      <c r="G484" t="s">
        <v>572</v>
      </c>
      <c r="H484">
        <v>0</v>
      </c>
      <c r="I484">
        <v>0</v>
      </c>
    </row>
    <row r="485" spans="1:9" x14ac:dyDescent="0.2">
      <c r="A485" t="s">
        <v>273</v>
      </c>
      <c r="B485" t="s">
        <v>342</v>
      </c>
      <c r="C485" t="s">
        <v>481</v>
      </c>
      <c r="D485" t="s">
        <v>508</v>
      </c>
      <c r="E485" t="s">
        <v>481</v>
      </c>
      <c r="F485" t="s">
        <v>526</v>
      </c>
      <c r="G485" t="s">
        <v>572</v>
      </c>
      <c r="H485">
        <v>0</v>
      </c>
      <c r="I485">
        <v>0</v>
      </c>
    </row>
    <row r="486" spans="1:9" x14ac:dyDescent="0.2">
      <c r="A486" t="s">
        <v>274</v>
      </c>
      <c r="B486" t="s">
        <v>343</v>
      </c>
      <c r="C486" t="s">
        <v>483</v>
      </c>
      <c r="D486" t="s">
        <v>510</v>
      </c>
      <c r="E486" t="s">
        <v>483</v>
      </c>
      <c r="F486" t="s">
        <v>529</v>
      </c>
      <c r="G486" t="s">
        <v>575</v>
      </c>
      <c r="H486">
        <v>0</v>
      </c>
      <c r="I486">
        <v>0</v>
      </c>
    </row>
    <row r="487" spans="1:9" x14ac:dyDescent="0.2">
      <c r="A487" t="s">
        <v>275</v>
      </c>
      <c r="B487" t="s">
        <v>344</v>
      </c>
      <c r="C487" t="s">
        <v>478</v>
      </c>
      <c r="D487" t="s">
        <v>505</v>
      </c>
      <c r="E487" t="s">
        <v>477</v>
      </c>
      <c r="F487" t="s">
        <v>530</v>
      </c>
      <c r="G487" t="s">
        <v>575</v>
      </c>
      <c r="H487">
        <v>0</v>
      </c>
      <c r="I487">
        <v>0</v>
      </c>
    </row>
    <row r="488" spans="1:9" x14ac:dyDescent="0.2">
      <c r="A488" t="s">
        <v>275</v>
      </c>
      <c r="B488" t="s">
        <v>345</v>
      </c>
      <c r="C488" t="s">
        <v>478</v>
      </c>
      <c r="D488" t="s">
        <v>505</v>
      </c>
      <c r="E488" t="s">
        <v>477</v>
      </c>
      <c r="F488" t="s">
        <v>530</v>
      </c>
      <c r="G488" t="s">
        <v>575</v>
      </c>
      <c r="H488">
        <v>0</v>
      </c>
      <c r="I488">
        <v>0</v>
      </c>
    </row>
    <row r="489" spans="1:9" x14ac:dyDescent="0.2">
      <c r="A489" t="s">
        <v>275</v>
      </c>
      <c r="B489" t="s">
        <v>346</v>
      </c>
      <c r="C489" t="s">
        <v>478</v>
      </c>
      <c r="D489" t="s">
        <v>505</v>
      </c>
      <c r="E489" t="s">
        <v>477</v>
      </c>
      <c r="F489" t="s">
        <v>530</v>
      </c>
      <c r="G489" t="s">
        <v>575</v>
      </c>
      <c r="H489">
        <v>0</v>
      </c>
      <c r="I489">
        <v>0</v>
      </c>
    </row>
    <row r="490" spans="1:9" x14ac:dyDescent="0.2">
      <c r="A490" t="s">
        <v>275</v>
      </c>
      <c r="B490" t="s">
        <v>347</v>
      </c>
      <c r="C490" t="s">
        <v>478</v>
      </c>
      <c r="D490" t="s">
        <v>505</v>
      </c>
      <c r="E490" t="s">
        <v>477</v>
      </c>
      <c r="F490" t="s">
        <v>530</v>
      </c>
      <c r="G490" t="s">
        <v>575</v>
      </c>
      <c r="H490">
        <v>0</v>
      </c>
      <c r="I490">
        <v>0</v>
      </c>
    </row>
    <row r="491" spans="1:9" x14ac:dyDescent="0.2">
      <c r="A491" t="s">
        <v>275</v>
      </c>
      <c r="B491" t="s">
        <v>348</v>
      </c>
      <c r="C491" t="s">
        <v>478</v>
      </c>
      <c r="D491" t="s">
        <v>505</v>
      </c>
      <c r="E491" t="s">
        <v>477</v>
      </c>
      <c r="F491" t="s">
        <v>530</v>
      </c>
      <c r="G491" t="s">
        <v>575</v>
      </c>
      <c r="H491">
        <v>0</v>
      </c>
      <c r="I491">
        <v>0</v>
      </c>
    </row>
    <row r="492" spans="1:9" x14ac:dyDescent="0.2">
      <c r="A492" t="s">
        <v>275</v>
      </c>
      <c r="B492" t="s">
        <v>349</v>
      </c>
      <c r="C492" t="s">
        <v>478</v>
      </c>
      <c r="D492" t="s">
        <v>505</v>
      </c>
      <c r="E492" t="s">
        <v>477</v>
      </c>
      <c r="F492" t="s">
        <v>530</v>
      </c>
      <c r="G492" t="s">
        <v>575</v>
      </c>
      <c r="H492">
        <v>0</v>
      </c>
      <c r="I492">
        <v>0</v>
      </c>
    </row>
    <row r="493" spans="1:9" x14ac:dyDescent="0.2">
      <c r="A493" t="s">
        <v>275</v>
      </c>
      <c r="B493" t="s">
        <v>350</v>
      </c>
      <c r="C493" t="s">
        <v>478</v>
      </c>
      <c r="D493" t="s">
        <v>505</v>
      </c>
      <c r="E493" t="s">
        <v>477</v>
      </c>
      <c r="F493" t="s">
        <v>530</v>
      </c>
      <c r="G493" t="s">
        <v>575</v>
      </c>
      <c r="H493">
        <v>0</v>
      </c>
      <c r="I493">
        <v>0</v>
      </c>
    </row>
    <row r="494" spans="1:9" x14ac:dyDescent="0.2">
      <c r="A494" t="s">
        <v>275</v>
      </c>
      <c r="B494" t="s">
        <v>351</v>
      </c>
      <c r="C494" t="s">
        <v>478</v>
      </c>
      <c r="D494" t="s">
        <v>505</v>
      </c>
      <c r="E494" t="s">
        <v>477</v>
      </c>
      <c r="F494" t="s">
        <v>530</v>
      </c>
      <c r="G494" t="s">
        <v>575</v>
      </c>
      <c r="H494">
        <v>0</v>
      </c>
      <c r="I494">
        <v>0</v>
      </c>
    </row>
    <row r="495" spans="1:9" x14ac:dyDescent="0.2">
      <c r="A495" t="s">
        <v>275</v>
      </c>
      <c r="B495" t="s">
        <v>352</v>
      </c>
      <c r="C495" t="s">
        <v>478</v>
      </c>
      <c r="D495" t="s">
        <v>505</v>
      </c>
      <c r="E495" t="s">
        <v>477</v>
      </c>
      <c r="F495" t="s">
        <v>530</v>
      </c>
      <c r="G495" t="s">
        <v>575</v>
      </c>
      <c r="H495">
        <v>0</v>
      </c>
      <c r="I495">
        <v>0</v>
      </c>
    </row>
    <row r="496" spans="1:9" x14ac:dyDescent="0.2">
      <c r="A496" t="s">
        <v>264</v>
      </c>
      <c r="B496" t="s">
        <v>353</v>
      </c>
      <c r="C496" t="s">
        <v>478</v>
      </c>
      <c r="D496" t="s">
        <v>505</v>
      </c>
      <c r="E496" t="s">
        <v>477</v>
      </c>
      <c r="F496" t="s">
        <v>516</v>
      </c>
      <c r="G496" t="s">
        <v>575</v>
      </c>
      <c r="H496">
        <v>0</v>
      </c>
      <c r="I496">
        <v>0</v>
      </c>
    </row>
    <row r="497" spans="1:9" x14ac:dyDescent="0.2">
      <c r="A497" t="s">
        <v>276</v>
      </c>
      <c r="B497" t="s">
        <v>354</v>
      </c>
      <c r="C497" t="s">
        <v>484</v>
      </c>
      <c r="D497" t="s">
        <v>511</v>
      </c>
      <c r="E497" t="s">
        <v>484</v>
      </c>
      <c r="F497" t="s">
        <v>531</v>
      </c>
      <c r="G497" t="s">
        <v>575</v>
      </c>
      <c r="H497">
        <v>0</v>
      </c>
      <c r="I497">
        <v>0</v>
      </c>
    </row>
    <row r="498" spans="1:9" x14ac:dyDescent="0.2">
      <c r="A498" t="s">
        <v>275</v>
      </c>
      <c r="B498" t="s">
        <v>355</v>
      </c>
      <c r="C498" t="s">
        <v>478</v>
      </c>
      <c r="D498" t="s">
        <v>505</v>
      </c>
      <c r="E498" t="s">
        <v>477</v>
      </c>
      <c r="F498" t="s">
        <v>530</v>
      </c>
      <c r="G498" t="s">
        <v>575</v>
      </c>
      <c r="H498">
        <v>0</v>
      </c>
      <c r="I498">
        <v>0</v>
      </c>
    </row>
    <row r="499" spans="1:9" x14ac:dyDescent="0.2">
      <c r="A499" t="s">
        <v>275</v>
      </c>
      <c r="B499" t="s">
        <v>356</v>
      </c>
      <c r="C499" t="s">
        <v>478</v>
      </c>
      <c r="D499" t="s">
        <v>505</v>
      </c>
      <c r="E499" t="s">
        <v>477</v>
      </c>
      <c r="F499" t="s">
        <v>530</v>
      </c>
      <c r="G499" t="s">
        <v>575</v>
      </c>
      <c r="H499">
        <v>0</v>
      </c>
      <c r="I499">
        <v>0</v>
      </c>
    </row>
    <row r="500" spans="1:9" x14ac:dyDescent="0.2">
      <c r="A500" t="s">
        <v>275</v>
      </c>
      <c r="B500" t="s">
        <v>357</v>
      </c>
      <c r="C500" t="s">
        <v>478</v>
      </c>
      <c r="D500" t="s">
        <v>505</v>
      </c>
      <c r="E500" t="s">
        <v>477</v>
      </c>
      <c r="F500" t="s">
        <v>530</v>
      </c>
      <c r="G500" t="s">
        <v>575</v>
      </c>
      <c r="H500">
        <v>0</v>
      </c>
      <c r="I500">
        <v>0</v>
      </c>
    </row>
    <row r="501" spans="1:9" x14ac:dyDescent="0.2">
      <c r="A501" t="s">
        <v>275</v>
      </c>
      <c r="B501" t="s">
        <v>358</v>
      </c>
      <c r="C501" t="s">
        <v>478</v>
      </c>
      <c r="D501" t="s">
        <v>505</v>
      </c>
      <c r="E501" t="s">
        <v>477</v>
      </c>
      <c r="F501" t="s">
        <v>530</v>
      </c>
      <c r="G501" t="s">
        <v>575</v>
      </c>
      <c r="H501">
        <v>0</v>
      </c>
      <c r="I501">
        <v>0</v>
      </c>
    </row>
    <row r="502" spans="1:9" x14ac:dyDescent="0.2">
      <c r="A502" t="s">
        <v>275</v>
      </c>
      <c r="B502" t="s">
        <v>359</v>
      </c>
      <c r="C502" t="s">
        <v>478</v>
      </c>
      <c r="D502" t="s">
        <v>505</v>
      </c>
      <c r="E502" t="s">
        <v>477</v>
      </c>
      <c r="F502" t="s">
        <v>530</v>
      </c>
      <c r="G502" t="s">
        <v>575</v>
      </c>
      <c r="H502">
        <v>0</v>
      </c>
      <c r="I502">
        <v>0</v>
      </c>
    </row>
    <row r="503" spans="1:9" x14ac:dyDescent="0.2">
      <c r="A503" t="s">
        <v>275</v>
      </c>
      <c r="B503" t="s">
        <v>360</v>
      </c>
      <c r="C503" t="s">
        <v>478</v>
      </c>
      <c r="D503" t="s">
        <v>505</v>
      </c>
      <c r="E503" t="s">
        <v>477</v>
      </c>
      <c r="F503" t="s">
        <v>530</v>
      </c>
      <c r="G503" t="s">
        <v>575</v>
      </c>
      <c r="H503">
        <v>0</v>
      </c>
      <c r="I503">
        <v>0</v>
      </c>
    </row>
    <row r="504" spans="1:9" x14ac:dyDescent="0.2">
      <c r="A504" t="s">
        <v>264</v>
      </c>
      <c r="B504" t="s">
        <v>361</v>
      </c>
      <c r="C504" t="s">
        <v>478</v>
      </c>
      <c r="D504" t="s">
        <v>505</v>
      </c>
      <c r="E504" t="s">
        <v>477</v>
      </c>
      <c r="F504" t="s">
        <v>516</v>
      </c>
      <c r="G504" t="s">
        <v>575</v>
      </c>
      <c r="H504">
        <v>0</v>
      </c>
      <c r="I504">
        <v>0</v>
      </c>
    </row>
    <row r="505" spans="1:9" x14ac:dyDescent="0.2">
      <c r="A505" t="s">
        <v>265</v>
      </c>
      <c r="B505" t="s">
        <v>362</v>
      </c>
      <c r="C505" t="s">
        <v>478</v>
      </c>
      <c r="D505" t="s">
        <v>505</v>
      </c>
      <c r="E505" t="s">
        <v>491</v>
      </c>
      <c r="F505" t="s">
        <v>532</v>
      </c>
      <c r="G505" t="s">
        <v>570</v>
      </c>
      <c r="H505">
        <v>0</v>
      </c>
      <c r="I505">
        <v>0</v>
      </c>
    </row>
    <row r="506" spans="1:9" x14ac:dyDescent="0.2">
      <c r="A506" t="s">
        <v>277</v>
      </c>
      <c r="B506" t="s">
        <v>363</v>
      </c>
      <c r="C506" t="s">
        <v>485</v>
      </c>
      <c r="D506" t="s">
        <v>512</v>
      </c>
      <c r="E506" t="s">
        <v>485</v>
      </c>
      <c r="F506" t="s">
        <v>525</v>
      </c>
      <c r="G506" t="s">
        <v>571</v>
      </c>
      <c r="H506">
        <v>0</v>
      </c>
      <c r="I506">
        <v>0</v>
      </c>
    </row>
    <row r="507" spans="1:9" x14ac:dyDescent="0.2">
      <c r="A507" t="s">
        <v>267</v>
      </c>
      <c r="B507" t="s">
        <v>364</v>
      </c>
      <c r="C507" t="s">
        <v>480</v>
      </c>
      <c r="D507" t="s">
        <v>507</v>
      </c>
      <c r="E507" t="s">
        <v>480</v>
      </c>
      <c r="F507" t="s">
        <v>533</v>
      </c>
      <c r="G507" t="s">
        <v>572</v>
      </c>
      <c r="H507">
        <v>0</v>
      </c>
      <c r="I507">
        <v>0</v>
      </c>
    </row>
    <row r="508" spans="1:9" x14ac:dyDescent="0.2">
      <c r="A508" t="s">
        <v>278</v>
      </c>
      <c r="B508" t="s">
        <v>365</v>
      </c>
      <c r="C508" t="s">
        <v>486</v>
      </c>
      <c r="D508" t="s">
        <v>513</v>
      </c>
      <c r="E508" t="s">
        <v>486</v>
      </c>
      <c r="F508" t="s">
        <v>534</v>
      </c>
      <c r="G508" t="s">
        <v>573</v>
      </c>
      <c r="H508">
        <v>0</v>
      </c>
      <c r="I508">
        <v>0</v>
      </c>
    </row>
    <row r="509" spans="1:9" x14ac:dyDescent="0.2">
      <c r="A509" t="s">
        <v>278</v>
      </c>
      <c r="B509" t="s">
        <v>366</v>
      </c>
      <c r="C509" t="s">
        <v>486</v>
      </c>
      <c r="D509" t="s">
        <v>513</v>
      </c>
      <c r="E509" t="s">
        <v>486</v>
      </c>
      <c r="F509" t="s">
        <v>534</v>
      </c>
      <c r="G509" t="s">
        <v>573</v>
      </c>
      <c r="H509">
        <v>0</v>
      </c>
      <c r="I509">
        <v>0</v>
      </c>
    </row>
    <row r="510" spans="1:9" x14ac:dyDescent="0.2">
      <c r="A510" t="s">
        <v>279</v>
      </c>
      <c r="B510" t="s">
        <v>367</v>
      </c>
      <c r="C510" t="s">
        <v>487</v>
      </c>
      <c r="D510" t="s">
        <v>514</v>
      </c>
      <c r="E510" t="s">
        <v>487</v>
      </c>
      <c r="F510" t="s">
        <v>535</v>
      </c>
      <c r="G510" t="s">
        <v>573</v>
      </c>
      <c r="H510">
        <v>0</v>
      </c>
      <c r="I510">
        <v>0</v>
      </c>
    </row>
    <row r="511" spans="1:9" x14ac:dyDescent="0.2">
      <c r="A511" t="s">
        <v>279</v>
      </c>
      <c r="B511" t="s">
        <v>368</v>
      </c>
      <c r="C511" t="s">
        <v>487</v>
      </c>
      <c r="D511" t="s">
        <v>514</v>
      </c>
      <c r="E511" t="s">
        <v>487</v>
      </c>
      <c r="F511" t="s">
        <v>527</v>
      </c>
      <c r="G511" t="s">
        <v>573</v>
      </c>
      <c r="H511">
        <v>0</v>
      </c>
      <c r="I511">
        <v>0</v>
      </c>
    </row>
    <row r="512" spans="1:9" x14ac:dyDescent="0.2">
      <c r="A512" t="s">
        <v>280</v>
      </c>
      <c r="B512" t="s">
        <v>369</v>
      </c>
      <c r="C512" t="s">
        <v>482</v>
      </c>
      <c r="D512">
        <v>0</v>
      </c>
      <c r="E512" t="s">
        <v>482</v>
      </c>
      <c r="F512" t="s">
        <v>526</v>
      </c>
      <c r="G512" t="s">
        <v>572</v>
      </c>
      <c r="H512">
        <v>0</v>
      </c>
      <c r="I512">
        <v>0</v>
      </c>
    </row>
    <row r="513" spans="1:9" x14ac:dyDescent="0.2">
      <c r="A513" t="s">
        <v>280</v>
      </c>
      <c r="B513" t="s">
        <v>370</v>
      </c>
      <c r="C513" t="s">
        <v>482</v>
      </c>
      <c r="D513">
        <v>0</v>
      </c>
      <c r="E513" t="s">
        <v>482</v>
      </c>
      <c r="F513" t="s">
        <v>527</v>
      </c>
      <c r="G513" t="s">
        <v>572</v>
      </c>
      <c r="H513">
        <v>0</v>
      </c>
      <c r="I513">
        <v>0</v>
      </c>
    </row>
    <row r="514" spans="1:9" x14ac:dyDescent="0.2">
      <c r="A514" t="s">
        <v>272</v>
      </c>
      <c r="B514" t="s">
        <v>371</v>
      </c>
      <c r="C514" t="s">
        <v>482</v>
      </c>
      <c r="D514">
        <v>0</v>
      </c>
      <c r="E514" t="s">
        <v>482</v>
      </c>
      <c r="F514" t="s">
        <v>527</v>
      </c>
      <c r="G514" t="s">
        <v>572</v>
      </c>
      <c r="H514">
        <v>0</v>
      </c>
      <c r="I514">
        <v>0</v>
      </c>
    </row>
    <row r="515" spans="1:9" x14ac:dyDescent="0.2">
      <c r="A515" t="s">
        <v>272</v>
      </c>
      <c r="B515" t="s">
        <v>372</v>
      </c>
      <c r="C515" t="s">
        <v>488</v>
      </c>
      <c r="D515">
        <v>0</v>
      </c>
      <c r="E515" t="s">
        <v>488</v>
      </c>
      <c r="F515" t="s">
        <v>528</v>
      </c>
      <c r="G515" t="s">
        <v>572</v>
      </c>
      <c r="H515">
        <v>0</v>
      </c>
      <c r="I515">
        <v>0</v>
      </c>
    </row>
    <row r="516" spans="1:9" x14ac:dyDescent="0.2">
      <c r="A516" t="s">
        <v>281</v>
      </c>
      <c r="B516" t="s">
        <v>373</v>
      </c>
      <c r="C516" t="s">
        <v>482</v>
      </c>
      <c r="D516">
        <v>0</v>
      </c>
      <c r="E516" t="s">
        <v>482</v>
      </c>
      <c r="F516" t="s">
        <v>527</v>
      </c>
      <c r="G516" t="s">
        <v>572</v>
      </c>
      <c r="H516">
        <v>0</v>
      </c>
      <c r="I516">
        <v>0</v>
      </c>
    </row>
    <row r="517" spans="1:9" x14ac:dyDescent="0.2">
      <c r="A517" t="s">
        <v>273</v>
      </c>
      <c r="B517" t="s">
        <v>374</v>
      </c>
      <c r="C517" t="s">
        <v>481</v>
      </c>
      <c r="D517">
        <v>0</v>
      </c>
      <c r="E517" t="s">
        <v>481</v>
      </c>
      <c r="F517" t="s">
        <v>526</v>
      </c>
      <c r="G517" t="s">
        <v>572</v>
      </c>
      <c r="H517">
        <v>0</v>
      </c>
      <c r="I517">
        <v>0</v>
      </c>
    </row>
    <row r="518" spans="1:9" x14ac:dyDescent="0.2">
      <c r="A518" t="s">
        <v>282</v>
      </c>
      <c r="B518" t="s">
        <v>375</v>
      </c>
      <c r="C518" t="s">
        <v>489</v>
      </c>
      <c r="D518">
        <v>0</v>
      </c>
      <c r="E518" t="s">
        <v>489</v>
      </c>
      <c r="F518" t="s">
        <v>526</v>
      </c>
      <c r="G518" t="s">
        <v>572</v>
      </c>
      <c r="H518">
        <v>0</v>
      </c>
      <c r="I518">
        <v>0</v>
      </c>
    </row>
    <row r="519" spans="1:9" x14ac:dyDescent="0.2">
      <c r="A519" t="s">
        <v>283</v>
      </c>
      <c r="B519" t="s">
        <v>376</v>
      </c>
      <c r="C519" t="s">
        <v>490</v>
      </c>
      <c r="D519">
        <v>0</v>
      </c>
      <c r="E519" t="s">
        <v>478</v>
      </c>
      <c r="F519" t="s">
        <v>536</v>
      </c>
      <c r="G519" t="s">
        <v>575</v>
      </c>
      <c r="H519">
        <v>0</v>
      </c>
      <c r="I519">
        <v>0</v>
      </c>
    </row>
    <row r="520" spans="1:9" x14ac:dyDescent="0.2">
      <c r="A520" t="s">
        <v>275</v>
      </c>
      <c r="B520" t="s">
        <v>377</v>
      </c>
      <c r="C520" t="s">
        <v>478</v>
      </c>
      <c r="D520">
        <v>0</v>
      </c>
      <c r="E520" t="s">
        <v>477</v>
      </c>
      <c r="F520" t="s">
        <v>537</v>
      </c>
      <c r="G520" t="s">
        <v>575</v>
      </c>
      <c r="H520">
        <v>0</v>
      </c>
      <c r="I520">
        <v>0</v>
      </c>
    </row>
    <row r="521" spans="1:9" x14ac:dyDescent="0.2">
      <c r="A521" t="s">
        <v>275</v>
      </c>
      <c r="B521" t="s">
        <v>378</v>
      </c>
      <c r="C521" t="s">
        <v>478</v>
      </c>
      <c r="D521">
        <v>0</v>
      </c>
      <c r="E521" t="s">
        <v>477</v>
      </c>
      <c r="F521" t="s">
        <v>538</v>
      </c>
      <c r="G521" t="s">
        <v>575</v>
      </c>
      <c r="H521">
        <v>0</v>
      </c>
      <c r="I521">
        <v>0</v>
      </c>
    </row>
    <row r="522" spans="1:9" x14ac:dyDescent="0.2">
      <c r="A522" t="s">
        <v>275</v>
      </c>
      <c r="B522" t="s">
        <v>379</v>
      </c>
      <c r="C522" t="s">
        <v>478</v>
      </c>
      <c r="D522">
        <v>0</v>
      </c>
      <c r="E522" t="s">
        <v>477</v>
      </c>
      <c r="F522" t="s">
        <v>538</v>
      </c>
      <c r="G522" t="s">
        <v>575</v>
      </c>
      <c r="H522">
        <v>0</v>
      </c>
      <c r="I522">
        <v>0</v>
      </c>
    </row>
    <row r="523" spans="1:9" x14ac:dyDescent="0.2">
      <c r="A523" t="s">
        <v>275</v>
      </c>
      <c r="B523" t="s">
        <v>380</v>
      </c>
      <c r="C523" t="s">
        <v>478</v>
      </c>
      <c r="D523">
        <v>0</v>
      </c>
      <c r="E523" t="s">
        <v>477</v>
      </c>
      <c r="F523" t="s">
        <v>530</v>
      </c>
      <c r="G523" t="s">
        <v>575</v>
      </c>
      <c r="H523">
        <v>0</v>
      </c>
      <c r="I523">
        <v>0</v>
      </c>
    </row>
    <row r="524" spans="1:9" x14ac:dyDescent="0.2">
      <c r="A524" t="s">
        <v>275</v>
      </c>
      <c r="B524" t="s">
        <v>381</v>
      </c>
      <c r="C524" t="s">
        <v>478</v>
      </c>
      <c r="D524">
        <v>0</v>
      </c>
      <c r="E524" t="s">
        <v>477</v>
      </c>
      <c r="F524" t="s">
        <v>530</v>
      </c>
      <c r="G524" t="s">
        <v>575</v>
      </c>
      <c r="H524">
        <v>0</v>
      </c>
      <c r="I524">
        <v>0</v>
      </c>
    </row>
    <row r="525" spans="1:9" x14ac:dyDescent="0.2">
      <c r="A525" t="s">
        <v>275</v>
      </c>
      <c r="B525" t="s">
        <v>382</v>
      </c>
      <c r="C525" t="s">
        <v>478</v>
      </c>
      <c r="D525">
        <v>0</v>
      </c>
      <c r="E525" t="s">
        <v>477</v>
      </c>
      <c r="F525" t="s">
        <v>530</v>
      </c>
      <c r="G525" t="s">
        <v>575</v>
      </c>
      <c r="H525">
        <v>0</v>
      </c>
      <c r="I525">
        <v>0</v>
      </c>
    </row>
    <row r="526" spans="1:9" x14ac:dyDescent="0.2">
      <c r="A526" t="s">
        <v>275</v>
      </c>
      <c r="B526" t="s">
        <v>383</v>
      </c>
      <c r="C526" t="s">
        <v>478</v>
      </c>
      <c r="D526">
        <v>0</v>
      </c>
      <c r="E526" t="s">
        <v>477</v>
      </c>
      <c r="F526" t="s">
        <v>530</v>
      </c>
      <c r="G526" t="s">
        <v>575</v>
      </c>
      <c r="H526">
        <v>0</v>
      </c>
      <c r="I526">
        <v>0</v>
      </c>
    </row>
    <row r="527" spans="1:9" x14ac:dyDescent="0.2">
      <c r="A527" t="s">
        <v>264</v>
      </c>
      <c r="B527" t="s">
        <v>384</v>
      </c>
      <c r="C527" t="s">
        <v>478</v>
      </c>
      <c r="D527">
        <v>0</v>
      </c>
      <c r="E527" t="s">
        <v>477</v>
      </c>
      <c r="F527" t="s">
        <v>516</v>
      </c>
      <c r="G527" t="s">
        <v>575</v>
      </c>
      <c r="H527">
        <v>0</v>
      </c>
      <c r="I527">
        <v>0</v>
      </c>
    </row>
    <row r="528" spans="1:9" x14ac:dyDescent="0.2">
      <c r="A528" t="s">
        <v>284</v>
      </c>
      <c r="B528" t="s">
        <v>385</v>
      </c>
      <c r="C528" t="s">
        <v>477</v>
      </c>
      <c r="D528">
        <v>0</v>
      </c>
      <c r="E528" t="s">
        <v>477</v>
      </c>
      <c r="F528" t="s">
        <v>539</v>
      </c>
      <c r="G528" t="s">
        <v>570</v>
      </c>
      <c r="H528">
        <v>0</v>
      </c>
      <c r="I528">
        <v>0</v>
      </c>
    </row>
    <row r="529" spans="1:9" x14ac:dyDescent="0.2">
      <c r="A529" t="s">
        <v>285</v>
      </c>
      <c r="B529" t="s">
        <v>386</v>
      </c>
      <c r="C529" t="s">
        <v>477</v>
      </c>
      <c r="D529">
        <v>0</v>
      </c>
      <c r="E529" t="s">
        <v>477</v>
      </c>
      <c r="F529" t="s">
        <v>531</v>
      </c>
      <c r="G529" t="s">
        <v>570</v>
      </c>
      <c r="H529">
        <v>0</v>
      </c>
      <c r="I529">
        <v>0</v>
      </c>
    </row>
    <row r="530" spans="1:9" x14ac:dyDescent="0.2">
      <c r="A530" t="s">
        <v>286</v>
      </c>
      <c r="B530" t="s">
        <v>387</v>
      </c>
      <c r="C530" t="s">
        <v>486</v>
      </c>
      <c r="D530">
        <v>0</v>
      </c>
      <c r="E530" t="s">
        <v>486</v>
      </c>
      <c r="F530" t="s">
        <v>540</v>
      </c>
      <c r="G530" t="s">
        <v>572</v>
      </c>
      <c r="H530">
        <v>0</v>
      </c>
      <c r="I530">
        <v>0</v>
      </c>
    </row>
    <row r="531" spans="1:9" x14ac:dyDescent="0.2">
      <c r="A531" t="s">
        <v>286</v>
      </c>
      <c r="B531" t="s">
        <v>388</v>
      </c>
      <c r="C531" t="s">
        <v>491</v>
      </c>
      <c r="D531">
        <v>0</v>
      </c>
      <c r="E531" t="s">
        <v>491</v>
      </c>
      <c r="F531" t="s">
        <v>524</v>
      </c>
      <c r="G531" t="s">
        <v>573</v>
      </c>
      <c r="H531">
        <v>0</v>
      </c>
      <c r="I531">
        <v>0</v>
      </c>
    </row>
    <row r="532" spans="1:9" x14ac:dyDescent="0.2">
      <c r="A532" t="s">
        <v>286</v>
      </c>
      <c r="B532" t="s">
        <v>389</v>
      </c>
      <c r="C532" t="s">
        <v>491</v>
      </c>
      <c r="D532">
        <v>0</v>
      </c>
      <c r="E532" t="s">
        <v>491</v>
      </c>
      <c r="F532" t="s">
        <v>524</v>
      </c>
      <c r="G532" t="s">
        <v>573</v>
      </c>
      <c r="H532">
        <v>0</v>
      </c>
      <c r="I532">
        <v>0</v>
      </c>
    </row>
    <row r="533" spans="1:9" x14ac:dyDescent="0.2">
      <c r="A533" t="s">
        <v>286</v>
      </c>
      <c r="B533" t="s">
        <v>390</v>
      </c>
      <c r="C533" t="s">
        <v>491</v>
      </c>
      <c r="D533">
        <v>0</v>
      </c>
      <c r="E533" t="s">
        <v>491</v>
      </c>
      <c r="F533" t="s">
        <v>524</v>
      </c>
      <c r="G533" t="s">
        <v>573</v>
      </c>
      <c r="H533">
        <v>0</v>
      </c>
      <c r="I533">
        <v>0</v>
      </c>
    </row>
    <row r="534" spans="1:9" x14ac:dyDescent="0.2">
      <c r="A534" t="s">
        <v>286</v>
      </c>
      <c r="B534" t="s">
        <v>391</v>
      </c>
      <c r="C534" t="s">
        <v>491</v>
      </c>
      <c r="D534">
        <v>0</v>
      </c>
      <c r="E534" t="s">
        <v>491</v>
      </c>
      <c r="F534" t="s">
        <v>524</v>
      </c>
      <c r="G534" t="s">
        <v>573</v>
      </c>
      <c r="H534">
        <v>0</v>
      </c>
      <c r="I534">
        <v>0</v>
      </c>
    </row>
    <row r="535" spans="1:9" x14ac:dyDescent="0.2">
      <c r="A535" t="s">
        <v>286</v>
      </c>
      <c r="B535" t="s">
        <v>392</v>
      </c>
      <c r="C535" t="s">
        <v>491</v>
      </c>
      <c r="D535">
        <v>0</v>
      </c>
      <c r="E535" t="s">
        <v>491</v>
      </c>
      <c r="F535" t="s">
        <v>524</v>
      </c>
      <c r="G535" t="s">
        <v>573</v>
      </c>
      <c r="H535">
        <v>0</v>
      </c>
      <c r="I535">
        <v>0</v>
      </c>
    </row>
    <row r="536" spans="1:9" x14ac:dyDescent="0.2">
      <c r="A536" t="s">
        <v>286</v>
      </c>
      <c r="B536" t="s">
        <v>393</v>
      </c>
      <c r="C536" t="s">
        <v>491</v>
      </c>
      <c r="D536">
        <v>0</v>
      </c>
      <c r="E536" t="s">
        <v>491</v>
      </c>
      <c r="F536" t="s">
        <v>524</v>
      </c>
      <c r="G536" t="s">
        <v>573</v>
      </c>
      <c r="H536">
        <v>0</v>
      </c>
      <c r="I536">
        <v>0</v>
      </c>
    </row>
    <row r="537" spans="1:9" x14ac:dyDescent="0.2">
      <c r="A537" t="s">
        <v>286</v>
      </c>
      <c r="B537" t="s">
        <v>394</v>
      </c>
      <c r="C537" t="s">
        <v>491</v>
      </c>
      <c r="D537">
        <v>0</v>
      </c>
      <c r="E537" t="s">
        <v>491</v>
      </c>
      <c r="F537" t="s">
        <v>524</v>
      </c>
      <c r="G537" t="s">
        <v>573</v>
      </c>
      <c r="H537">
        <v>0</v>
      </c>
      <c r="I537">
        <v>0</v>
      </c>
    </row>
    <row r="538" spans="1:9" x14ac:dyDescent="0.2">
      <c r="A538" t="s">
        <v>286</v>
      </c>
      <c r="B538" t="s">
        <v>394</v>
      </c>
      <c r="C538" t="s">
        <v>491</v>
      </c>
      <c r="D538">
        <v>0</v>
      </c>
      <c r="E538" t="s">
        <v>491</v>
      </c>
      <c r="F538" t="s">
        <v>524</v>
      </c>
      <c r="G538" t="s">
        <v>573</v>
      </c>
      <c r="H538">
        <v>0</v>
      </c>
      <c r="I538">
        <v>0</v>
      </c>
    </row>
    <row r="539" spans="1:9" x14ac:dyDescent="0.2">
      <c r="A539" t="s">
        <v>286</v>
      </c>
      <c r="B539" t="s">
        <v>395</v>
      </c>
      <c r="C539" t="s">
        <v>491</v>
      </c>
      <c r="D539">
        <v>0</v>
      </c>
      <c r="E539" t="s">
        <v>491</v>
      </c>
      <c r="F539" t="s">
        <v>524</v>
      </c>
      <c r="G539" t="s">
        <v>573</v>
      </c>
      <c r="H539">
        <v>0</v>
      </c>
      <c r="I539">
        <v>0</v>
      </c>
    </row>
    <row r="540" spans="1:9" x14ac:dyDescent="0.2">
      <c r="A540" t="s">
        <v>286</v>
      </c>
      <c r="B540" t="s">
        <v>396</v>
      </c>
      <c r="C540" t="s">
        <v>486</v>
      </c>
      <c r="D540">
        <v>0</v>
      </c>
      <c r="E540" t="s">
        <v>486</v>
      </c>
      <c r="F540" t="s">
        <v>541</v>
      </c>
      <c r="G540" t="s">
        <v>573</v>
      </c>
      <c r="H540">
        <v>0</v>
      </c>
      <c r="I540">
        <v>0</v>
      </c>
    </row>
    <row r="541" spans="1:9" x14ac:dyDescent="0.2">
      <c r="A541" t="s">
        <v>286</v>
      </c>
      <c r="B541" t="s">
        <v>397</v>
      </c>
      <c r="C541" t="s">
        <v>486</v>
      </c>
      <c r="D541">
        <v>0</v>
      </c>
      <c r="E541" t="s">
        <v>486</v>
      </c>
      <c r="F541" t="s">
        <v>541</v>
      </c>
      <c r="G541" t="s">
        <v>573</v>
      </c>
      <c r="H541">
        <v>0</v>
      </c>
      <c r="I541">
        <v>0</v>
      </c>
    </row>
    <row r="542" spans="1:9" x14ac:dyDescent="0.2">
      <c r="A542" t="s">
        <v>286</v>
      </c>
      <c r="B542" t="s">
        <v>398</v>
      </c>
      <c r="C542" t="s">
        <v>486</v>
      </c>
      <c r="D542">
        <v>0</v>
      </c>
      <c r="E542" t="s">
        <v>486</v>
      </c>
      <c r="F542" t="s">
        <v>541</v>
      </c>
      <c r="G542" t="s">
        <v>573</v>
      </c>
      <c r="H542">
        <v>0</v>
      </c>
      <c r="I542">
        <v>0</v>
      </c>
    </row>
    <row r="543" spans="1:9" x14ac:dyDescent="0.2">
      <c r="A543" t="s">
        <v>287</v>
      </c>
      <c r="B543" t="s">
        <v>399</v>
      </c>
      <c r="C543" t="s">
        <v>477</v>
      </c>
      <c r="D543">
        <v>0</v>
      </c>
      <c r="E543" t="s">
        <v>477</v>
      </c>
      <c r="F543" t="s">
        <v>542</v>
      </c>
      <c r="G543" t="s">
        <v>573</v>
      </c>
      <c r="H543">
        <v>0</v>
      </c>
      <c r="I543">
        <v>0</v>
      </c>
    </row>
    <row r="544" spans="1:9" x14ac:dyDescent="0.2">
      <c r="A544" t="s">
        <v>288</v>
      </c>
      <c r="B544" t="s">
        <v>400</v>
      </c>
      <c r="C544" t="s">
        <v>477</v>
      </c>
      <c r="D544">
        <v>0</v>
      </c>
      <c r="E544" t="s">
        <v>477</v>
      </c>
      <c r="F544" t="s">
        <v>543</v>
      </c>
      <c r="G544" t="s">
        <v>573</v>
      </c>
      <c r="H544">
        <v>0</v>
      </c>
      <c r="I544">
        <v>0</v>
      </c>
    </row>
    <row r="545" spans="1:9" x14ac:dyDescent="0.2">
      <c r="A545" t="s">
        <v>285</v>
      </c>
      <c r="B545" t="s">
        <v>401</v>
      </c>
      <c r="C545" t="s">
        <v>477</v>
      </c>
      <c r="D545">
        <v>0</v>
      </c>
      <c r="E545" t="s">
        <v>477</v>
      </c>
      <c r="F545" t="s">
        <v>529</v>
      </c>
      <c r="G545" t="s">
        <v>570</v>
      </c>
      <c r="H545">
        <v>0</v>
      </c>
      <c r="I545">
        <v>0</v>
      </c>
    </row>
    <row r="546" spans="1:9" x14ac:dyDescent="0.2">
      <c r="A546" t="s">
        <v>289</v>
      </c>
      <c r="B546" t="s">
        <v>402</v>
      </c>
      <c r="C546" t="s">
        <v>492</v>
      </c>
      <c r="D546">
        <v>0</v>
      </c>
      <c r="E546" t="s">
        <v>492</v>
      </c>
      <c r="F546" t="s">
        <v>529</v>
      </c>
      <c r="G546" t="s">
        <v>572</v>
      </c>
      <c r="H546">
        <v>0</v>
      </c>
      <c r="I546">
        <v>0</v>
      </c>
    </row>
    <row r="547" spans="1:9" x14ac:dyDescent="0.2">
      <c r="A547" t="s">
        <v>289</v>
      </c>
      <c r="B547" t="s">
        <v>403</v>
      </c>
      <c r="C547" t="s">
        <v>492</v>
      </c>
      <c r="D547">
        <v>0</v>
      </c>
      <c r="E547" t="s">
        <v>492</v>
      </c>
      <c r="F547" t="s">
        <v>543</v>
      </c>
      <c r="G547" t="s">
        <v>572</v>
      </c>
      <c r="H547">
        <v>0</v>
      </c>
      <c r="I547">
        <v>0</v>
      </c>
    </row>
    <row r="548" spans="1:9" x14ac:dyDescent="0.2">
      <c r="A548" t="s">
        <v>289</v>
      </c>
      <c r="B548" t="s">
        <v>404</v>
      </c>
      <c r="C548" t="s">
        <v>492</v>
      </c>
      <c r="D548">
        <v>0</v>
      </c>
      <c r="E548" t="s">
        <v>492</v>
      </c>
      <c r="F548" t="s">
        <v>529</v>
      </c>
      <c r="G548" t="s">
        <v>572</v>
      </c>
      <c r="H548">
        <v>0</v>
      </c>
      <c r="I548">
        <v>0</v>
      </c>
    </row>
    <row r="549" spans="1:9" x14ac:dyDescent="0.2">
      <c r="A549" t="s">
        <v>286</v>
      </c>
      <c r="B549" t="s">
        <v>405</v>
      </c>
      <c r="C549" t="s">
        <v>486</v>
      </c>
      <c r="D549">
        <v>0</v>
      </c>
      <c r="E549" t="s">
        <v>486</v>
      </c>
      <c r="F549" t="s">
        <v>540</v>
      </c>
      <c r="G549" t="s">
        <v>572</v>
      </c>
      <c r="H549">
        <v>0</v>
      </c>
      <c r="I549">
        <v>0</v>
      </c>
    </row>
    <row r="550" spans="1:9" x14ac:dyDescent="0.2">
      <c r="A550" t="s">
        <v>286</v>
      </c>
      <c r="B550" t="s">
        <v>406</v>
      </c>
      <c r="C550" t="s">
        <v>486</v>
      </c>
      <c r="D550">
        <v>0</v>
      </c>
      <c r="E550" t="s">
        <v>486</v>
      </c>
      <c r="F550" t="s">
        <v>536</v>
      </c>
      <c r="G550" t="s">
        <v>572</v>
      </c>
      <c r="H550">
        <v>0</v>
      </c>
      <c r="I550">
        <v>0</v>
      </c>
    </row>
    <row r="551" spans="1:9" x14ac:dyDescent="0.2">
      <c r="A551" t="s">
        <v>290</v>
      </c>
      <c r="B551" t="s">
        <v>407</v>
      </c>
      <c r="C551" t="s">
        <v>478</v>
      </c>
      <c r="D551">
        <v>0</v>
      </c>
      <c r="E551" t="s">
        <v>478</v>
      </c>
      <c r="F551" t="s">
        <v>544</v>
      </c>
      <c r="G551" t="s">
        <v>569</v>
      </c>
      <c r="H551">
        <v>0</v>
      </c>
      <c r="I551">
        <v>0</v>
      </c>
    </row>
    <row r="552" spans="1:9" x14ac:dyDescent="0.2">
      <c r="A552" t="s">
        <v>291</v>
      </c>
      <c r="B552" t="s">
        <v>408</v>
      </c>
      <c r="C552" t="s">
        <v>478</v>
      </c>
      <c r="D552">
        <v>0</v>
      </c>
      <c r="E552" t="s">
        <v>478</v>
      </c>
      <c r="F552" t="s">
        <v>545</v>
      </c>
      <c r="G552" t="s">
        <v>576</v>
      </c>
      <c r="H552">
        <v>0</v>
      </c>
      <c r="I552">
        <v>0</v>
      </c>
    </row>
    <row r="553" spans="1:9" x14ac:dyDescent="0.2">
      <c r="A553" t="s">
        <v>292</v>
      </c>
      <c r="B553" t="s">
        <v>409</v>
      </c>
      <c r="C553" t="s">
        <v>478</v>
      </c>
      <c r="D553">
        <v>0</v>
      </c>
      <c r="E553" t="s">
        <v>478</v>
      </c>
      <c r="F553" t="s">
        <v>546</v>
      </c>
      <c r="G553" t="s">
        <v>576</v>
      </c>
      <c r="H553">
        <v>0</v>
      </c>
      <c r="I553">
        <v>0</v>
      </c>
    </row>
    <row r="554" spans="1:9" x14ac:dyDescent="0.2">
      <c r="A554" t="s">
        <v>292</v>
      </c>
      <c r="B554" t="s">
        <v>410</v>
      </c>
      <c r="C554" t="s">
        <v>478</v>
      </c>
      <c r="D554">
        <v>0</v>
      </c>
      <c r="E554" t="s">
        <v>478</v>
      </c>
      <c r="F554" t="s">
        <v>547</v>
      </c>
      <c r="G554" t="s">
        <v>576</v>
      </c>
      <c r="H554">
        <v>0</v>
      </c>
      <c r="I554">
        <v>0</v>
      </c>
    </row>
    <row r="555" spans="1:9" x14ac:dyDescent="0.2">
      <c r="A555" t="s">
        <v>268</v>
      </c>
      <c r="B555" t="s">
        <v>411</v>
      </c>
      <c r="C555" t="s">
        <v>478</v>
      </c>
      <c r="D555">
        <v>0</v>
      </c>
      <c r="E555" t="s">
        <v>478</v>
      </c>
      <c r="F555" t="s">
        <v>520</v>
      </c>
      <c r="G555" t="s">
        <v>576</v>
      </c>
      <c r="H555">
        <v>0</v>
      </c>
      <c r="I555">
        <v>0</v>
      </c>
    </row>
    <row r="556" spans="1:9" x14ac:dyDescent="0.2">
      <c r="A556" t="s">
        <v>293</v>
      </c>
      <c r="B556" t="s">
        <v>412</v>
      </c>
      <c r="C556" t="s">
        <v>478</v>
      </c>
      <c r="D556">
        <v>0</v>
      </c>
      <c r="E556" t="s">
        <v>478</v>
      </c>
      <c r="F556" t="s">
        <v>536</v>
      </c>
      <c r="G556" t="s">
        <v>571</v>
      </c>
      <c r="H556">
        <v>0</v>
      </c>
      <c r="I556">
        <v>0</v>
      </c>
    </row>
    <row r="557" spans="1:9" x14ac:dyDescent="0.2">
      <c r="A557" t="s">
        <v>294</v>
      </c>
      <c r="B557" t="s">
        <v>413</v>
      </c>
      <c r="C557" t="s">
        <v>493</v>
      </c>
      <c r="D557">
        <v>0</v>
      </c>
      <c r="E557" t="s">
        <v>493</v>
      </c>
      <c r="F557" t="s">
        <v>548</v>
      </c>
      <c r="G557" t="s">
        <v>577</v>
      </c>
      <c r="H557">
        <v>0</v>
      </c>
      <c r="I557">
        <v>0</v>
      </c>
    </row>
    <row r="558" spans="1:9" x14ac:dyDescent="0.2">
      <c r="A558" t="s">
        <v>295</v>
      </c>
      <c r="B558" t="s">
        <v>414</v>
      </c>
      <c r="C558" t="s">
        <v>494</v>
      </c>
      <c r="D558">
        <v>0</v>
      </c>
      <c r="E558" t="s">
        <v>494</v>
      </c>
      <c r="F558" t="s">
        <v>549</v>
      </c>
      <c r="G558" t="s">
        <v>577</v>
      </c>
      <c r="H558">
        <v>0</v>
      </c>
      <c r="I558">
        <v>0</v>
      </c>
    </row>
    <row r="559" spans="1:9" x14ac:dyDescent="0.2">
      <c r="A559" t="s">
        <v>296</v>
      </c>
      <c r="B559" t="s">
        <v>415</v>
      </c>
      <c r="C559" t="s">
        <v>494</v>
      </c>
      <c r="D559">
        <v>0</v>
      </c>
      <c r="E559" t="s">
        <v>494</v>
      </c>
      <c r="F559" t="s">
        <v>550</v>
      </c>
      <c r="G559" t="s">
        <v>577</v>
      </c>
      <c r="H559">
        <v>0</v>
      </c>
      <c r="I559">
        <v>0</v>
      </c>
    </row>
    <row r="560" spans="1:9" x14ac:dyDescent="0.2">
      <c r="A560" t="s">
        <v>297</v>
      </c>
      <c r="B560" t="s">
        <v>416</v>
      </c>
      <c r="C560" t="s">
        <v>488</v>
      </c>
      <c r="D560">
        <v>0</v>
      </c>
      <c r="E560" t="s">
        <v>488</v>
      </c>
      <c r="F560" t="s">
        <v>551</v>
      </c>
      <c r="G560" t="s">
        <v>577</v>
      </c>
      <c r="H560">
        <v>0</v>
      </c>
      <c r="I560">
        <v>0</v>
      </c>
    </row>
    <row r="561" spans="1:9" x14ac:dyDescent="0.2">
      <c r="A561" t="s">
        <v>298</v>
      </c>
      <c r="B561" t="s">
        <v>417</v>
      </c>
      <c r="C561" t="s">
        <v>495</v>
      </c>
      <c r="D561">
        <v>0</v>
      </c>
      <c r="E561" t="s">
        <v>495</v>
      </c>
      <c r="F561" t="s">
        <v>552</v>
      </c>
      <c r="G561" t="s">
        <v>577</v>
      </c>
      <c r="H561">
        <v>0</v>
      </c>
      <c r="I561">
        <v>0</v>
      </c>
    </row>
    <row r="562" spans="1:9" x14ac:dyDescent="0.2">
      <c r="A562" t="s">
        <v>299</v>
      </c>
      <c r="B562" t="s">
        <v>418</v>
      </c>
      <c r="C562" t="s">
        <v>496</v>
      </c>
      <c r="D562">
        <v>0</v>
      </c>
      <c r="E562" t="s">
        <v>496</v>
      </c>
      <c r="F562" t="s">
        <v>516</v>
      </c>
      <c r="G562" t="s">
        <v>577</v>
      </c>
      <c r="H562">
        <v>0</v>
      </c>
      <c r="I562">
        <v>0</v>
      </c>
    </row>
    <row r="563" spans="1:9" x14ac:dyDescent="0.2">
      <c r="A563" t="s">
        <v>300</v>
      </c>
      <c r="B563" t="s">
        <v>419</v>
      </c>
      <c r="C563" t="s">
        <v>497</v>
      </c>
      <c r="D563">
        <v>0</v>
      </c>
      <c r="E563" t="s">
        <v>497</v>
      </c>
      <c r="F563" t="s">
        <v>553</v>
      </c>
      <c r="G563" t="s">
        <v>577</v>
      </c>
      <c r="H563">
        <v>0</v>
      </c>
      <c r="I563">
        <v>0</v>
      </c>
    </row>
    <row r="564" spans="1:9" x14ac:dyDescent="0.2">
      <c r="A564" t="s">
        <v>301</v>
      </c>
      <c r="B564" t="s">
        <v>420</v>
      </c>
      <c r="C564" t="s">
        <v>478</v>
      </c>
      <c r="D564">
        <v>0</v>
      </c>
      <c r="E564" t="s">
        <v>478</v>
      </c>
      <c r="F564" t="s">
        <v>516</v>
      </c>
      <c r="G564" t="s">
        <v>576</v>
      </c>
      <c r="H564">
        <v>0</v>
      </c>
      <c r="I564">
        <v>0</v>
      </c>
    </row>
    <row r="565" spans="1:9" x14ac:dyDescent="0.2">
      <c r="A565" t="s">
        <v>283</v>
      </c>
      <c r="B565" t="s">
        <v>421</v>
      </c>
      <c r="C565" t="s">
        <v>477</v>
      </c>
      <c r="D565">
        <v>0</v>
      </c>
      <c r="E565" t="s">
        <v>477</v>
      </c>
      <c r="F565" t="s">
        <v>540</v>
      </c>
      <c r="G565" t="s">
        <v>578</v>
      </c>
      <c r="H565">
        <v>0</v>
      </c>
      <c r="I565">
        <v>0</v>
      </c>
    </row>
    <row r="566" spans="1:9" x14ac:dyDescent="0.2">
      <c r="A566" t="s">
        <v>264</v>
      </c>
      <c r="B566" t="s">
        <v>422</v>
      </c>
      <c r="C566" t="s">
        <v>477</v>
      </c>
      <c r="D566">
        <v>0</v>
      </c>
      <c r="E566" t="s">
        <v>477</v>
      </c>
      <c r="F566" t="s">
        <v>541</v>
      </c>
      <c r="G566" t="s">
        <v>578</v>
      </c>
      <c r="H566">
        <v>0</v>
      </c>
      <c r="I566">
        <v>0</v>
      </c>
    </row>
    <row r="567" spans="1:9" x14ac:dyDescent="0.2">
      <c r="A567" t="s">
        <v>264</v>
      </c>
      <c r="B567" t="s">
        <v>423</v>
      </c>
      <c r="C567" t="s">
        <v>478</v>
      </c>
      <c r="D567">
        <v>0</v>
      </c>
      <c r="E567" t="s">
        <v>478</v>
      </c>
      <c r="F567" t="s">
        <v>516</v>
      </c>
      <c r="G567" t="s">
        <v>578</v>
      </c>
      <c r="H567">
        <v>0</v>
      </c>
      <c r="I567">
        <v>0</v>
      </c>
    </row>
    <row r="568" spans="1:9" x14ac:dyDescent="0.2">
      <c r="A568" t="s">
        <v>301</v>
      </c>
      <c r="B568" t="s">
        <v>424</v>
      </c>
      <c r="C568" t="s">
        <v>478</v>
      </c>
      <c r="D568">
        <v>0</v>
      </c>
      <c r="E568" t="s">
        <v>478</v>
      </c>
      <c r="F568" t="s">
        <v>537</v>
      </c>
      <c r="G568" t="s">
        <v>576</v>
      </c>
      <c r="H568">
        <v>0</v>
      </c>
      <c r="I568">
        <v>0</v>
      </c>
    </row>
    <row r="569" spans="1:9" x14ac:dyDescent="0.2">
      <c r="A569" t="s">
        <v>283</v>
      </c>
      <c r="B569" t="s">
        <v>425</v>
      </c>
      <c r="C569" t="s">
        <v>498</v>
      </c>
      <c r="D569">
        <v>0</v>
      </c>
      <c r="E569" t="s">
        <v>498</v>
      </c>
      <c r="F569" t="s">
        <v>529</v>
      </c>
      <c r="G569" t="s">
        <v>578</v>
      </c>
      <c r="H569">
        <v>0</v>
      </c>
      <c r="I569">
        <v>0</v>
      </c>
    </row>
    <row r="570" spans="1:9" x14ac:dyDescent="0.2">
      <c r="A570" t="s">
        <v>302</v>
      </c>
      <c r="B570" t="s">
        <v>426</v>
      </c>
      <c r="C570" t="s">
        <v>478</v>
      </c>
      <c r="D570">
        <v>0</v>
      </c>
      <c r="E570" t="s">
        <v>478</v>
      </c>
      <c r="F570" t="s">
        <v>529</v>
      </c>
      <c r="G570" t="s">
        <v>579</v>
      </c>
      <c r="H570">
        <v>0</v>
      </c>
      <c r="I570">
        <v>0</v>
      </c>
    </row>
    <row r="571" spans="1:9" x14ac:dyDescent="0.2">
      <c r="A571" t="s">
        <v>285</v>
      </c>
      <c r="B571" t="s">
        <v>427</v>
      </c>
      <c r="C571" t="s">
        <v>499</v>
      </c>
      <c r="D571">
        <v>0</v>
      </c>
      <c r="E571" t="s">
        <v>499</v>
      </c>
      <c r="F571" t="s">
        <v>542</v>
      </c>
      <c r="G571" t="s">
        <v>577</v>
      </c>
      <c r="H571">
        <v>0</v>
      </c>
      <c r="I571">
        <v>0</v>
      </c>
    </row>
    <row r="572" spans="1:9" x14ac:dyDescent="0.2">
      <c r="A572" t="s">
        <v>303</v>
      </c>
      <c r="B572" t="s">
        <v>428</v>
      </c>
      <c r="C572" t="s">
        <v>500</v>
      </c>
      <c r="D572">
        <v>0</v>
      </c>
      <c r="E572" t="s">
        <v>500</v>
      </c>
      <c r="F572" t="s">
        <v>546</v>
      </c>
      <c r="G572" t="s">
        <v>577</v>
      </c>
      <c r="H572">
        <v>0</v>
      </c>
      <c r="I572">
        <v>0</v>
      </c>
    </row>
    <row r="573" spans="1:9" x14ac:dyDescent="0.2">
      <c r="A573" t="s">
        <v>304</v>
      </c>
      <c r="B573" t="s">
        <v>429</v>
      </c>
      <c r="C573" t="s">
        <v>478</v>
      </c>
      <c r="D573">
        <v>0</v>
      </c>
      <c r="E573" t="s">
        <v>478</v>
      </c>
      <c r="F573" t="s">
        <v>554</v>
      </c>
      <c r="G573" t="s">
        <v>569</v>
      </c>
      <c r="H573">
        <v>0</v>
      </c>
      <c r="I573">
        <v>0</v>
      </c>
    </row>
    <row r="574" spans="1:9" x14ac:dyDescent="0.2">
      <c r="A574" t="s">
        <v>277</v>
      </c>
      <c r="B574" t="s">
        <v>430</v>
      </c>
      <c r="C574" t="s">
        <v>478</v>
      </c>
      <c r="D574">
        <v>0</v>
      </c>
      <c r="E574" t="s">
        <v>478</v>
      </c>
      <c r="F574" t="s">
        <v>539</v>
      </c>
      <c r="G574" t="s">
        <v>571</v>
      </c>
      <c r="H574">
        <v>0</v>
      </c>
      <c r="I574">
        <v>0</v>
      </c>
    </row>
    <row r="575" spans="1:9" x14ac:dyDescent="0.2">
      <c r="A575" t="s">
        <v>277</v>
      </c>
      <c r="B575" t="s">
        <v>431</v>
      </c>
      <c r="C575" t="s">
        <v>478</v>
      </c>
      <c r="D575">
        <v>0</v>
      </c>
      <c r="E575" t="s">
        <v>478</v>
      </c>
      <c r="F575" t="s">
        <v>534</v>
      </c>
      <c r="G575" t="s">
        <v>571</v>
      </c>
      <c r="H575">
        <v>0</v>
      </c>
      <c r="I575">
        <v>0</v>
      </c>
    </row>
    <row r="576" spans="1:9" x14ac:dyDescent="0.2">
      <c r="A576" t="s">
        <v>277</v>
      </c>
      <c r="B576" t="s">
        <v>432</v>
      </c>
      <c r="C576" t="s">
        <v>501</v>
      </c>
      <c r="D576">
        <v>0</v>
      </c>
      <c r="E576" t="s">
        <v>501</v>
      </c>
      <c r="F576" t="s">
        <v>555</v>
      </c>
      <c r="G576" t="s">
        <v>571</v>
      </c>
      <c r="H576">
        <v>0</v>
      </c>
      <c r="I576">
        <v>0</v>
      </c>
    </row>
    <row r="577" spans="1:9" x14ac:dyDescent="0.2">
      <c r="A577" t="s">
        <v>263</v>
      </c>
      <c r="B577" t="s">
        <v>433</v>
      </c>
      <c r="C577" t="s">
        <v>502</v>
      </c>
      <c r="D577">
        <v>0</v>
      </c>
      <c r="E577" t="s">
        <v>502</v>
      </c>
      <c r="F577" t="s">
        <v>556</v>
      </c>
      <c r="G577" t="s">
        <v>580</v>
      </c>
      <c r="H577">
        <v>0</v>
      </c>
      <c r="I577">
        <v>0</v>
      </c>
    </row>
    <row r="578" spans="1:9" x14ac:dyDescent="0.2">
      <c r="A578" t="s">
        <v>268</v>
      </c>
      <c r="B578" t="s">
        <v>434</v>
      </c>
      <c r="C578" t="s">
        <v>478</v>
      </c>
      <c r="D578">
        <v>0</v>
      </c>
      <c r="E578" t="s">
        <v>478</v>
      </c>
      <c r="F578" t="s">
        <v>520</v>
      </c>
      <c r="G578" t="s">
        <v>571</v>
      </c>
      <c r="H578">
        <v>0</v>
      </c>
      <c r="I578">
        <v>0</v>
      </c>
    </row>
    <row r="579" spans="1:9" x14ac:dyDescent="0.2">
      <c r="A579" t="s">
        <v>305</v>
      </c>
      <c r="B579" t="s">
        <v>435</v>
      </c>
      <c r="C579" t="s">
        <v>478</v>
      </c>
      <c r="D579">
        <v>0</v>
      </c>
      <c r="E579" t="s">
        <v>478</v>
      </c>
      <c r="F579" t="s">
        <v>557</v>
      </c>
      <c r="G579" t="s">
        <v>569</v>
      </c>
      <c r="H579">
        <v>0</v>
      </c>
      <c r="I579">
        <v>0</v>
      </c>
    </row>
    <row r="580" spans="1:9" x14ac:dyDescent="0.2">
      <c r="A580" t="s">
        <v>306</v>
      </c>
      <c r="B580" t="s">
        <v>436</v>
      </c>
      <c r="C580" t="s">
        <v>478</v>
      </c>
      <c r="D580">
        <v>0</v>
      </c>
      <c r="E580" t="s">
        <v>478</v>
      </c>
      <c r="F580" t="s">
        <v>558</v>
      </c>
      <c r="G580" t="s">
        <v>569</v>
      </c>
      <c r="H580">
        <v>0</v>
      </c>
      <c r="I580">
        <v>0</v>
      </c>
    </row>
    <row r="581" spans="1:9" x14ac:dyDescent="0.2">
      <c r="A581" t="s">
        <v>307</v>
      </c>
      <c r="B581" t="s">
        <v>437</v>
      </c>
      <c r="C581" t="s">
        <v>478</v>
      </c>
      <c r="D581">
        <v>0</v>
      </c>
      <c r="E581" t="s">
        <v>478</v>
      </c>
      <c r="F581" t="s">
        <v>559</v>
      </c>
      <c r="G581" t="s">
        <v>574</v>
      </c>
      <c r="H581">
        <v>0</v>
      </c>
      <c r="I581">
        <v>0</v>
      </c>
    </row>
    <row r="582" spans="1:9" x14ac:dyDescent="0.2">
      <c r="A582" t="s">
        <v>308</v>
      </c>
      <c r="B582" t="s">
        <v>438</v>
      </c>
      <c r="C582" t="s">
        <v>478</v>
      </c>
      <c r="D582">
        <v>0</v>
      </c>
      <c r="E582" t="s">
        <v>478</v>
      </c>
      <c r="F582" t="s">
        <v>560</v>
      </c>
      <c r="G582" t="s">
        <v>569</v>
      </c>
      <c r="H582">
        <v>0</v>
      </c>
      <c r="I582">
        <v>0</v>
      </c>
    </row>
    <row r="583" spans="1:9" x14ac:dyDescent="0.2">
      <c r="A583" t="s">
        <v>309</v>
      </c>
      <c r="B583" t="s">
        <v>439</v>
      </c>
      <c r="C583" t="s">
        <v>478</v>
      </c>
      <c r="D583">
        <v>0</v>
      </c>
      <c r="E583" t="s">
        <v>478</v>
      </c>
      <c r="F583" t="s">
        <v>558</v>
      </c>
      <c r="G583" t="s">
        <v>574</v>
      </c>
      <c r="H583">
        <v>0</v>
      </c>
      <c r="I583">
        <v>0</v>
      </c>
    </row>
    <row r="584" spans="1:9" x14ac:dyDescent="0.2">
      <c r="A584" t="s">
        <v>310</v>
      </c>
      <c r="B584" t="s">
        <v>440</v>
      </c>
      <c r="C584" t="s">
        <v>478</v>
      </c>
      <c r="D584">
        <v>0</v>
      </c>
      <c r="E584" t="s">
        <v>478</v>
      </c>
      <c r="F584" t="s">
        <v>561</v>
      </c>
      <c r="G584" t="s">
        <v>569</v>
      </c>
      <c r="H584">
        <v>0</v>
      </c>
      <c r="I584">
        <v>0</v>
      </c>
    </row>
    <row r="585" spans="1:9" x14ac:dyDescent="0.2">
      <c r="A585" t="s">
        <v>311</v>
      </c>
      <c r="B585" t="s">
        <v>441</v>
      </c>
      <c r="C585" t="s">
        <v>481</v>
      </c>
      <c r="D585">
        <v>0</v>
      </c>
      <c r="E585" t="s">
        <v>481</v>
      </c>
      <c r="F585" t="s">
        <v>527</v>
      </c>
      <c r="G585" t="s">
        <v>580</v>
      </c>
      <c r="H585">
        <v>0</v>
      </c>
      <c r="I585">
        <v>0</v>
      </c>
    </row>
    <row r="586" spans="1:9" x14ac:dyDescent="0.2">
      <c r="A586" t="s">
        <v>311</v>
      </c>
      <c r="B586" t="s">
        <v>442</v>
      </c>
      <c r="C586" t="s">
        <v>482</v>
      </c>
      <c r="D586">
        <v>0</v>
      </c>
      <c r="E586" t="s">
        <v>482</v>
      </c>
      <c r="F586" t="s">
        <v>562</v>
      </c>
      <c r="G586" t="s">
        <v>580</v>
      </c>
      <c r="H586">
        <v>0</v>
      </c>
      <c r="I586">
        <v>0</v>
      </c>
    </row>
    <row r="587" spans="1:9" x14ac:dyDescent="0.2">
      <c r="A587" t="s">
        <v>311</v>
      </c>
      <c r="B587" t="s">
        <v>443</v>
      </c>
      <c r="C587" t="s">
        <v>481</v>
      </c>
      <c r="D587">
        <v>0</v>
      </c>
      <c r="E587" t="s">
        <v>481</v>
      </c>
      <c r="F587" t="s">
        <v>563</v>
      </c>
      <c r="G587" t="s">
        <v>580</v>
      </c>
      <c r="H587">
        <v>0</v>
      </c>
      <c r="I587">
        <v>0</v>
      </c>
    </row>
    <row r="588" spans="1:9" x14ac:dyDescent="0.2">
      <c r="A588" t="s">
        <v>312</v>
      </c>
      <c r="B588" t="s">
        <v>444</v>
      </c>
      <c r="C588" t="s">
        <v>481</v>
      </c>
      <c r="D588">
        <v>0</v>
      </c>
      <c r="E588" t="s">
        <v>481</v>
      </c>
      <c r="F588" t="s">
        <v>526</v>
      </c>
      <c r="G588" t="s">
        <v>580</v>
      </c>
      <c r="H588">
        <v>0</v>
      </c>
      <c r="I588">
        <v>0</v>
      </c>
    </row>
    <row r="589" spans="1:9" x14ac:dyDescent="0.2">
      <c r="A589" t="s">
        <v>286</v>
      </c>
      <c r="B589" t="s">
        <v>445</v>
      </c>
      <c r="C589" t="s">
        <v>486</v>
      </c>
      <c r="D589">
        <v>0</v>
      </c>
      <c r="E589" t="s">
        <v>486</v>
      </c>
      <c r="F589" t="s">
        <v>542</v>
      </c>
      <c r="G589" t="s">
        <v>580</v>
      </c>
      <c r="H589">
        <v>0</v>
      </c>
      <c r="I589">
        <v>0</v>
      </c>
    </row>
    <row r="590" spans="1:9" x14ac:dyDescent="0.2">
      <c r="A590" t="s">
        <v>286</v>
      </c>
      <c r="B590" t="s">
        <v>446</v>
      </c>
      <c r="C590" t="s">
        <v>486</v>
      </c>
      <c r="D590">
        <v>0</v>
      </c>
      <c r="E590" t="s">
        <v>486</v>
      </c>
      <c r="F590" t="s">
        <v>541</v>
      </c>
      <c r="G590" t="s">
        <v>580</v>
      </c>
      <c r="H590">
        <v>0</v>
      </c>
      <c r="I590">
        <v>0</v>
      </c>
    </row>
    <row r="591" spans="1:9" x14ac:dyDescent="0.2">
      <c r="A591" t="s">
        <v>313</v>
      </c>
      <c r="B591" t="s">
        <v>447</v>
      </c>
      <c r="C591" t="s">
        <v>478</v>
      </c>
      <c r="D591">
        <v>0</v>
      </c>
      <c r="E591" t="s">
        <v>478</v>
      </c>
      <c r="F591" t="s">
        <v>516</v>
      </c>
      <c r="G591" t="s">
        <v>569</v>
      </c>
      <c r="H591">
        <v>0</v>
      </c>
      <c r="I591">
        <v>0</v>
      </c>
    </row>
    <row r="592" spans="1:9" x14ac:dyDescent="0.2">
      <c r="A592" t="s">
        <v>314</v>
      </c>
      <c r="B592" t="s">
        <v>448</v>
      </c>
      <c r="C592" t="s">
        <v>478</v>
      </c>
      <c r="D592">
        <v>0</v>
      </c>
      <c r="E592" t="s">
        <v>478</v>
      </c>
      <c r="F592" t="s">
        <v>516</v>
      </c>
      <c r="G592" t="s">
        <v>569</v>
      </c>
      <c r="H592">
        <v>0</v>
      </c>
      <c r="I592">
        <v>0</v>
      </c>
    </row>
    <row r="593" spans="1:9" x14ac:dyDescent="0.2">
      <c r="A593" t="s">
        <v>315</v>
      </c>
      <c r="B593" t="s">
        <v>449</v>
      </c>
      <c r="C593" t="s">
        <v>478</v>
      </c>
      <c r="D593">
        <v>0</v>
      </c>
      <c r="E593" t="s">
        <v>478</v>
      </c>
      <c r="F593" t="s">
        <v>530</v>
      </c>
      <c r="G593" t="s">
        <v>569</v>
      </c>
      <c r="H593">
        <v>0</v>
      </c>
      <c r="I593">
        <v>0</v>
      </c>
    </row>
    <row r="594" spans="1:9" x14ac:dyDescent="0.2">
      <c r="A594" t="s">
        <v>315</v>
      </c>
      <c r="B594" t="s">
        <v>450</v>
      </c>
      <c r="C594" t="s">
        <v>478</v>
      </c>
      <c r="D594">
        <v>0</v>
      </c>
      <c r="E594" t="s">
        <v>478</v>
      </c>
      <c r="F594" t="s">
        <v>530</v>
      </c>
      <c r="G594" t="s">
        <v>569</v>
      </c>
      <c r="H594">
        <v>0</v>
      </c>
      <c r="I594">
        <v>0</v>
      </c>
    </row>
    <row r="595" spans="1:9" x14ac:dyDescent="0.2">
      <c r="A595" t="s">
        <v>315</v>
      </c>
      <c r="B595" t="s">
        <v>451</v>
      </c>
      <c r="C595" t="s">
        <v>478</v>
      </c>
      <c r="D595">
        <v>0</v>
      </c>
      <c r="E595" t="s">
        <v>478</v>
      </c>
      <c r="F595" t="s">
        <v>530</v>
      </c>
      <c r="G595" t="s">
        <v>569</v>
      </c>
      <c r="H595">
        <v>0</v>
      </c>
      <c r="I595">
        <v>0</v>
      </c>
    </row>
    <row r="596" spans="1:9" x14ac:dyDescent="0.2">
      <c r="A596" t="s">
        <v>313</v>
      </c>
      <c r="B596" t="s">
        <v>452</v>
      </c>
      <c r="C596" t="s">
        <v>478</v>
      </c>
      <c r="D596">
        <v>0</v>
      </c>
      <c r="E596" t="s">
        <v>478</v>
      </c>
      <c r="F596" t="s">
        <v>524</v>
      </c>
      <c r="G596" t="s">
        <v>569</v>
      </c>
      <c r="H596">
        <v>0</v>
      </c>
      <c r="I596">
        <v>0</v>
      </c>
    </row>
    <row r="597" spans="1:9" x14ac:dyDescent="0.2">
      <c r="A597" t="s">
        <v>314</v>
      </c>
      <c r="B597" t="s">
        <v>453</v>
      </c>
      <c r="C597" t="s">
        <v>478</v>
      </c>
      <c r="D597">
        <v>0</v>
      </c>
      <c r="E597" t="s">
        <v>478</v>
      </c>
      <c r="F597" t="s">
        <v>538</v>
      </c>
      <c r="G597" t="s">
        <v>569</v>
      </c>
      <c r="H597">
        <v>0</v>
      </c>
      <c r="I597">
        <v>0</v>
      </c>
    </row>
    <row r="598" spans="1:9" x14ac:dyDescent="0.2">
      <c r="A598" t="s">
        <v>314</v>
      </c>
      <c r="B598" t="s">
        <v>454</v>
      </c>
      <c r="C598" t="s">
        <v>478</v>
      </c>
      <c r="D598">
        <v>0</v>
      </c>
      <c r="E598" t="s">
        <v>478</v>
      </c>
      <c r="F598" t="s">
        <v>530</v>
      </c>
      <c r="G598" t="s">
        <v>569</v>
      </c>
      <c r="H598">
        <v>0</v>
      </c>
      <c r="I598">
        <v>0</v>
      </c>
    </row>
    <row r="599" spans="1:9" x14ac:dyDescent="0.2">
      <c r="A599" t="s">
        <v>314</v>
      </c>
      <c r="B599" t="s">
        <v>455</v>
      </c>
      <c r="C599" t="s">
        <v>478</v>
      </c>
      <c r="D599">
        <v>0</v>
      </c>
      <c r="E599" t="s">
        <v>478</v>
      </c>
      <c r="F599" t="s">
        <v>538</v>
      </c>
      <c r="G599" t="s">
        <v>569</v>
      </c>
      <c r="H599">
        <v>0</v>
      </c>
      <c r="I599">
        <v>0</v>
      </c>
    </row>
    <row r="600" spans="1:9" x14ac:dyDescent="0.2">
      <c r="A600" t="s">
        <v>314</v>
      </c>
      <c r="B600" t="s">
        <v>456</v>
      </c>
      <c r="C600" t="s">
        <v>478</v>
      </c>
      <c r="D600">
        <v>0</v>
      </c>
      <c r="E600" t="s">
        <v>478</v>
      </c>
      <c r="F600" t="s">
        <v>530</v>
      </c>
      <c r="G600" t="s">
        <v>569</v>
      </c>
      <c r="H600">
        <v>0</v>
      </c>
      <c r="I600">
        <v>0</v>
      </c>
    </row>
    <row r="601" spans="1:9" x14ac:dyDescent="0.2">
      <c r="A601" t="s">
        <v>277</v>
      </c>
      <c r="B601" t="s">
        <v>457</v>
      </c>
      <c r="C601" t="s">
        <v>501</v>
      </c>
      <c r="D601">
        <v>0</v>
      </c>
      <c r="E601" t="s">
        <v>501</v>
      </c>
      <c r="F601" t="s">
        <v>564</v>
      </c>
      <c r="G601" t="s">
        <v>571</v>
      </c>
      <c r="H601">
        <v>0</v>
      </c>
      <c r="I601">
        <v>0</v>
      </c>
    </row>
    <row r="602" spans="1:9" x14ac:dyDescent="0.2">
      <c r="A602" t="s">
        <v>263</v>
      </c>
      <c r="B602" t="s">
        <v>458</v>
      </c>
      <c r="C602" t="s">
        <v>476</v>
      </c>
      <c r="D602">
        <v>0</v>
      </c>
      <c r="E602" t="s">
        <v>476</v>
      </c>
      <c r="F602" t="s">
        <v>565</v>
      </c>
      <c r="G602" t="s">
        <v>580</v>
      </c>
      <c r="H602">
        <v>0</v>
      </c>
      <c r="I602">
        <v>0</v>
      </c>
    </row>
    <row r="603" spans="1:9" x14ac:dyDescent="0.2">
      <c r="A603" t="s">
        <v>316</v>
      </c>
      <c r="B603" t="s">
        <v>459</v>
      </c>
      <c r="C603" t="s">
        <v>478</v>
      </c>
      <c r="D603">
        <v>0</v>
      </c>
      <c r="E603" t="s">
        <v>478</v>
      </c>
      <c r="F603" t="s">
        <v>557</v>
      </c>
      <c r="G603" t="s">
        <v>569</v>
      </c>
      <c r="H603">
        <v>0</v>
      </c>
      <c r="I603">
        <v>0</v>
      </c>
    </row>
    <row r="604" spans="1:9" x14ac:dyDescent="0.2">
      <c r="A604" t="s">
        <v>317</v>
      </c>
      <c r="B604" t="s">
        <v>460</v>
      </c>
      <c r="C604" t="s">
        <v>478</v>
      </c>
      <c r="D604">
        <v>0</v>
      </c>
      <c r="E604" t="s">
        <v>478</v>
      </c>
      <c r="F604" t="s">
        <v>560</v>
      </c>
      <c r="G604" t="s">
        <v>569</v>
      </c>
      <c r="H604">
        <v>0</v>
      </c>
      <c r="I604">
        <v>0</v>
      </c>
    </row>
    <row r="605" spans="1:9" x14ac:dyDescent="0.2">
      <c r="A605" t="s">
        <v>318</v>
      </c>
      <c r="B605" t="s">
        <v>461</v>
      </c>
      <c r="C605" t="s">
        <v>478</v>
      </c>
      <c r="D605">
        <v>0</v>
      </c>
      <c r="E605" t="s">
        <v>478</v>
      </c>
      <c r="F605" t="s">
        <v>561</v>
      </c>
      <c r="G605" t="s">
        <v>574</v>
      </c>
      <c r="H605">
        <v>0</v>
      </c>
      <c r="I605">
        <v>0</v>
      </c>
    </row>
    <row r="606" spans="1:9" x14ac:dyDescent="0.2">
      <c r="A606" t="s">
        <v>319</v>
      </c>
      <c r="B606" t="s">
        <v>462</v>
      </c>
      <c r="C606" t="s">
        <v>482</v>
      </c>
      <c r="D606">
        <v>0</v>
      </c>
      <c r="E606" t="s">
        <v>482</v>
      </c>
      <c r="F606" t="s">
        <v>526</v>
      </c>
      <c r="G606" t="s">
        <v>580</v>
      </c>
      <c r="H606">
        <v>0</v>
      </c>
      <c r="I606">
        <v>0</v>
      </c>
    </row>
    <row r="607" spans="1:9" x14ac:dyDescent="0.2">
      <c r="A607" t="s">
        <v>320</v>
      </c>
      <c r="B607" t="s">
        <v>463</v>
      </c>
      <c r="C607" t="s">
        <v>488</v>
      </c>
      <c r="D607">
        <v>0</v>
      </c>
      <c r="E607" t="s">
        <v>488</v>
      </c>
      <c r="F607" t="s">
        <v>562</v>
      </c>
      <c r="G607" t="s">
        <v>580</v>
      </c>
      <c r="H607">
        <v>0</v>
      </c>
      <c r="I607">
        <v>0</v>
      </c>
    </row>
    <row r="608" spans="1:9" x14ac:dyDescent="0.2">
      <c r="A608" t="s">
        <v>319</v>
      </c>
      <c r="B608" t="s">
        <v>464</v>
      </c>
      <c r="C608" t="s">
        <v>482</v>
      </c>
      <c r="D608">
        <v>0</v>
      </c>
      <c r="E608" t="s">
        <v>482</v>
      </c>
      <c r="F608" t="s">
        <v>563</v>
      </c>
      <c r="G608" t="s">
        <v>580</v>
      </c>
      <c r="H608">
        <v>0</v>
      </c>
      <c r="I608">
        <v>0</v>
      </c>
    </row>
    <row r="609" spans="1:9" x14ac:dyDescent="0.2">
      <c r="A609" t="s">
        <v>319</v>
      </c>
      <c r="B609" t="s">
        <v>465</v>
      </c>
      <c r="C609" t="s">
        <v>481</v>
      </c>
      <c r="D609">
        <v>0</v>
      </c>
      <c r="E609" t="s">
        <v>481</v>
      </c>
      <c r="F609" t="s">
        <v>526</v>
      </c>
      <c r="G609" t="s">
        <v>580</v>
      </c>
      <c r="H609">
        <v>0</v>
      </c>
      <c r="I609">
        <v>0</v>
      </c>
    </row>
    <row r="610" spans="1:9" x14ac:dyDescent="0.2">
      <c r="A610" t="s">
        <v>321</v>
      </c>
      <c r="B610" t="s">
        <v>466</v>
      </c>
      <c r="C610" t="s">
        <v>488</v>
      </c>
      <c r="D610">
        <v>0</v>
      </c>
      <c r="E610" t="s">
        <v>488</v>
      </c>
      <c r="F610" t="s">
        <v>547</v>
      </c>
      <c r="G610" t="s">
        <v>574</v>
      </c>
      <c r="H610">
        <v>0</v>
      </c>
      <c r="I610">
        <v>0</v>
      </c>
    </row>
    <row r="611" spans="1:9" x14ac:dyDescent="0.2">
      <c r="A611" t="s">
        <v>322</v>
      </c>
      <c r="B611" t="s">
        <v>467</v>
      </c>
      <c r="C611" t="s">
        <v>482</v>
      </c>
      <c r="D611">
        <v>0</v>
      </c>
      <c r="E611" t="s">
        <v>482</v>
      </c>
      <c r="F611" t="s">
        <v>566</v>
      </c>
      <c r="G611" t="s">
        <v>574</v>
      </c>
      <c r="H611">
        <v>0</v>
      </c>
      <c r="I611">
        <v>0</v>
      </c>
    </row>
    <row r="612" spans="1:9" x14ac:dyDescent="0.2">
      <c r="A612" t="s">
        <v>283</v>
      </c>
      <c r="B612" t="s">
        <v>468</v>
      </c>
      <c r="C612" t="s">
        <v>478</v>
      </c>
      <c r="D612">
        <v>0</v>
      </c>
      <c r="E612" t="s">
        <v>478</v>
      </c>
      <c r="F612" t="s">
        <v>524</v>
      </c>
      <c r="G612" t="s">
        <v>581</v>
      </c>
      <c r="H612">
        <v>0</v>
      </c>
      <c r="I612">
        <v>0</v>
      </c>
    </row>
    <row r="613" spans="1:9" x14ac:dyDescent="0.2">
      <c r="A613" t="s">
        <v>275</v>
      </c>
      <c r="B613" t="s">
        <v>469</v>
      </c>
      <c r="C613" t="s">
        <v>478</v>
      </c>
      <c r="D613">
        <v>0</v>
      </c>
      <c r="E613" t="s">
        <v>478</v>
      </c>
      <c r="F613" t="s">
        <v>530</v>
      </c>
      <c r="G613" t="s">
        <v>581</v>
      </c>
      <c r="H613">
        <v>0</v>
      </c>
      <c r="I613">
        <v>0</v>
      </c>
    </row>
    <row r="614" spans="1:9" x14ac:dyDescent="0.2">
      <c r="A614" t="s">
        <v>275</v>
      </c>
      <c r="B614" t="s">
        <v>470</v>
      </c>
      <c r="C614" t="s">
        <v>478</v>
      </c>
      <c r="D614">
        <v>0</v>
      </c>
      <c r="E614" t="s">
        <v>478</v>
      </c>
      <c r="F614" t="s">
        <v>530</v>
      </c>
      <c r="G614" t="s">
        <v>581</v>
      </c>
      <c r="H614">
        <v>0</v>
      </c>
      <c r="I614">
        <v>0</v>
      </c>
    </row>
    <row r="615" spans="1:9" x14ac:dyDescent="0.2">
      <c r="A615" t="s">
        <v>275</v>
      </c>
      <c r="B615" t="s">
        <v>471</v>
      </c>
      <c r="C615" t="s">
        <v>478</v>
      </c>
      <c r="D615">
        <v>0</v>
      </c>
      <c r="E615" t="s">
        <v>478</v>
      </c>
      <c r="F615" t="s">
        <v>530</v>
      </c>
      <c r="G615" t="s">
        <v>581</v>
      </c>
      <c r="H615">
        <v>0</v>
      </c>
      <c r="I615">
        <v>0</v>
      </c>
    </row>
    <row r="616" spans="1:9" x14ac:dyDescent="0.2">
      <c r="A616" t="s">
        <v>275</v>
      </c>
      <c r="B616" t="s">
        <v>472</v>
      </c>
      <c r="C616" t="s">
        <v>478</v>
      </c>
      <c r="D616">
        <v>0</v>
      </c>
      <c r="E616" t="s">
        <v>478</v>
      </c>
      <c r="F616" t="s">
        <v>530</v>
      </c>
      <c r="G616" t="s">
        <v>581</v>
      </c>
      <c r="H616">
        <v>0</v>
      </c>
      <c r="I616">
        <v>0</v>
      </c>
    </row>
    <row r="617" spans="1:9" x14ac:dyDescent="0.2">
      <c r="A617" t="s">
        <v>286</v>
      </c>
      <c r="B617" t="s">
        <v>473</v>
      </c>
      <c r="C617" t="s">
        <v>486</v>
      </c>
      <c r="D617">
        <v>0</v>
      </c>
      <c r="E617" t="s">
        <v>486</v>
      </c>
      <c r="F617" t="s">
        <v>542</v>
      </c>
      <c r="G617" t="s">
        <v>580</v>
      </c>
      <c r="H617">
        <v>0</v>
      </c>
      <c r="I617">
        <v>0</v>
      </c>
    </row>
    <row r="618" spans="1:9" x14ac:dyDescent="0.2">
      <c r="A618" t="s">
        <v>286</v>
      </c>
      <c r="B618" t="s">
        <v>474</v>
      </c>
      <c r="C618" t="s">
        <v>486</v>
      </c>
      <c r="D618">
        <v>0</v>
      </c>
      <c r="E618" t="s">
        <v>486</v>
      </c>
      <c r="F618" t="s">
        <v>542</v>
      </c>
      <c r="G618" t="s">
        <v>580</v>
      </c>
      <c r="H618">
        <v>0</v>
      </c>
      <c r="I618">
        <v>0</v>
      </c>
    </row>
    <row r="619" spans="1:9" x14ac:dyDescent="0.2">
      <c r="A619" t="s">
        <v>289</v>
      </c>
      <c r="B619" t="s">
        <v>475</v>
      </c>
      <c r="C619" t="s">
        <v>478</v>
      </c>
      <c r="D619">
        <v>0</v>
      </c>
      <c r="E619" t="s">
        <v>478</v>
      </c>
      <c r="F619" t="s">
        <v>559</v>
      </c>
      <c r="G619" t="s">
        <v>574</v>
      </c>
      <c r="H619">
        <v>0</v>
      </c>
      <c r="I619">
        <v>0</v>
      </c>
    </row>
    <row r="620" spans="1:9" x14ac:dyDescent="0.2">
      <c r="A620" t="s">
        <v>302</v>
      </c>
      <c r="B620" t="s">
        <v>302</v>
      </c>
      <c r="C620" t="s">
        <v>478</v>
      </c>
      <c r="D620">
        <v>0</v>
      </c>
      <c r="E620" t="s">
        <v>478</v>
      </c>
      <c r="F620" t="s">
        <v>567</v>
      </c>
      <c r="G620" t="s">
        <v>579</v>
      </c>
      <c r="H620">
        <v>0</v>
      </c>
      <c r="I620">
        <v>0</v>
      </c>
    </row>
    <row r="621" spans="1:9" x14ac:dyDescent="0.2">
      <c r="A621" t="s">
        <v>323</v>
      </c>
      <c r="B621" t="s">
        <v>302</v>
      </c>
      <c r="C621" t="s">
        <v>478</v>
      </c>
      <c r="D621">
        <v>0</v>
      </c>
      <c r="E621" t="s">
        <v>478</v>
      </c>
      <c r="F621" t="s">
        <v>568</v>
      </c>
      <c r="G621" t="s">
        <v>569</v>
      </c>
      <c r="H621">
        <v>0</v>
      </c>
      <c r="I621">
        <v>0</v>
      </c>
    </row>
    <row r="622" spans="1:9" x14ac:dyDescent="0.2">
      <c r="A622" t="s">
        <v>263</v>
      </c>
      <c r="B622" t="s">
        <v>324</v>
      </c>
      <c r="C622" t="s">
        <v>476</v>
      </c>
      <c r="D622" t="s">
        <v>503</v>
      </c>
      <c r="E622" t="s">
        <v>478</v>
      </c>
      <c r="F622" t="s">
        <v>515</v>
      </c>
      <c r="G622" t="s">
        <v>319</v>
      </c>
      <c r="H622">
        <v>512.20168843859256</v>
      </c>
      <c r="I622">
        <v>550</v>
      </c>
    </row>
    <row r="623" spans="1:9" x14ac:dyDescent="0.2">
      <c r="A623" t="s">
        <v>264</v>
      </c>
      <c r="B623" t="s">
        <v>325</v>
      </c>
      <c r="C623" t="s">
        <v>477</v>
      </c>
      <c r="D623" t="s">
        <v>504</v>
      </c>
      <c r="E623" t="s">
        <v>477</v>
      </c>
      <c r="F623" t="s">
        <v>516</v>
      </c>
      <c r="G623" t="s">
        <v>569</v>
      </c>
      <c r="H623">
        <v>137.34523897192631</v>
      </c>
      <c r="I623">
        <v>150</v>
      </c>
    </row>
    <row r="624" spans="1:9" x14ac:dyDescent="0.2">
      <c r="A624" t="s">
        <v>265</v>
      </c>
      <c r="B624" t="s">
        <v>326</v>
      </c>
      <c r="C624" t="s">
        <v>478</v>
      </c>
      <c r="D624" t="s">
        <v>505</v>
      </c>
      <c r="E624" t="s">
        <v>478</v>
      </c>
      <c r="F624" t="s">
        <v>517</v>
      </c>
      <c r="G624" t="s">
        <v>570</v>
      </c>
      <c r="H624">
        <v>0</v>
      </c>
      <c r="I624">
        <v>0</v>
      </c>
    </row>
    <row r="625" spans="1:9" x14ac:dyDescent="0.2">
      <c r="A625" t="s">
        <v>266</v>
      </c>
      <c r="B625" t="s">
        <v>327</v>
      </c>
      <c r="C625" t="s">
        <v>479</v>
      </c>
      <c r="D625" t="s">
        <v>506</v>
      </c>
      <c r="E625" t="s">
        <v>479</v>
      </c>
      <c r="F625" t="s">
        <v>518</v>
      </c>
      <c r="G625" t="s">
        <v>571</v>
      </c>
      <c r="H625">
        <v>437.1338624340375</v>
      </c>
      <c r="I625">
        <v>450</v>
      </c>
    </row>
    <row r="626" spans="1:9" x14ac:dyDescent="0.2">
      <c r="A626" t="s">
        <v>267</v>
      </c>
      <c r="B626" t="s">
        <v>328</v>
      </c>
      <c r="C626" t="s">
        <v>480</v>
      </c>
      <c r="D626" t="s">
        <v>507</v>
      </c>
      <c r="E626" t="s">
        <v>480</v>
      </c>
      <c r="F626" t="s">
        <v>519</v>
      </c>
      <c r="G626" t="s">
        <v>572</v>
      </c>
      <c r="H626">
        <v>0</v>
      </c>
      <c r="I626">
        <v>0</v>
      </c>
    </row>
    <row r="627" spans="1:9" x14ac:dyDescent="0.2">
      <c r="A627" t="s">
        <v>268</v>
      </c>
      <c r="B627" t="s">
        <v>329</v>
      </c>
      <c r="C627" t="s">
        <v>478</v>
      </c>
      <c r="D627" t="s">
        <v>505</v>
      </c>
      <c r="E627" t="s">
        <v>478</v>
      </c>
      <c r="F627" t="s">
        <v>520</v>
      </c>
      <c r="G627" t="s">
        <v>571</v>
      </c>
      <c r="H627">
        <v>0</v>
      </c>
      <c r="I627">
        <v>0</v>
      </c>
    </row>
    <row r="628" spans="1:9" x14ac:dyDescent="0.2">
      <c r="A628" t="s">
        <v>268</v>
      </c>
      <c r="B628" t="s">
        <v>330</v>
      </c>
      <c r="C628" t="s">
        <v>478</v>
      </c>
      <c r="D628" t="s">
        <v>505</v>
      </c>
      <c r="E628" t="s">
        <v>478</v>
      </c>
      <c r="F628" t="s">
        <v>516</v>
      </c>
      <c r="G628" t="s">
        <v>571</v>
      </c>
      <c r="H628">
        <v>0</v>
      </c>
      <c r="I628">
        <v>0</v>
      </c>
    </row>
    <row r="629" spans="1:9" x14ac:dyDescent="0.2">
      <c r="A629" t="s">
        <v>268</v>
      </c>
      <c r="B629" t="s">
        <v>331</v>
      </c>
      <c r="C629" t="s">
        <v>478</v>
      </c>
      <c r="D629" t="s">
        <v>505</v>
      </c>
      <c r="E629" t="s">
        <v>478</v>
      </c>
      <c r="F629" t="s">
        <v>520</v>
      </c>
      <c r="G629" t="s">
        <v>571</v>
      </c>
      <c r="H629">
        <v>0</v>
      </c>
      <c r="I629">
        <v>0</v>
      </c>
    </row>
    <row r="630" spans="1:9" x14ac:dyDescent="0.2">
      <c r="A630" t="s">
        <v>269</v>
      </c>
      <c r="B630" t="s">
        <v>332</v>
      </c>
      <c r="C630" t="s">
        <v>481</v>
      </c>
      <c r="D630" t="s">
        <v>508</v>
      </c>
      <c r="E630" t="s">
        <v>481</v>
      </c>
      <c r="F630" t="s">
        <v>521</v>
      </c>
      <c r="G630" t="s">
        <v>573</v>
      </c>
      <c r="H630">
        <v>0</v>
      </c>
      <c r="I630">
        <v>0</v>
      </c>
    </row>
    <row r="631" spans="1:9" x14ac:dyDescent="0.2">
      <c r="A631" t="s">
        <v>270</v>
      </c>
      <c r="B631" t="s">
        <v>333</v>
      </c>
      <c r="C631" t="s">
        <v>481</v>
      </c>
      <c r="D631" t="s">
        <v>508</v>
      </c>
      <c r="E631" t="s">
        <v>481</v>
      </c>
      <c r="F631" t="s">
        <v>522</v>
      </c>
      <c r="G631" t="s">
        <v>573</v>
      </c>
      <c r="H631">
        <v>0</v>
      </c>
      <c r="I631">
        <v>0</v>
      </c>
    </row>
    <row r="632" spans="1:9" x14ac:dyDescent="0.2">
      <c r="A632" t="s">
        <v>270</v>
      </c>
      <c r="B632" t="s">
        <v>334</v>
      </c>
      <c r="C632" t="s">
        <v>481</v>
      </c>
      <c r="D632" t="s">
        <v>508</v>
      </c>
      <c r="E632" t="s">
        <v>481</v>
      </c>
      <c r="F632" t="s">
        <v>523</v>
      </c>
      <c r="G632" t="s">
        <v>573</v>
      </c>
      <c r="H632">
        <v>0</v>
      </c>
      <c r="I632">
        <v>0</v>
      </c>
    </row>
    <row r="633" spans="1:9" x14ac:dyDescent="0.2">
      <c r="A633" t="s">
        <v>271</v>
      </c>
      <c r="B633" t="s">
        <v>335</v>
      </c>
      <c r="C633" t="s">
        <v>478</v>
      </c>
      <c r="D633" t="s">
        <v>505</v>
      </c>
      <c r="E633" t="s">
        <v>478</v>
      </c>
      <c r="F633" t="s">
        <v>524</v>
      </c>
      <c r="G633" t="s">
        <v>574</v>
      </c>
      <c r="H633">
        <v>0</v>
      </c>
      <c r="I633">
        <v>0</v>
      </c>
    </row>
    <row r="634" spans="1:9" x14ac:dyDescent="0.2">
      <c r="A634" t="s">
        <v>269</v>
      </c>
      <c r="B634" t="s">
        <v>336</v>
      </c>
      <c r="C634" t="s">
        <v>481</v>
      </c>
      <c r="D634" t="s">
        <v>508</v>
      </c>
      <c r="E634" t="s">
        <v>481</v>
      </c>
      <c r="F634" t="s">
        <v>525</v>
      </c>
      <c r="G634" t="s">
        <v>573</v>
      </c>
      <c r="H634">
        <v>0</v>
      </c>
      <c r="I634">
        <v>0</v>
      </c>
    </row>
    <row r="635" spans="1:9" x14ac:dyDescent="0.2">
      <c r="A635" t="s">
        <v>272</v>
      </c>
      <c r="B635" t="s">
        <v>337</v>
      </c>
      <c r="C635" t="s">
        <v>481</v>
      </c>
      <c r="D635" t="s">
        <v>508</v>
      </c>
      <c r="E635" t="s">
        <v>481</v>
      </c>
      <c r="F635" t="s">
        <v>526</v>
      </c>
      <c r="G635" t="s">
        <v>572</v>
      </c>
      <c r="H635">
        <v>0</v>
      </c>
      <c r="I635">
        <v>0</v>
      </c>
    </row>
    <row r="636" spans="1:9" x14ac:dyDescent="0.2">
      <c r="A636" t="s">
        <v>272</v>
      </c>
      <c r="B636" t="s">
        <v>338</v>
      </c>
      <c r="C636" t="s">
        <v>481</v>
      </c>
      <c r="D636" t="s">
        <v>508</v>
      </c>
      <c r="E636" t="s">
        <v>481</v>
      </c>
      <c r="F636" t="s">
        <v>527</v>
      </c>
      <c r="G636" t="s">
        <v>572</v>
      </c>
      <c r="H636">
        <v>0</v>
      </c>
      <c r="I636">
        <v>0</v>
      </c>
    </row>
    <row r="637" spans="1:9" x14ac:dyDescent="0.2">
      <c r="A637" t="s">
        <v>273</v>
      </c>
      <c r="B637" t="s">
        <v>339</v>
      </c>
      <c r="C637" t="s">
        <v>481</v>
      </c>
      <c r="D637" t="s">
        <v>508</v>
      </c>
      <c r="E637" t="s">
        <v>481</v>
      </c>
      <c r="F637" t="s">
        <v>527</v>
      </c>
      <c r="G637" t="s">
        <v>572</v>
      </c>
      <c r="H637">
        <v>0</v>
      </c>
      <c r="I637">
        <v>0</v>
      </c>
    </row>
    <row r="638" spans="1:9" x14ac:dyDescent="0.2">
      <c r="A638" t="s">
        <v>273</v>
      </c>
      <c r="B638" t="s">
        <v>340</v>
      </c>
      <c r="C638" t="s">
        <v>482</v>
      </c>
      <c r="D638" t="s">
        <v>509</v>
      </c>
      <c r="E638" t="s">
        <v>482</v>
      </c>
      <c r="F638" t="s">
        <v>528</v>
      </c>
      <c r="G638" t="s">
        <v>572</v>
      </c>
      <c r="H638">
        <v>0</v>
      </c>
      <c r="I638">
        <v>0</v>
      </c>
    </row>
    <row r="639" spans="1:9" x14ac:dyDescent="0.2">
      <c r="A639" t="s">
        <v>273</v>
      </c>
      <c r="B639" t="s">
        <v>341</v>
      </c>
      <c r="C639" t="s">
        <v>481</v>
      </c>
      <c r="D639" t="s">
        <v>508</v>
      </c>
      <c r="E639" t="s">
        <v>481</v>
      </c>
      <c r="F639" t="s">
        <v>527</v>
      </c>
      <c r="G639" t="s">
        <v>572</v>
      </c>
      <c r="H639">
        <v>0</v>
      </c>
      <c r="I639">
        <v>0</v>
      </c>
    </row>
    <row r="640" spans="1:9" x14ac:dyDescent="0.2">
      <c r="A640" t="s">
        <v>273</v>
      </c>
      <c r="B640" t="s">
        <v>342</v>
      </c>
      <c r="C640" t="s">
        <v>481</v>
      </c>
      <c r="D640" t="s">
        <v>508</v>
      </c>
      <c r="E640" t="s">
        <v>481</v>
      </c>
      <c r="F640" t="s">
        <v>526</v>
      </c>
      <c r="G640" t="s">
        <v>572</v>
      </c>
      <c r="H640">
        <v>0</v>
      </c>
      <c r="I640">
        <v>0</v>
      </c>
    </row>
    <row r="641" spans="1:9" x14ac:dyDescent="0.2">
      <c r="A641" t="s">
        <v>274</v>
      </c>
      <c r="B641" t="s">
        <v>343</v>
      </c>
      <c r="C641" t="s">
        <v>483</v>
      </c>
      <c r="D641" t="s">
        <v>510</v>
      </c>
      <c r="E641" t="s">
        <v>483</v>
      </c>
      <c r="F641" t="s">
        <v>529</v>
      </c>
      <c r="G641" t="s">
        <v>575</v>
      </c>
      <c r="H641">
        <v>0</v>
      </c>
      <c r="I641">
        <v>0</v>
      </c>
    </row>
    <row r="642" spans="1:9" x14ac:dyDescent="0.2">
      <c r="A642" t="s">
        <v>275</v>
      </c>
      <c r="B642" t="s">
        <v>344</v>
      </c>
      <c r="C642" t="s">
        <v>478</v>
      </c>
      <c r="D642" t="s">
        <v>505</v>
      </c>
      <c r="E642" t="s">
        <v>477</v>
      </c>
      <c r="F642" t="s">
        <v>530</v>
      </c>
      <c r="G642" t="s">
        <v>575</v>
      </c>
      <c r="H642">
        <v>0</v>
      </c>
      <c r="I642">
        <v>0</v>
      </c>
    </row>
    <row r="643" spans="1:9" x14ac:dyDescent="0.2">
      <c r="A643" t="s">
        <v>275</v>
      </c>
      <c r="B643" t="s">
        <v>345</v>
      </c>
      <c r="C643" t="s">
        <v>478</v>
      </c>
      <c r="D643" t="s">
        <v>505</v>
      </c>
      <c r="E643" t="s">
        <v>477</v>
      </c>
      <c r="F643" t="s">
        <v>530</v>
      </c>
      <c r="G643" t="s">
        <v>575</v>
      </c>
      <c r="H643">
        <v>0</v>
      </c>
      <c r="I643">
        <v>0</v>
      </c>
    </row>
    <row r="644" spans="1:9" x14ac:dyDescent="0.2">
      <c r="A644" t="s">
        <v>275</v>
      </c>
      <c r="B644" t="s">
        <v>346</v>
      </c>
      <c r="C644" t="s">
        <v>478</v>
      </c>
      <c r="D644" t="s">
        <v>505</v>
      </c>
      <c r="E644" t="s">
        <v>477</v>
      </c>
      <c r="F644" t="s">
        <v>530</v>
      </c>
      <c r="G644" t="s">
        <v>575</v>
      </c>
      <c r="H644">
        <v>0</v>
      </c>
      <c r="I644">
        <v>0</v>
      </c>
    </row>
    <row r="645" spans="1:9" x14ac:dyDescent="0.2">
      <c r="A645" t="s">
        <v>275</v>
      </c>
      <c r="B645" t="s">
        <v>347</v>
      </c>
      <c r="C645" t="s">
        <v>478</v>
      </c>
      <c r="D645" t="s">
        <v>505</v>
      </c>
      <c r="E645" t="s">
        <v>477</v>
      </c>
      <c r="F645" t="s">
        <v>530</v>
      </c>
      <c r="G645" t="s">
        <v>575</v>
      </c>
      <c r="H645">
        <v>0</v>
      </c>
      <c r="I645">
        <v>0</v>
      </c>
    </row>
    <row r="646" spans="1:9" x14ac:dyDescent="0.2">
      <c r="A646" t="s">
        <v>275</v>
      </c>
      <c r="B646" t="s">
        <v>348</v>
      </c>
      <c r="C646" t="s">
        <v>478</v>
      </c>
      <c r="D646" t="s">
        <v>505</v>
      </c>
      <c r="E646" t="s">
        <v>477</v>
      </c>
      <c r="F646" t="s">
        <v>530</v>
      </c>
      <c r="G646" t="s">
        <v>575</v>
      </c>
      <c r="H646">
        <v>0</v>
      </c>
      <c r="I646">
        <v>0</v>
      </c>
    </row>
    <row r="647" spans="1:9" x14ac:dyDescent="0.2">
      <c r="A647" t="s">
        <v>275</v>
      </c>
      <c r="B647" t="s">
        <v>349</v>
      </c>
      <c r="C647" t="s">
        <v>478</v>
      </c>
      <c r="D647" t="s">
        <v>505</v>
      </c>
      <c r="E647" t="s">
        <v>477</v>
      </c>
      <c r="F647" t="s">
        <v>530</v>
      </c>
      <c r="G647" t="s">
        <v>575</v>
      </c>
      <c r="H647">
        <v>0</v>
      </c>
      <c r="I647">
        <v>0</v>
      </c>
    </row>
    <row r="648" spans="1:9" x14ac:dyDescent="0.2">
      <c r="A648" t="s">
        <v>275</v>
      </c>
      <c r="B648" t="s">
        <v>350</v>
      </c>
      <c r="C648" t="s">
        <v>478</v>
      </c>
      <c r="D648" t="s">
        <v>505</v>
      </c>
      <c r="E648" t="s">
        <v>477</v>
      </c>
      <c r="F648" t="s">
        <v>530</v>
      </c>
      <c r="G648" t="s">
        <v>575</v>
      </c>
      <c r="H648">
        <v>0</v>
      </c>
      <c r="I648">
        <v>0</v>
      </c>
    </row>
    <row r="649" spans="1:9" x14ac:dyDescent="0.2">
      <c r="A649" t="s">
        <v>275</v>
      </c>
      <c r="B649" t="s">
        <v>351</v>
      </c>
      <c r="C649" t="s">
        <v>478</v>
      </c>
      <c r="D649" t="s">
        <v>505</v>
      </c>
      <c r="E649" t="s">
        <v>477</v>
      </c>
      <c r="F649" t="s">
        <v>530</v>
      </c>
      <c r="G649" t="s">
        <v>575</v>
      </c>
      <c r="H649">
        <v>0</v>
      </c>
      <c r="I649">
        <v>0</v>
      </c>
    </row>
    <row r="650" spans="1:9" x14ac:dyDescent="0.2">
      <c r="A650" t="s">
        <v>275</v>
      </c>
      <c r="B650" t="s">
        <v>352</v>
      </c>
      <c r="C650" t="s">
        <v>478</v>
      </c>
      <c r="D650" t="s">
        <v>505</v>
      </c>
      <c r="E650" t="s">
        <v>477</v>
      </c>
      <c r="F650" t="s">
        <v>530</v>
      </c>
      <c r="G650" t="s">
        <v>575</v>
      </c>
      <c r="H650">
        <v>0</v>
      </c>
      <c r="I650">
        <v>0</v>
      </c>
    </row>
    <row r="651" spans="1:9" x14ac:dyDescent="0.2">
      <c r="A651" t="s">
        <v>264</v>
      </c>
      <c r="B651" t="s">
        <v>353</v>
      </c>
      <c r="C651" t="s">
        <v>478</v>
      </c>
      <c r="D651" t="s">
        <v>505</v>
      </c>
      <c r="E651" t="s">
        <v>477</v>
      </c>
      <c r="F651" t="s">
        <v>516</v>
      </c>
      <c r="G651" t="s">
        <v>575</v>
      </c>
      <c r="H651">
        <v>0</v>
      </c>
      <c r="I651">
        <v>0</v>
      </c>
    </row>
    <row r="652" spans="1:9" x14ac:dyDescent="0.2">
      <c r="A652" t="s">
        <v>276</v>
      </c>
      <c r="B652" t="s">
        <v>354</v>
      </c>
      <c r="C652" t="s">
        <v>484</v>
      </c>
      <c r="D652" t="s">
        <v>511</v>
      </c>
      <c r="E652" t="s">
        <v>484</v>
      </c>
      <c r="F652" t="s">
        <v>531</v>
      </c>
      <c r="G652" t="s">
        <v>575</v>
      </c>
      <c r="H652">
        <v>0</v>
      </c>
      <c r="I652">
        <v>0</v>
      </c>
    </row>
    <row r="653" spans="1:9" x14ac:dyDescent="0.2">
      <c r="A653" t="s">
        <v>275</v>
      </c>
      <c r="B653" t="s">
        <v>355</v>
      </c>
      <c r="C653" t="s">
        <v>478</v>
      </c>
      <c r="D653" t="s">
        <v>505</v>
      </c>
      <c r="E653" t="s">
        <v>477</v>
      </c>
      <c r="F653" t="s">
        <v>530</v>
      </c>
      <c r="G653" t="s">
        <v>575</v>
      </c>
      <c r="H653">
        <v>0</v>
      </c>
      <c r="I653">
        <v>0</v>
      </c>
    </row>
    <row r="654" spans="1:9" x14ac:dyDescent="0.2">
      <c r="A654" t="s">
        <v>275</v>
      </c>
      <c r="B654" t="s">
        <v>356</v>
      </c>
      <c r="C654" t="s">
        <v>478</v>
      </c>
      <c r="D654" t="s">
        <v>505</v>
      </c>
      <c r="E654" t="s">
        <v>477</v>
      </c>
      <c r="F654" t="s">
        <v>530</v>
      </c>
      <c r="G654" t="s">
        <v>575</v>
      </c>
      <c r="H654">
        <v>0</v>
      </c>
      <c r="I654">
        <v>0</v>
      </c>
    </row>
    <row r="655" spans="1:9" x14ac:dyDescent="0.2">
      <c r="A655" t="s">
        <v>275</v>
      </c>
      <c r="B655" t="s">
        <v>357</v>
      </c>
      <c r="C655" t="s">
        <v>478</v>
      </c>
      <c r="D655" t="s">
        <v>505</v>
      </c>
      <c r="E655" t="s">
        <v>477</v>
      </c>
      <c r="F655" t="s">
        <v>530</v>
      </c>
      <c r="G655" t="s">
        <v>575</v>
      </c>
      <c r="H655">
        <v>0</v>
      </c>
      <c r="I655">
        <v>0</v>
      </c>
    </row>
    <row r="656" spans="1:9" x14ac:dyDescent="0.2">
      <c r="A656" t="s">
        <v>275</v>
      </c>
      <c r="B656" t="s">
        <v>358</v>
      </c>
      <c r="C656" t="s">
        <v>478</v>
      </c>
      <c r="D656" t="s">
        <v>505</v>
      </c>
      <c r="E656" t="s">
        <v>477</v>
      </c>
      <c r="F656" t="s">
        <v>530</v>
      </c>
      <c r="G656" t="s">
        <v>575</v>
      </c>
      <c r="H656">
        <v>0</v>
      </c>
      <c r="I656">
        <v>0</v>
      </c>
    </row>
    <row r="657" spans="1:9" x14ac:dyDescent="0.2">
      <c r="A657" t="s">
        <v>275</v>
      </c>
      <c r="B657" t="s">
        <v>359</v>
      </c>
      <c r="C657" t="s">
        <v>478</v>
      </c>
      <c r="D657" t="s">
        <v>505</v>
      </c>
      <c r="E657" t="s">
        <v>477</v>
      </c>
      <c r="F657" t="s">
        <v>530</v>
      </c>
      <c r="G657" t="s">
        <v>575</v>
      </c>
      <c r="H657">
        <v>0</v>
      </c>
      <c r="I657">
        <v>0</v>
      </c>
    </row>
    <row r="658" spans="1:9" x14ac:dyDescent="0.2">
      <c r="A658" t="s">
        <v>275</v>
      </c>
      <c r="B658" t="s">
        <v>360</v>
      </c>
      <c r="C658" t="s">
        <v>478</v>
      </c>
      <c r="D658" t="s">
        <v>505</v>
      </c>
      <c r="E658" t="s">
        <v>477</v>
      </c>
      <c r="F658" t="s">
        <v>530</v>
      </c>
      <c r="G658" t="s">
        <v>575</v>
      </c>
      <c r="H658">
        <v>0</v>
      </c>
      <c r="I658">
        <v>0</v>
      </c>
    </row>
    <row r="659" spans="1:9" x14ac:dyDescent="0.2">
      <c r="A659" t="s">
        <v>264</v>
      </c>
      <c r="B659" t="s">
        <v>361</v>
      </c>
      <c r="C659" t="s">
        <v>478</v>
      </c>
      <c r="D659" t="s">
        <v>505</v>
      </c>
      <c r="E659" t="s">
        <v>477</v>
      </c>
      <c r="F659" t="s">
        <v>516</v>
      </c>
      <c r="G659" t="s">
        <v>575</v>
      </c>
      <c r="H659">
        <v>0</v>
      </c>
      <c r="I659">
        <v>0</v>
      </c>
    </row>
    <row r="660" spans="1:9" x14ac:dyDescent="0.2">
      <c r="A660" t="s">
        <v>265</v>
      </c>
      <c r="B660" t="s">
        <v>362</v>
      </c>
      <c r="C660" t="s">
        <v>478</v>
      </c>
      <c r="D660" t="s">
        <v>505</v>
      </c>
      <c r="E660" t="s">
        <v>491</v>
      </c>
      <c r="F660" t="s">
        <v>532</v>
      </c>
      <c r="G660" t="s">
        <v>570</v>
      </c>
      <c r="H660">
        <v>0</v>
      </c>
      <c r="I660">
        <v>0</v>
      </c>
    </row>
    <row r="661" spans="1:9" x14ac:dyDescent="0.2">
      <c r="A661" t="s">
        <v>277</v>
      </c>
      <c r="B661" t="s">
        <v>363</v>
      </c>
      <c r="C661" t="s">
        <v>485</v>
      </c>
      <c r="D661" t="s">
        <v>512</v>
      </c>
      <c r="E661" t="s">
        <v>485</v>
      </c>
      <c r="F661" t="s">
        <v>525</v>
      </c>
      <c r="G661" t="s">
        <v>571</v>
      </c>
      <c r="H661">
        <v>0</v>
      </c>
      <c r="I661">
        <v>0</v>
      </c>
    </row>
    <row r="662" spans="1:9" x14ac:dyDescent="0.2">
      <c r="A662" t="s">
        <v>267</v>
      </c>
      <c r="B662" t="s">
        <v>364</v>
      </c>
      <c r="C662" t="s">
        <v>480</v>
      </c>
      <c r="D662" t="s">
        <v>507</v>
      </c>
      <c r="E662" t="s">
        <v>480</v>
      </c>
      <c r="F662" t="s">
        <v>533</v>
      </c>
      <c r="G662" t="s">
        <v>572</v>
      </c>
      <c r="H662">
        <v>0</v>
      </c>
      <c r="I662">
        <v>0</v>
      </c>
    </row>
    <row r="663" spans="1:9" x14ac:dyDescent="0.2">
      <c r="A663" t="s">
        <v>278</v>
      </c>
      <c r="B663" t="s">
        <v>365</v>
      </c>
      <c r="C663" t="s">
        <v>486</v>
      </c>
      <c r="D663" t="s">
        <v>513</v>
      </c>
      <c r="E663" t="s">
        <v>486</v>
      </c>
      <c r="F663" t="s">
        <v>534</v>
      </c>
      <c r="G663" t="s">
        <v>573</v>
      </c>
      <c r="H663">
        <v>0</v>
      </c>
      <c r="I663">
        <v>0</v>
      </c>
    </row>
    <row r="664" spans="1:9" x14ac:dyDescent="0.2">
      <c r="A664" t="s">
        <v>278</v>
      </c>
      <c r="B664" t="s">
        <v>366</v>
      </c>
      <c r="C664" t="s">
        <v>486</v>
      </c>
      <c r="D664" t="s">
        <v>513</v>
      </c>
      <c r="E664" t="s">
        <v>486</v>
      </c>
      <c r="F664" t="s">
        <v>534</v>
      </c>
      <c r="G664" t="s">
        <v>573</v>
      </c>
      <c r="H664">
        <v>0</v>
      </c>
      <c r="I664">
        <v>0</v>
      </c>
    </row>
    <row r="665" spans="1:9" x14ac:dyDescent="0.2">
      <c r="A665" t="s">
        <v>279</v>
      </c>
      <c r="B665" t="s">
        <v>367</v>
      </c>
      <c r="C665" t="s">
        <v>487</v>
      </c>
      <c r="D665" t="s">
        <v>514</v>
      </c>
      <c r="E665" t="s">
        <v>487</v>
      </c>
      <c r="F665" t="s">
        <v>535</v>
      </c>
      <c r="G665" t="s">
        <v>573</v>
      </c>
      <c r="H665">
        <v>0</v>
      </c>
      <c r="I665">
        <v>0</v>
      </c>
    </row>
    <row r="666" spans="1:9" x14ac:dyDescent="0.2">
      <c r="A666" t="s">
        <v>279</v>
      </c>
      <c r="B666" t="s">
        <v>368</v>
      </c>
      <c r="C666" t="s">
        <v>487</v>
      </c>
      <c r="D666" t="s">
        <v>514</v>
      </c>
      <c r="E666" t="s">
        <v>487</v>
      </c>
      <c r="F666" t="s">
        <v>527</v>
      </c>
      <c r="G666" t="s">
        <v>573</v>
      </c>
      <c r="H666">
        <v>0</v>
      </c>
      <c r="I666">
        <v>0</v>
      </c>
    </row>
    <row r="667" spans="1:9" x14ac:dyDescent="0.2">
      <c r="A667" t="s">
        <v>280</v>
      </c>
      <c r="B667" t="s">
        <v>369</v>
      </c>
      <c r="C667" t="s">
        <v>482</v>
      </c>
      <c r="D667">
        <v>0</v>
      </c>
      <c r="E667" t="s">
        <v>482</v>
      </c>
      <c r="F667" t="s">
        <v>526</v>
      </c>
      <c r="G667" t="s">
        <v>572</v>
      </c>
      <c r="H667">
        <v>0</v>
      </c>
      <c r="I667">
        <v>0</v>
      </c>
    </row>
    <row r="668" spans="1:9" x14ac:dyDescent="0.2">
      <c r="A668" t="s">
        <v>280</v>
      </c>
      <c r="B668" t="s">
        <v>370</v>
      </c>
      <c r="C668" t="s">
        <v>482</v>
      </c>
      <c r="D668">
        <v>0</v>
      </c>
      <c r="E668" t="s">
        <v>482</v>
      </c>
      <c r="F668" t="s">
        <v>527</v>
      </c>
      <c r="G668" t="s">
        <v>572</v>
      </c>
      <c r="H668">
        <v>0</v>
      </c>
      <c r="I668">
        <v>0</v>
      </c>
    </row>
    <row r="669" spans="1:9" x14ac:dyDescent="0.2">
      <c r="A669" t="s">
        <v>272</v>
      </c>
      <c r="B669" t="s">
        <v>371</v>
      </c>
      <c r="C669" t="s">
        <v>482</v>
      </c>
      <c r="D669">
        <v>0</v>
      </c>
      <c r="E669" t="s">
        <v>482</v>
      </c>
      <c r="F669" t="s">
        <v>527</v>
      </c>
      <c r="G669" t="s">
        <v>572</v>
      </c>
      <c r="H669">
        <v>0</v>
      </c>
      <c r="I669">
        <v>0</v>
      </c>
    </row>
    <row r="670" spans="1:9" x14ac:dyDescent="0.2">
      <c r="A670" t="s">
        <v>272</v>
      </c>
      <c r="B670" t="s">
        <v>372</v>
      </c>
      <c r="C670" t="s">
        <v>488</v>
      </c>
      <c r="D670">
        <v>0</v>
      </c>
      <c r="E670" t="s">
        <v>488</v>
      </c>
      <c r="F670" t="s">
        <v>528</v>
      </c>
      <c r="G670" t="s">
        <v>572</v>
      </c>
      <c r="H670">
        <v>0</v>
      </c>
      <c r="I670">
        <v>0</v>
      </c>
    </row>
    <row r="671" spans="1:9" x14ac:dyDescent="0.2">
      <c r="A671" t="s">
        <v>281</v>
      </c>
      <c r="B671" t="s">
        <v>373</v>
      </c>
      <c r="C671" t="s">
        <v>482</v>
      </c>
      <c r="D671">
        <v>0</v>
      </c>
      <c r="E671" t="s">
        <v>482</v>
      </c>
      <c r="F671" t="s">
        <v>527</v>
      </c>
      <c r="G671" t="s">
        <v>572</v>
      </c>
      <c r="H671">
        <v>0</v>
      </c>
      <c r="I671">
        <v>0</v>
      </c>
    </row>
    <row r="672" spans="1:9" x14ac:dyDescent="0.2">
      <c r="A672" t="s">
        <v>273</v>
      </c>
      <c r="B672" t="s">
        <v>374</v>
      </c>
      <c r="C672" t="s">
        <v>481</v>
      </c>
      <c r="D672">
        <v>0</v>
      </c>
      <c r="E672" t="s">
        <v>481</v>
      </c>
      <c r="F672" t="s">
        <v>526</v>
      </c>
      <c r="G672" t="s">
        <v>572</v>
      </c>
      <c r="H672">
        <v>0</v>
      </c>
      <c r="I672">
        <v>0</v>
      </c>
    </row>
    <row r="673" spans="1:9" x14ac:dyDescent="0.2">
      <c r="A673" t="s">
        <v>282</v>
      </c>
      <c r="B673" t="s">
        <v>375</v>
      </c>
      <c r="C673" t="s">
        <v>489</v>
      </c>
      <c r="D673">
        <v>0</v>
      </c>
      <c r="E673" t="s">
        <v>489</v>
      </c>
      <c r="F673" t="s">
        <v>526</v>
      </c>
      <c r="G673" t="s">
        <v>572</v>
      </c>
      <c r="H673">
        <v>0</v>
      </c>
      <c r="I673">
        <v>0</v>
      </c>
    </row>
    <row r="674" spans="1:9" x14ac:dyDescent="0.2">
      <c r="A674" t="s">
        <v>283</v>
      </c>
      <c r="B674" t="s">
        <v>376</v>
      </c>
      <c r="C674" t="s">
        <v>490</v>
      </c>
      <c r="D674">
        <v>0</v>
      </c>
      <c r="E674" t="s">
        <v>478</v>
      </c>
      <c r="F674" t="s">
        <v>536</v>
      </c>
      <c r="G674" t="s">
        <v>575</v>
      </c>
      <c r="H674">
        <v>0</v>
      </c>
      <c r="I674">
        <v>0</v>
      </c>
    </row>
    <row r="675" spans="1:9" x14ac:dyDescent="0.2">
      <c r="A675" t="s">
        <v>275</v>
      </c>
      <c r="B675" t="s">
        <v>377</v>
      </c>
      <c r="C675" t="s">
        <v>478</v>
      </c>
      <c r="D675">
        <v>0</v>
      </c>
      <c r="E675" t="s">
        <v>477</v>
      </c>
      <c r="F675" t="s">
        <v>537</v>
      </c>
      <c r="G675" t="s">
        <v>575</v>
      </c>
      <c r="H675">
        <v>0</v>
      </c>
      <c r="I675">
        <v>0</v>
      </c>
    </row>
    <row r="676" spans="1:9" x14ac:dyDescent="0.2">
      <c r="A676" t="s">
        <v>275</v>
      </c>
      <c r="B676" t="s">
        <v>378</v>
      </c>
      <c r="C676" t="s">
        <v>478</v>
      </c>
      <c r="D676">
        <v>0</v>
      </c>
      <c r="E676" t="s">
        <v>477</v>
      </c>
      <c r="F676" t="s">
        <v>538</v>
      </c>
      <c r="G676" t="s">
        <v>575</v>
      </c>
      <c r="H676">
        <v>0</v>
      </c>
      <c r="I676">
        <v>0</v>
      </c>
    </row>
    <row r="677" spans="1:9" x14ac:dyDescent="0.2">
      <c r="A677" t="s">
        <v>275</v>
      </c>
      <c r="B677" t="s">
        <v>379</v>
      </c>
      <c r="C677" t="s">
        <v>478</v>
      </c>
      <c r="D677">
        <v>0</v>
      </c>
      <c r="E677" t="s">
        <v>477</v>
      </c>
      <c r="F677" t="s">
        <v>538</v>
      </c>
      <c r="G677" t="s">
        <v>575</v>
      </c>
      <c r="H677">
        <v>0</v>
      </c>
      <c r="I677">
        <v>0</v>
      </c>
    </row>
    <row r="678" spans="1:9" x14ac:dyDescent="0.2">
      <c r="A678" t="s">
        <v>275</v>
      </c>
      <c r="B678" t="s">
        <v>380</v>
      </c>
      <c r="C678" t="s">
        <v>478</v>
      </c>
      <c r="D678">
        <v>0</v>
      </c>
      <c r="E678" t="s">
        <v>477</v>
      </c>
      <c r="F678" t="s">
        <v>530</v>
      </c>
      <c r="G678" t="s">
        <v>575</v>
      </c>
      <c r="H678">
        <v>0</v>
      </c>
      <c r="I678">
        <v>0</v>
      </c>
    </row>
    <row r="679" spans="1:9" x14ac:dyDescent="0.2">
      <c r="A679" t="s">
        <v>275</v>
      </c>
      <c r="B679" t="s">
        <v>381</v>
      </c>
      <c r="C679" t="s">
        <v>478</v>
      </c>
      <c r="D679">
        <v>0</v>
      </c>
      <c r="E679" t="s">
        <v>477</v>
      </c>
      <c r="F679" t="s">
        <v>530</v>
      </c>
      <c r="G679" t="s">
        <v>575</v>
      </c>
      <c r="H679">
        <v>0</v>
      </c>
      <c r="I679">
        <v>0</v>
      </c>
    </row>
    <row r="680" spans="1:9" x14ac:dyDescent="0.2">
      <c r="A680" t="s">
        <v>275</v>
      </c>
      <c r="B680" t="s">
        <v>382</v>
      </c>
      <c r="C680" t="s">
        <v>478</v>
      </c>
      <c r="D680">
        <v>0</v>
      </c>
      <c r="E680" t="s">
        <v>477</v>
      </c>
      <c r="F680" t="s">
        <v>530</v>
      </c>
      <c r="G680" t="s">
        <v>575</v>
      </c>
      <c r="H680">
        <v>0</v>
      </c>
      <c r="I680">
        <v>0</v>
      </c>
    </row>
    <row r="681" spans="1:9" x14ac:dyDescent="0.2">
      <c r="A681" t="s">
        <v>275</v>
      </c>
      <c r="B681" t="s">
        <v>383</v>
      </c>
      <c r="C681" t="s">
        <v>478</v>
      </c>
      <c r="D681">
        <v>0</v>
      </c>
      <c r="E681" t="s">
        <v>477</v>
      </c>
      <c r="F681" t="s">
        <v>530</v>
      </c>
      <c r="G681" t="s">
        <v>575</v>
      </c>
      <c r="H681">
        <v>0</v>
      </c>
      <c r="I681">
        <v>0</v>
      </c>
    </row>
    <row r="682" spans="1:9" x14ac:dyDescent="0.2">
      <c r="A682" t="s">
        <v>264</v>
      </c>
      <c r="B682" t="s">
        <v>384</v>
      </c>
      <c r="C682" t="s">
        <v>478</v>
      </c>
      <c r="D682">
        <v>0</v>
      </c>
      <c r="E682" t="s">
        <v>477</v>
      </c>
      <c r="F682" t="s">
        <v>516</v>
      </c>
      <c r="G682" t="s">
        <v>575</v>
      </c>
      <c r="H682">
        <v>0</v>
      </c>
      <c r="I682">
        <v>0</v>
      </c>
    </row>
    <row r="683" spans="1:9" x14ac:dyDescent="0.2">
      <c r="A683" t="s">
        <v>284</v>
      </c>
      <c r="B683" t="s">
        <v>385</v>
      </c>
      <c r="C683" t="s">
        <v>477</v>
      </c>
      <c r="D683">
        <v>0</v>
      </c>
      <c r="E683" t="s">
        <v>477</v>
      </c>
      <c r="F683" t="s">
        <v>539</v>
      </c>
      <c r="G683" t="s">
        <v>570</v>
      </c>
      <c r="H683">
        <v>0</v>
      </c>
      <c r="I683">
        <v>0</v>
      </c>
    </row>
    <row r="684" spans="1:9" x14ac:dyDescent="0.2">
      <c r="A684" t="s">
        <v>285</v>
      </c>
      <c r="B684" t="s">
        <v>386</v>
      </c>
      <c r="C684" t="s">
        <v>477</v>
      </c>
      <c r="D684">
        <v>0</v>
      </c>
      <c r="E684" t="s">
        <v>477</v>
      </c>
      <c r="F684" t="s">
        <v>531</v>
      </c>
      <c r="G684" t="s">
        <v>570</v>
      </c>
      <c r="H684">
        <v>0</v>
      </c>
      <c r="I684">
        <v>0</v>
      </c>
    </row>
    <row r="685" spans="1:9" x14ac:dyDescent="0.2">
      <c r="A685" t="s">
        <v>286</v>
      </c>
      <c r="B685" t="s">
        <v>387</v>
      </c>
      <c r="C685" t="s">
        <v>486</v>
      </c>
      <c r="D685">
        <v>0</v>
      </c>
      <c r="E685" t="s">
        <v>486</v>
      </c>
      <c r="F685" t="s">
        <v>540</v>
      </c>
      <c r="G685" t="s">
        <v>572</v>
      </c>
      <c r="H685">
        <v>0</v>
      </c>
      <c r="I685">
        <v>0</v>
      </c>
    </row>
    <row r="686" spans="1:9" x14ac:dyDescent="0.2">
      <c r="A686" t="s">
        <v>286</v>
      </c>
      <c r="B686" t="s">
        <v>388</v>
      </c>
      <c r="C686" t="s">
        <v>491</v>
      </c>
      <c r="D686">
        <v>0</v>
      </c>
      <c r="E686" t="s">
        <v>491</v>
      </c>
      <c r="F686" t="s">
        <v>524</v>
      </c>
      <c r="G686" t="s">
        <v>573</v>
      </c>
      <c r="H686">
        <v>0</v>
      </c>
      <c r="I686">
        <v>0</v>
      </c>
    </row>
    <row r="687" spans="1:9" x14ac:dyDescent="0.2">
      <c r="A687" t="s">
        <v>286</v>
      </c>
      <c r="B687" t="s">
        <v>389</v>
      </c>
      <c r="C687" t="s">
        <v>491</v>
      </c>
      <c r="D687">
        <v>0</v>
      </c>
      <c r="E687" t="s">
        <v>491</v>
      </c>
      <c r="F687" t="s">
        <v>524</v>
      </c>
      <c r="G687" t="s">
        <v>573</v>
      </c>
      <c r="H687">
        <v>0</v>
      </c>
      <c r="I687">
        <v>0</v>
      </c>
    </row>
    <row r="688" spans="1:9" x14ac:dyDescent="0.2">
      <c r="A688" t="s">
        <v>286</v>
      </c>
      <c r="B688" t="s">
        <v>390</v>
      </c>
      <c r="C688" t="s">
        <v>491</v>
      </c>
      <c r="D688">
        <v>0</v>
      </c>
      <c r="E688" t="s">
        <v>491</v>
      </c>
      <c r="F688" t="s">
        <v>524</v>
      </c>
      <c r="G688" t="s">
        <v>573</v>
      </c>
      <c r="H688">
        <v>0</v>
      </c>
      <c r="I688">
        <v>0</v>
      </c>
    </row>
    <row r="689" spans="1:9" x14ac:dyDescent="0.2">
      <c r="A689" t="s">
        <v>286</v>
      </c>
      <c r="B689" t="s">
        <v>391</v>
      </c>
      <c r="C689" t="s">
        <v>491</v>
      </c>
      <c r="D689">
        <v>0</v>
      </c>
      <c r="E689" t="s">
        <v>491</v>
      </c>
      <c r="F689" t="s">
        <v>524</v>
      </c>
      <c r="G689" t="s">
        <v>573</v>
      </c>
      <c r="H689">
        <v>0</v>
      </c>
      <c r="I689">
        <v>0</v>
      </c>
    </row>
    <row r="690" spans="1:9" x14ac:dyDescent="0.2">
      <c r="A690" t="s">
        <v>286</v>
      </c>
      <c r="B690" t="s">
        <v>392</v>
      </c>
      <c r="C690" t="s">
        <v>491</v>
      </c>
      <c r="D690">
        <v>0</v>
      </c>
      <c r="E690" t="s">
        <v>491</v>
      </c>
      <c r="F690" t="s">
        <v>524</v>
      </c>
      <c r="G690" t="s">
        <v>573</v>
      </c>
      <c r="H690">
        <v>0</v>
      </c>
      <c r="I690">
        <v>0</v>
      </c>
    </row>
    <row r="691" spans="1:9" x14ac:dyDescent="0.2">
      <c r="A691" t="s">
        <v>286</v>
      </c>
      <c r="B691" t="s">
        <v>393</v>
      </c>
      <c r="C691" t="s">
        <v>491</v>
      </c>
      <c r="D691">
        <v>0</v>
      </c>
      <c r="E691" t="s">
        <v>491</v>
      </c>
      <c r="F691" t="s">
        <v>524</v>
      </c>
      <c r="G691" t="s">
        <v>573</v>
      </c>
      <c r="H691">
        <v>0</v>
      </c>
      <c r="I691">
        <v>0</v>
      </c>
    </row>
    <row r="692" spans="1:9" x14ac:dyDescent="0.2">
      <c r="A692" t="s">
        <v>286</v>
      </c>
      <c r="B692" t="s">
        <v>394</v>
      </c>
      <c r="C692" t="s">
        <v>491</v>
      </c>
      <c r="D692">
        <v>0</v>
      </c>
      <c r="E692" t="s">
        <v>491</v>
      </c>
      <c r="F692" t="s">
        <v>524</v>
      </c>
      <c r="G692" t="s">
        <v>573</v>
      </c>
      <c r="H692">
        <v>0</v>
      </c>
      <c r="I692">
        <v>0</v>
      </c>
    </row>
    <row r="693" spans="1:9" x14ac:dyDescent="0.2">
      <c r="A693" t="s">
        <v>286</v>
      </c>
      <c r="B693" t="s">
        <v>394</v>
      </c>
      <c r="C693" t="s">
        <v>491</v>
      </c>
      <c r="D693">
        <v>0</v>
      </c>
      <c r="E693" t="s">
        <v>491</v>
      </c>
      <c r="F693" t="s">
        <v>524</v>
      </c>
      <c r="G693" t="s">
        <v>573</v>
      </c>
      <c r="H693">
        <v>0</v>
      </c>
      <c r="I693">
        <v>0</v>
      </c>
    </row>
    <row r="694" spans="1:9" x14ac:dyDescent="0.2">
      <c r="A694" t="s">
        <v>286</v>
      </c>
      <c r="B694" t="s">
        <v>395</v>
      </c>
      <c r="C694" t="s">
        <v>491</v>
      </c>
      <c r="D694">
        <v>0</v>
      </c>
      <c r="E694" t="s">
        <v>491</v>
      </c>
      <c r="F694" t="s">
        <v>524</v>
      </c>
      <c r="G694" t="s">
        <v>573</v>
      </c>
      <c r="H694">
        <v>0</v>
      </c>
      <c r="I694">
        <v>0</v>
      </c>
    </row>
    <row r="695" spans="1:9" x14ac:dyDescent="0.2">
      <c r="A695" t="s">
        <v>286</v>
      </c>
      <c r="B695" t="s">
        <v>396</v>
      </c>
      <c r="C695" t="s">
        <v>486</v>
      </c>
      <c r="D695">
        <v>0</v>
      </c>
      <c r="E695" t="s">
        <v>486</v>
      </c>
      <c r="F695" t="s">
        <v>541</v>
      </c>
      <c r="G695" t="s">
        <v>573</v>
      </c>
      <c r="H695">
        <v>0</v>
      </c>
      <c r="I695">
        <v>0</v>
      </c>
    </row>
    <row r="696" spans="1:9" x14ac:dyDescent="0.2">
      <c r="A696" t="s">
        <v>286</v>
      </c>
      <c r="B696" t="s">
        <v>397</v>
      </c>
      <c r="C696" t="s">
        <v>486</v>
      </c>
      <c r="D696">
        <v>0</v>
      </c>
      <c r="E696" t="s">
        <v>486</v>
      </c>
      <c r="F696" t="s">
        <v>541</v>
      </c>
      <c r="G696" t="s">
        <v>573</v>
      </c>
      <c r="H696">
        <v>0</v>
      </c>
      <c r="I696">
        <v>0</v>
      </c>
    </row>
    <row r="697" spans="1:9" x14ac:dyDescent="0.2">
      <c r="A697" t="s">
        <v>286</v>
      </c>
      <c r="B697" t="s">
        <v>398</v>
      </c>
      <c r="C697" t="s">
        <v>486</v>
      </c>
      <c r="D697">
        <v>0</v>
      </c>
      <c r="E697" t="s">
        <v>486</v>
      </c>
      <c r="F697" t="s">
        <v>541</v>
      </c>
      <c r="G697" t="s">
        <v>573</v>
      </c>
      <c r="H697">
        <v>0</v>
      </c>
      <c r="I697">
        <v>0</v>
      </c>
    </row>
    <row r="698" spans="1:9" x14ac:dyDescent="0.2">
      <c r="A698" t="s">
        <v>287</v>
      </c>
      <c r="B698" t="s">
        <v>399</v>
      </c>
      <c r="C698" t="s">
        <v>477</v>
      </c>
      <c r="D698">
        <v>0</v>
      </c>
      <c r="E698" t="s">
        <v>477</v>
      </c>
      <c r="F698" t="s">
        <v>542</v>
      </c>
      <c r="G698" t="s">
        <v>573</v>
      </c>
      <c r="H698">
        <v>0</v>
      </c>
      <c r="I698">
        <v>0</v>
      </c>
    </row>
    <row r="699" spans="1:9" x14ac:dyDescent="0.2">
      <c r="A699" t="s">
        <v>288</v>
      </c>
      <c r="B699" t="s">
        <v>400</v>
      </c>
      <c r="C699" t="s">
        <v>477</v>
      </c>
      <c r="D699">
        <v>0</v>
      </c>
      <c r="E699" t="s">
        <v>477</v>
      </c>
      <c r="F699" t="s">
        <v>543</v>
      </c>
      <c r="G699" t="s">
        <v>573</v>
      </c>
      <c r="H699">
        <v>0</v>
      </c>
      <c r="I699">
        <v>0</v>
      </c>
    </row>
    <row r="700" spans="1:9" x14ac:dyDescent="0.2">
      <c r="A700" t="s">
        <v>285</v>
      </c>
      <c r="B700" t="s">
        <v>401</v>
      </c>
      <c r="C700" t="s">
        <v>477</v>
      </c>
      <c r="D700">
        <v>0</v>
      </c>
      <c r="E700" t="s">
        <v>477</v>
      </c>
      <c r="F700" t="s">
        <v>529</v>
      </c>
      <c r="G700" t="s">
        <v>570</v>
      </c>
      <c r="H700">
        <v>0</v>
      </c>
      <c r="I700">
        <v>0</v>
      </c>
    </row>
    <row r="701" spans="1:9" x14ac:dyDescent="0.2">
      <c r="A701" t="s">
        <v>289</v>
      </c>
      <c r="B701" t="s">
        <v>402</v>
      </c>
      <c r="C701" t="s">
        <v>492</v>
      </c>
      <c r="D701">
        <v>0</v>
      </c>
      <c r="E701" t="s">
        <v>492</v>
      </c>
      <c r="F701" t="s">
        <v>529</v>
      </c>
      <c r="G701" t="s">
        <v>572</v>
      </c>
      <c r="H701">
        <v>0</v>
      </c>
      <c r="I701">
        <v>0</v>
      </c>
    </row>
    <row r="702" spans="1:9" x14ac:dyDescent="0.2">
      <c r="A702" t="s">
        <v>289</v>
      </c>
      <c r="B702" t="s">
        <v>403</v>
      </c>
      <c r="C702" t="s">
        <v>492</v>
      </c>
      <c r="D702">
        <v>0</v>
      </c>
      <c r="E702" t="s">
        <v>492</v>
      </c>
      <c r="F702" t="s">
        <v>543</v>
      </c>
      <c r="G702" t="s">
        <v>572</v>
      </c>
      <c r="H702">
        <v>0</v>
      </c>
      <c r="I702">
        <v>0</v>
      </c>
    </row>
    <row r="703" spans="1:9" x14ac:dyDescent="0.2">
      <c r="A703" t="s">
        <v>289</v>
      </c>
      <c r="B703" t="s">
        <v>404</v>
      </c>
      <c r="C703" t="s">
        <v>492</v>
      </c>
      <c r="D703">
        <v>0</v>
      </c>
      <c r="E703" t="s">
        <v>492</v>
      </c>
      <c r="F703" t="s">
        <v>529</v>
      </c>
      <c r="G703" t="s">
        <v>572</v>
      </c>
      <c r="H703">
        <v>0</v>
      </c>
      <c r="I703">
        <v>0</v>
      </c>
    </row>
    <row r="704" spans="1:9" x14ac:dyDescent="0.2">
      <c r="A704" t="s">
        <v>286</v>
      </c>
      <c r="B704" t="s">
        <v>405</v>
      </c>
      <c r="C704" t="s">
        <v>486</v>
      </c>
      <c r="D704">
        <v>0</v>
      </c>
      <c r="E704" t="s">
        <v>486</v>
      </c>
      <c r="F704" t="s">
        <v>540</v>
      </c>
      <c r="G704" t="s">
        <v>572</v>
      </c>
      <c r="H704">
        <v>0</v>
      </c>
      <c r="I704">
        <v>0</v>
      </c>
    </row>
    <row r="705" spans="1:9" x14ac:dyDescent="0.2">
      <c r="A705" t="s">
        <v>286</v>
      </c>
      <c r="B705" t="s">
        <v>406</v>
      </c>
      <c r="C705" t="s">
        <v>486</v>
      </c>
      <c r="D705">
        <v>0</v>
      </c>
      <c r="E705" t="s">
        <v>486</v>
      </c>
      <c r="F705" t="s">
        <v>536</v>
      </c>
      <c r="G705" t="s">
        <v>572</v>
      </c>
      <c r="H705">
        <v>0</v>
      </c>
      <c r="I705">
        <v>0</v>
      </c>
    </row>
    <row r="706" spans="1:9" x14ac:dyDescent="0.2">
      <c r="A706" t="s">
        <v>290</v>
      </c>
      <c r="B706" t="s">
        <v>407</v>
      </c>
      <c r="C706" t="s">
        <v>478</v>
      </c>
      <c r="D706">
        <v>0</v>
      </c>
      <c r="E706" t="s">
        <v>478</v>
      </c>
      <c r="F706" t="s">
        <v>544</v>
      </c>
      <c r="G706" t="s">
        <v>569</v>
      </c>
      <c r="H706">
        <v>0</v>
      </c>
      <c r="I706">
        <v>0</v>
      </c>
    </row>
    <row r="707" spans="1:9" x14ac:dyDescent="0.2">
      <c r="A707" t="s">
        <v>291</v>
      </c>
      <c r="B707" t="s">
        <v>408</v>
      </c>
      <c r="C707" t="s">
        <v>478</v>
      </c>
      <c r="D707">
        <v>0</v>
      </c>
      <c r="E707" t="s">
        <v>478</v>
      </c>
      <c r="F707" t="s">
        <v>545</v>
      </c>
      <c r="G707" t="s">
        <v>576</v>
      </c>
      <c r="H707">
        <v>0</v>
      </c>
      <c r="I707">
        <v>0</v>
      </c>
    </row>
    <row r="708" spans="1:9" x14ac:dyDescent="0.2">
      <c r="A708" t="s">
        <v>292</v>
      </c>
      <c r="B708" t="s">
        <v>409</v>
      </c>
      <c r="C708" t="s">
        <v>478</v>
      </c>
      <c r="D708">
        <v>0</v>
      </c>
      <c r="E708" t="s">
        <v>478</v>
      </c>
      <c r="F708" t="s">
        <v>546</v>
      </c>
      <c r="G708" t="s">
        <v>576</v>
      </c>
      <c r="H708">
        <v>0</v>
      </c>
      <c r="I708">
        <v>0</v>
      </c>
    </row>
    <row r="709" spans="1:9" x14ac:dyDescent="0.2">
      <c r="A709" t="s">
        <v>292</v>
      </c>
      <c r="B709" t="s">
        <v>410</v>
      </c>
      <c r="C709" t="s">
        <v>478</v>
      </c>
      <c r="D709">
        <v>0</v>
      </c>
      <c r="E709" t="s">
        <v>478</v>
      </c>
      <c r="F709" t="s">
        <v>547</v>
      </c>
      <c r="G709" t="s">
        <v>576</v>
      </c>
      <c r="H709">
        <v>0</v>
      </c>
      <c r="I709">
        <v>0</v>
      </c>
    </row>
    <row r="710" spans="1:9" x14ac:dyDescent="0.2">
      <c r="A710" t="s">
        <v>268</v>
      </c>
      <c r="B710" t="s">
        <v>411</v>
      </c>
      <c r="C710" t="s">
        <v>478</v>
      </c>
      <c r="D710">
        <v>0</v>
      </c>
      <c r="E710" t="s">
        <v>478</v>
      </c>
      <c r="F710" t="s">
        <v>520</v>
      </c>
      <c r="G710" t="s">
        <v>576</v>
      </c>
      <c r="H710">
        <v>0</v>
      </c>
      <c r="I710">
        <v>0</v>
      </c>
    </row>
    <row r="711" spans="1:9" x14ac:dyDescent="0.2">
      <c r="A711" t="s">
        <v>293</v>
      </c>
      <c r="B711" t="s">
        <v>412</v>
      </c>
      <c r="C711" t="s">
        <v>478</v>
      </c>
      <c r="D711">
        <v>0</v>
      </c>
      <c r="E711" t="s">
        <v>478</v>
      </c>
      <c r="F711" t="s">
        <v>536</v>
      </c>
      <c r="G711" t="s">
        <v>571</v>
      </c>
      <c r="H711">
        <v>0</v>
      </c>
      <c r="I711">
        <v>0</v>
      </c>
    </row>
    <row r="712" spans="1:9" x14ac:dyDescent="0.2">
      <c r="A712" t="s">
        <v>294</v>
      </c>
      <c r="B712" t="s">
        <v>413</v>
      </c>
      <c r="C712" t="s">
        <v>493</v>
      </c>
      <c r="D712">
        <v>0</v>
      </c>
      <c r="E712" t="s">
        <v>493</v>
      </c>
      <c r="F712" t="s">
        <v>548</v>
      </c>
      <c r="G712" t="s">
        <v>577</v>
      </c>
      <c r="H712">
        <v>0</v>
      </c>
      <c r="I712">
        <v>0</v>
      </c>
    </row>
    <row r="713" spans="1:9" x14ac:dyDescent="0.2">
      <c r="A713" t="s">
        <v>295</v>
      </c>
      <c r="B713" t="s">
        <v>414</v>
      </c>
      <c r="C713" t="s">
        <v>494</v>
      </c>
      <c r="D713">
        <v>0</v>
      </c>
      <c r="E713" t="s">
        <v>494</v>
      </c>
      <c r="F713" t="s">
        <v>549</v>
      </c>
      <c r="G713" t="s">
        <v>577</v>
      </c>
      <c r="H713">
        <v>0</v>
      </c>
      <c r="I713">
        <v>0</v>
      </c>
    </row>
    <row r="714" spans="1:9" x14ac:dyDescent="0.2">
      <c r="A714" t="s">
        <v>296</v>
      </c>
      <c r="B714" t="s">
        <v>415</v>
      </c>
      <c r="C714" t="s">
        <v>494</v>
      </c>
      <c r="D714">
        <v>0</v>
      </c>
      <c r="E714" t="s">
        <v>494</v>
      </c>
      <c r="F714" t="s">
        <v>550</v>
      </c>
      <c r="G714" t="s">
        <v>577</v>
      </c>
      <c r="H714">
        <v>0</v>
      </c>
      <c r="I714">
        <v>0</v>
      </c>
    </row>
    <row r="715" spans="1:9" x14ac:dyDescent="0.2">
      <c r="A715" t="s">
        <v>297</v>
      </c>
      <c r="B715" t="s">
        <v>416</v>
      </c>
      <c r="C715" t="s">
        <v>488</v>
      </c>
      <c r="D715">
        <v>0</v>
      </c>
      <c r="E715" t="s">
        <v>488</v>
      </c>
      <c r="F715" t="s">
        <v>551</v>
      </c>
      <c r="G715" t="s">
        <v>577</v>
      </c>
      <c r="H715">
        <v>0</v>
      </c>
      <c r="I715">
        <v>0</v>
      </c>
    </row>
    <row r="716" spans="1:9" x14ac:dyDescent="0.2">
      <c r="A716" t="s">
        <v>298</v>
      </c>
      <c r="B716" t="s">
        <v>417</v>
      </c>
      <c r="C716" t="s">
        <v>495</v>
      </c>
      <c r="D716">
        <v>0</v>
      </c>
      <c r="E716" t="s">
        <v>495</v>
      </c>
      <c r="F716" t="s">
        <v>552</v>
      </c>
      <c r="G716" t="s">
        <v>577</v>
      </c>
      <c r="H716">
        <v>0</v>
      </c>
      <c r="I716">
        <v>0</v>
      </c>
    </row>
    <row r="717" spans="1:9" x14ac:dyDescent="0.2">
      <c r="A717" t="s">
        <v>299</v>
      </c>
      <c r="B717" t="s">
        <v>418</v>
      </c>
      <c r="C717" t="s">
        <v>496</v>
      </c>
      <c r="D717">
        <v>0</v>
      </c>
      <c r="E717" t="s">
        <v>496</v>
      </c>
      <c r="F717" t="s">
        <v>516</v>
      </c>
      <c r="G717" t="s">
        <v>577</v>
      </c>
      <c r="H717">
        <v>0</v>
      </c>
      <c r="I717">
        <v>0</v>
      </c>
    </row>
    <row r="718" spans="1:9" x14ac:dyDescent="0.2">
      <c r="A718" t="s">
        <v>300</v>
      </c>
      <c r="B718" t="s">
        <v>419</v>
      </c>
      <c r="C718" t="s">
        <v>497</v>
      </c>
      <c r="D718">
        <v>0</v>
      </c>
      <c r="E718" t="s">
        <v>497</v>
      </c>
      <c r="F718" t="s">
        <v>553</v>
      </c>
      <c r="G718" t="s">
        <v>577</v>
      </c>
      <c r="H718">
        <v>0</v>
      </c>
      <c r="I718">
        <v>0</v>
      </c>
    </row>
    <row r="719" spans="1:9" x14ac:dyDescent="0.2">
      <c r="A719" t="s">
        <v>301</v>
      </c>
      <c r="B719" t="s">
        <v>420</v>
      </c>
      <c r="C719" t="s">
        <v>478</v>
      </c>
      <c r="D719">
        <v>0</v>
      </c>
      <c r="E719" t="s">
        <v>478</v>
      </c>
      <c r="F719" t="s">
        <v>516</v>
      </c>
      <c r="G719" t="s">
        <v>576</v>
      </c>
      <c r="H719">
        <v>0</v>
      </c>
      <c r="I719">
        <v>0</v>
      </c>
    </row>
    <row r="720" spans="1:9" x14ac:dyDescent="0.2">
      <c r="A720" t="s">
        <v>283</v>
      </c>
      <c r="B720" t="s">
        <v>421</v>
      </c>
      <c r="C720" t="s">
        <v>477</v>
      </c>
      <c r="D720">
        <v>0</v>
      </c>
      <c r="E720" t="s">
        <v>477</v>
      </c>
      <c r="F720" t="s">
        <v>540</v>
      </c>
      <c r="G720" t="s">
        <v>578</v>
      </c>
      <c r="H720">
        <v>0</v>
      </c>
      <c r="I720">
        <v>0</v>
      </c>
    </row>
    <row r="721" spans="1:9" x14ac:dyDescent="0.2">
      <c r="A721" t="s">
        <v>264</v>
      </c>
      <c r="B721" t="s">
        <v>422</v>
      </c>
      <c r="C721" t="s">
        <v>477</v>
      </c>
      <c r="D721">
        <v>0</v>
      </c>
      <c r="E721" t="s">
        <v>477</v>
      </c>
      <c r="F721" t="s">
        <v>541</v>
      </c>
      <c r="G721" t="s">
        <v>578</v>
      </c>
      <c r="H721">
        <v>0</v>
      </c>
      <c r="I721">
        <v>0</v>
      </c>
    </row>
    <row r="722" spans="1:9" x14ac:dyDescent="0.2">
      <c r="A722" t="s">
        <v>264</v>
      </c>
      <c r="B722" t="s">
        <v>423</v>
      </c>
      <c r="C722" t="s">
        <v>478</v>
      </c>
      <c r="D722">
        <v>0</v>
      </c>
      <c r="E722" t="s">
        <v>478</v>
      </c>
      <c r="F722" t="s">
        <v>516</v>
      </c>
      <c r="G722" t="s">
        <v>578</v>
      </c>
      <c r="H722">
        <v>0</v>
      </c>
      <c r="I722">
        <v>0</v>
      </c>
    </row>
    <row r="723" spans="1:9" x14ac:dyDescent="0.2">
      <c r="A723" t="s">
        <v>301</v>
      </c>
      <c r="B723" t="s">
        <v>424</v>
      </c>
      <c r="C723" t="s">
        <v>478</v>
      </c>
      <c r="D723">
        <v>0</v>
      </c>
      <c r="E723" t="s">
        <v>478</v>
      </c>
      <c r="F723" t="s">
        <v>537</v>
      </c>
      <c r="G723" t="s">
        <v>576</v>
      </c>
      <c r="H723">
        <v>0</v>
      </c>
      <c r="I723">
        <v>0</v>
      </c>
    </row>
    <row r="724" spans="1:9" x14ac:dyDescent="0.2">
      <c r="A724" t="s">
        <v>283</v>
      </c>
      <c r="B724" t="s">
        <v>425</v>
      </c>
      <c r="C724" t="s">
        <v>498</v>
      </c>
      <c r="D724">
        <v>0</v>
      </c>
      <c r="E724" t="s">
        <v>498</v>
      </c>
      <c r="F724" t="s">
        <v>529</v>
      </c>
      <c r="G724" t="s">
        <v>578</v>
      </c>
      <c r="H724">
        <v>0</v>
      </c>
      <c r="I724">
        <v>0</v>
      </c>
    </row>
    <row r="725" spans="1:9" x14ac:dyDescent="0.2">
      <c r="A725" t="s">
        <v>302</v>
      </c>
      <c r="B725" t="s">
        <v>426</v>
      </c>
      <c r="C725" t="s">
        <v>478</v>
      </c>
      <c r="D725">
        <v>0</v>
      </c>
      <c r="E725" t="s">
        <v>478</v>
      </c>
      <c r="F725" t="s">
        <v>529</v>
      </c>
      <c r="G725" t="s">
        <v>579</v>
      </c>
      <c r="H725">
        <v>0</v>
      </c>
      <c r="I725">
        <v>0</v>
      </c>
    </row>
    <row r="726" spans="1:9" x14ac:dyDescent="0.2">
      <c r="A726" t="s">
        <v>285</v>
      </c>
      <c r="B726" t="s">
        <v>427</v>
      </c>
      <c r="C726" t="s">
        <v>499</v>
      </c>
      <c r="D726">
        <v>0</v>
      </c>
      <c r="E726" t="s">
        <v>499</v>
      </c>
      <c r="F726" t="s">
        <v>542</v>
      </c>
      <c r="G726" t="s">
        <v>577</v>
      </c>
      <c r="H726">
        <v>0</v>
      </c>
      <c r="I726">
        <v>0</v>
      </c>
    </row>
    <row r="727" spans="1:9" x14ac:dyDescent="0.2">
      <c r="A727" t="s">
        <v>303</v>
      </c>
      <c r="B727" t="s">
        <v>428</v>
      </c>
      <c r="C727" t="s">
        <v>500</v>
      </c>
      <c r="D727">
        <v>0</v>
      </c>
      <c r="E727" t="s">
        <v>500</v>
      </c>
      <c r="F727" t="s">
        <v>546</v>
      </c>
      <c r="G727" t="s">
        <v>577</v>
      </c>
      <c r="H727">
        <v>0</v>
      </c>
      <c r="I727">
        <v>0</v>
      </c>
    </row>
    <row r="728" spans="1:9" x14ac:dyDescent="0.2">
      <c r="A728" t="s">
        <v>304</v>
      </c>
      <c r="B728" t="s">
        <v>429</v>
      </c>
      <c r="C728" t="s">
        <v>478</v>
      </c>
      <c r="D728">
        <v>0</v>
      </c>
      <c r="E728" t="s">
        <v>478</v>
      </c>
      <c r="F728" t="s">
        <v>554</v>
      </c>
      <c r="G728" t="s">
        <v>569</v>
      </c>
      <c r="H728">
        <v>0</v>
      </c>
      <c r="I728">
        <v>0</v>
      </c>
    </row>
    <row r="729" spans="1:9" x14ac:dyDescent="0.2">
      <c r="A729" t="s">
        <v>277</v>
      </c>
      <c r="B729" t="s">
        <v>430</v>
      </c>
      <c r="C729" t="s">
        <v>478</v>
      </c>
      <c r="D729">
        <v>0</v>
      </c>
      <c r="E729" t="s">
        <v>478</v>
      </c>
      <c r="F729" t="s">
        <v>539</v>
      </c>
      <c r="G729" t="s">
        <v>571</v>
      </c>
      <c r="H729">
        <v>0</v>
      </c>
      <c r="I729">
        <v>0</v>
      </c>
    </row>
    <row r="730" spans="1:9" x14ac:dyDescent="0.2">
      <c r="A730" t="s">
        <v>277</v>
      </c>
      <c r="B730" t="s">
        <v>431</v>
      </c>
      <c r="C730" t="s">
        <v>478</v>
      </c>
      <c r="D730">
        <v>0</v>
      </c>
      <c r="E730" t="s">
        <v>478</v>
      </c>
      <c r="F730" t="s">
        <v>534</v>
      </c>
      <c r="G730" t="s">
        <v>571</v>
      </c>
      <c r="H730">
        <v>0</v>
      </c>
      <c r="I730">
        <v>0</v>
      </c>
    </row>
    <row r="731" spans="1:9" x14ac:dyDescent="0.2">
      <c r="A731" t="s">
        <v>277</v>
      </c>
      <c r="B731" t="s">
        <v>432</v>
      </c>
      <c r="C731" t="s">
        <v>501</v>
      </c>
      <c r="D731">
        <v>0</v>
      </c>
      <c r="E731" t="s">
        <v>501</v>
      </c>
      <c r="F731" t="s">
        <v>555</v>
      </c>
      <c r="G731" t="s">
        <v>571</v>
      </c>
      <c r="H731">
        <v>0</v>
      </c>
      <c r="I731">
        <v>0</v>
      </c>
    </row>
    <row r="732" spans="1:9" x14ac:dyDescent="0.2">
      <c r="A732" t="s">
        <v>263</v>
      </c>
      <c r="B732" t="s">
        <v>433</v>
      </c>
      <c r="C732" t="s">
        <v>502</v>
      </c>
      <c r="D732">
        <v>0</v>
      </c>
      <c r="E732" t="s">
        <v>502</v>
      </c>
      <c r="F732" t="s">
        <v>556</v>
      </c>
      <c r="G732" t="s">
        <v>580</v>
      </c>
      <c r="H732">
        <v>0</v>
      </c>
      <c r="I732">
        <v>0</v>
      </c>
    </row>
    <row r="733" spans="1:9" x14ac:dyDescent="0.2">
      <c r="A733" t="s">
        <v>268</v>
      </c>
      <c r="B733" t="s">
        <v>434</v>
      </c>
      <c r="C733" t="s">
        <v>478</v>
      </c>
      <c r="D733">
        <v>0</v>
      </c>
      <c r="E733" t="s">
        <v>478</v>
      </c>
      <c r="F733" t="s">
        <v>520</v>
      </c>
      <c r="G733" t="s">
        <v>571</v>
      </c>
      <c r="H733">
        <v>0</v>
      </c>
      <c r="I733">
        <v>0</v>
      </c>
    </row>
    <row r="734" spans="1:9" x14ac:dyDescent="0.2">
      <c r="A734" t="s">
        <v>305</v>
      </c>
      <c r="B734" t="s">
        <v>435</v>
      </c>
      <c r="C734" t="s">
        <v>478</v>
      </c>
      <c r="D734">
        <v>0</v>
      </c>
      <c r="E734" t="s">
        <v>478</v>
      </c>
      <c r="F734" t="s">
        <v>557</v>
      </c>
      <c r="G734" t="s">
        <v>569</v>
      </c>
      <c r="H734">
        <v>0</v>
      </c>
      <c r="I734">
        <v>0</v>
      </c>
    </row>
    <row r="735" spans="1:9" x14ac:dyDescent="0.2">
      <c r="A735" t="s">
        <v>306</v>
      </c>
      <c r="B735" t="s">
        <v>436</v>
      </c>
      <c r="C735" t="s">
        <v>478</v>
      </c>
      <c r="D735">
        <v>0</v>
      </c>
      <c r="E735" t="s">
        <v>478</v>
      </c>
      <c r="F735" t="s">
        <v>558</v>
      </c>
      <c r="G735" t="s">
        <v>569</v>
      </c>
      <c r="H735">
        <v>0</v>
      </c>
      <c r="I735">
        <v>0</v>
      </c>
    </row>
    <row r="736" spans="1:9" x14ac:dyDescent="0.2">
      <c r="A736" t="s">
        <v>307</v>
      </c>
      <c r="B736" t="s">
        <v>437</v>
      </c>
      <c r="C736" t="s">
        <v>478</v>
      </c>
      <c r="D736">
        <v>0</v>
      </c>
      <c r="E736" t="s">
        <v>478</v>
      </c>
      <c r="F736" t="s">
        <v>559</v>
      </c>
      <c r="G736" t="s">
        <v>574</v>
      </c>
      <c r="H736">
        <v>0</v>
      </c>
      <c r="I736">
        <v>0</v>
      </c>
    </row>
    <row r="737" spans="1:9" x14ac:dyDescent="0.2">
      <c r="A737" t="s">
        <v>308</v>
      </c>
      <c r="B737" t="s">
        <v>438</v>
      </c>
      <c r="C737" t="s">
        <v>478</v>
      </c>
      <c r="D737">
        <v>0</v>
      </c>
      <c r="E737" t="s">
        <v>478</v>
      </c>
      <c r="F737" t="s">
        <v>560</v>
      </c>
      <c r="G737" t="s">
        <v>569</v>
      </c>
      <c r="H737">
        <v>0</v>
      </c>
      <c r="I737">
        <v>0</v>
      </c>
    </row>
    <row r="738" spans="1:9" x14ac:dyDescent="0.2">
      <c r="A738" t="s">
        <v>309</v>
      </c>
      <c r="B738" t="s">
        <v>439</v>
      </c>
      <c r="C738" t="s">
        <v>478</v>
      </c>
      <c r="D738">
        <v>0</v>
      </c>
      <c r="E738" t="s">
        <v>478</v>
      </c>
      <c r="F738" t="s">
        <v>558</v>
      </c>
      <c r="G738" t="s">
        <v>574</v>
      </c>
      <c r="H738">
        <v>0</v>
      </c>
      <c r="I738">
        <v>0</v>
      </c>
    </row>
    <row r="739" spans="1:9" x14ac:dyDescent="0.2">
      <c r="A739" t="s">
        <v>310</v>
      </c>
      <c r="B739" t="s">
        <v>440</v>
      </c>
      <c r="C739" t="s">
        <v>478</v>
      </c>
      <c r="D739">
        <v>0</v>
      </c>
      <c r="E739" t="s">
        <v>478</v>
      </c>
      <c r="F739" t="s">
        <v>561</v>
      </c>
      <c r="G739" t="s">
        <v>569</v>
      </c>
      <c r="H739">
        <v>0</v>
      </c>
      <c r="I739">
        <v>0</v>
      </c>
    </row>
    <row r="740" spans="1:9" x14ac:dyDescent="0.2">
      <c r="A740" t="s">
        <v>311</v>
      </c>
      <c r="B740" t="s">
        <v>441</v>
      </c>
      <c r="C740" t="s">
        <v>481</v>
      </c>
      <c r="D740">
        <v>0</v>
      </c>
      <c r="E740" t="s">
        <v>481</v>
      </c>
      <c r="F740" t="s">
        <v>527</v>
      </c>
      <c r="G740" t="s">
        <v>580</v>
      </c>
      <c r="H740">
        <v>0</v>
      </c>
      <c r="I740">
        <v>0</v>
      </c>
    </row>
    <row r="741" spans="1:9" x14ac:dyDescent="0.2">
      <c r="A741" t="s">
        <v>311</v>
      </c>
      <c r="B741" t="s">
        <v>442</v>
      </c>
      <c r="C741" t="s">
        <v>482</v>
      </c>
      <c r="D741">
        <v>0</v>
      </c>
      <c r="E741" t="s">
        <v>482</v>
      </c>
      <c r="F741" t="s">
        <v>562</v>
      </c>
      <c r="G741" t="s">
        <v>580</v>
      </c>
      <c r="H741">
        <v>0</v>
      </c>
      <c r="I741">
        <v>0</v>
      </c>
    </row>
    <row r="742" spans="1:9" x14ac:dyDescent="0.2">
      <c r="A742" t="s">
        <v>311</v>
      </c>
      <c r="B742" t="s">
        <v>443</v>
      </c>
      <c r="C742" t="s">
        <v>481</v>
      </c>
      <c r="D742">
        <v>0</v>
      </c>
      <c r="E742" t="s">
        <v>481</v>
      </c>
      <c r="F742" t="s">
        <v>563</v>
      </c>
      <c r="G742" t="s">
        <v>580</v>
      </c>
      <c r="H742">
        <v>0</v>
      </c>
      <c r="I742">
        <v>0</v>
      </c>
    </row>
    <row r="743" spans="1:9" x14ac:dyDescent="0.2">
      <c r="A743" t="s">
        <v>312</v>
      </c>
      <c r="B743" t="s">
        <v>444</v>
      </c>
      <c r="C743" t="s">
        <v>481</v>
      </c>
      <c r="D743">
        <v>0</v>
      </c>
      <c r="E743" t="s">
        <v>481</v>
      </c>
      <c r="F743" t="s">
        <v>526</v>
      </c>
      <c r="G743" t="s">
        <v>580</v>
      </c>
      <c r="H743">
        <v>0</v>
      </c>
      <c r="I743">
        <v>0</v>
      </c>
    </row>
    <row r="744" spans="1:9" x14ac:dyDescent="0.2">
      <c r="A744" t="s">
        <v>286</v>
      </c>
      <c r="B744" t="s">
        <v>445</v>
      </c>
      <c r="C744" t="s">
        <v>486</v>
      </c>
      <c r="D744">
        <v>0</v>
      </c>
      <c r="E744" t="s">
        <v>486</v>
      </c>
      <c r="F744" t="s">
        <v>542</v>
      </c>
      <c r="G744" t="s">
        <v>580</v>
      </c>
      <c r="H744">
        <v>0</v>
      </c>
      <c r="I744">
        <v>0</v>
      </c>
    </row>
    <row r="745" spans="1:9" x14ac:dyDescent="0.2">
      <c r="A745" t="s">
        <v>286</v>
      </c>
      <c r="B745" t="s">
        <v>446</v>
      </c>
      <c r="C745" t="s">
        <v>486</v>
      </c>
      <c r="D745">
        <v>0</v>
      </c>
      <c r="E745" t="s">
        <v>486</v>
      </c>
      <c r="F745" t="s">
        <v>541</v>
      </c>
      <c r="G745" t="s">
        <v>580</v>
      </c>
      <c r="H745">
        <v>0</v>
      </c>
      <c r="I745">
        <v>0</v>
      </c>
    </row>
    <row r="746" spans="1:9" x14ac:dyDescent="0.2">
      <c r="A746" t="s">
        <v>313</v>
      </c>
      <c r="B746" t="s">
        <v>447</v>
      </c>
      <c r="C746" t="s">
        <v>478</v>
      </c>
      <c r="D746">
        <v>0</v>
      </c>
      <c r="E746" t="s">
        <v>478</v>
      </c>
      <c r="F746" t="s">
        <v>516</v>
      </c>
      <c r="G746" t="s">
        <v>569</v>
      </c>
      <c r="H746">
        <v>0</v>
      </c>
      <c r="I746">
        <v>0</v>
      </c>
    </row>
    <row r="747" spans="1:9" x14ac:dyDescent="0.2">
      <c r="A747" t="s">
        <v>314</v>
      </c>
      <c r="B747" t="s">
        <v>448</v>
      </c>
      <c r="C747" t="s">
        <v>478</v>
      </c>
      <c r="D747">
        <v>0</v>
      </c>
      <c r="E747" t="s">
        <v>478</v>
      </c>
      <c r="F747" t="s">
        <v>516</v>
      </c>
      <c r="G747" t="s">
        <v>569</v>
      </c>
      <c r="H747">
        <v>0</v>
      </c>
      <c r="I747">
        <v>0</v>
      </c>
    </row>
    <row r="748" spans="1:9" x14ac:dyDescent="0.2">
      <c r="A748" t="s">
        <v>315</v>
      </c>
      <c r="B748" t="s">
        <v>449</v>
      </c>
      <c r="C748" t="s">
        <v>478</v>
      </c>
      <c r="D748">
        <v>0</v>
      </c>
      <c r="E748" t="s">
        <v>478</v>
      </c>
      <c r="F748" t="s">
        <v>530</v>
      </c>
      <c r="G748" t="s">
        <v>569</v>
      </c>
      <c r="H748">
        <v>0</v>
      </c>
      <c r="I748">
        <v>0</v>
      </c>
    </row>
    <row r="749" spans="1:9" x14ac:dyDescent="0.2">
      <c r="A749" t="s">
        <v>315</v>
      </c>
      <c r="B749" t="s">
        <v>450</v>
      </c>
      <c r="C749" t="s">
        <v>478</v>
      </c>
      <c r="D749">
        <v>0</v>
      </c>
      <c r="E749" t="s">
        <v>478</v>
      </c>
      <c r="F749" t="s">
        <v>530</v>
      </c>
      <c r="G749" t="s">
        <v>569</v>
      </c>
      <c r="H749">
        <v>0</v>
      </c>
      <c r="I749">
        <v>0</v>
      </c>
    </row>
    <row r="750" spans="1:9" x14ac:dyDescent="0.2">
      <c r="A750" t="s">
        <v>315</v>
      </c>
      <c r="B750" t="s">
        <v>451</v>
      </c>
      <c r="C750" t="s">
        <v>478</v>
      </c>
      <c r="D750">
        <v>0</v>
      </c>
      <c r="E750" t="s">
        <v>478</v>
      </c>
      <c r="F750" t="s">
        <v>530</v>
      </c>
      <c r="G750" t="s">
        <v>569</v>
      </c>
      <c r="H750">
        <v>0</v>
      </c>
      <c r="I750">
        <v>0</v>
      </c>
    </row>
    <row r="751" spans="1:9" x14ac:dyDescent="0.2">
      <c r="A751" t="s">
        <v>313</v>
      </c>
      <c r="B751" t="s">
        <v>452</v>
      </c>
      <c r="C751" t="s">
        <v>478</v>
      </c>
      <c r="D751">
        <v>0</v>
      </c>
      <c r="E751" t="s">
        <v>478</v>
      </c>
      <c r="F751" t="s">
        <v>524</v>
      </c>
      <c r="G751" t="s">
        <v>569</v>
      </c>
      <c r="H751">
        <v>0</v>
      </c>
      <c r="I751">
        <v>0</v>
      </c>
    </row>
    <row r="752" spans="1:9" x14ac:dyDescent="0.2">
      <c r="A752" t="s">
        <v>314</v>
      </c>
      <c r="B752" t="s">
        <v>453</v>
      </c>
      <c r="C752" t="s">
        <v>478</v>
      </c>
      <c r="D752">
        <v>0</v>
      </c>
      <c r="E752" t="s">
        <v>478</v>
      </c>
      <c r="F752" t="s">
        <v>538</v>
      </c>
      <c r="G752" t="s">
        <v>569</v>
      </c>
      <c r="H752">
        <v>0</v>
      </c>
      <c r="I752">
        <v>0</v>
      </c>
    </row>
    <row r="753" spans="1:9" x14ac:dyDescent="0.2">
      <c r="A753" t="s">
        <v>314</v>
      </c>
      <c r="B753" t="s">
        <v>454</v>
      </c>
      <c r="C753" t="s">
        <v>478</v>
      </c>
      <c r="D753">
        <v>0</v>
      </c>
      <c r="E753" t="s">
        <v>478</v>
      </c>
      <c r="F753" t="s">
        <v>530</v>
      </c>
      <c r="G753" t="s">
        <v>569</v>
      </c>
      <c r="H753">
        <v>0</v>
      </c>
      <c r="I753">
        <v>0</v>
      </c>
    </row>
    <row r="754" spans="1:9" x14ac:dyDescent="0.2">
      <c r="A754" t="s">
        <v>314</v>
      </c>
      <c r="B754" t="s">
        <v>455</v>
      </c>
      <c r="C754" t="s">
        <v>478</v>
      </c>
      <c r="D754">
        <v>0</v>
      </c>
      <c r="E754" t="s">
        <v>478</v>
      </c>
      <c r="F754" t="s">
        <v>538</v>
      </c>
      <c r="G754" t="s">
        <v>569</v>
      </c>
      <c r="H754">
        <v>0</v>
      </c>
      <c r="I754">
        <v>0</v>
      </c>
    </row>
    <row r="755" spans="1:9" x14ac:dyDescent="0.2">
      <c r="A755" t="s">
        <v>314</v>
      </c>
      <c r="B755" t="s">
        <v>456</v>
      </c>
      <c r="C755" t="s">
        <v>478</v>
      </c>
      <c r="D755">
        <v>0</v>
      </c>
      <c r="E755" t="s">
        <v>478</v>
      </c>
      <c r="F755" t="s">
        <v>530</v>
      </c>
      <c r="G755" t="s">
        <v>569</v>
      </c>
      <c r="H755">
        <v>0</v>
      </c>
      <c r="I755">
        <v>0</v>
      </c>
    </row>
    <row r="756" spans="1:9" x14ac:dyDescent="0.2">
      <c r="A756" t="s">
        <v>277</v>
      </c>
      <c r="B756" t="s">
        <v>457</v>
      </c>
      <c r="C756" t="s">
        <v>501</v>
      </c>
      <c r="D756">
        <v>0</v>
      </c>
      <c r="E756" t="s">
        <v>501</v>
      </c>
      <c r="F756" t="s">
        <v>564</v>
      </c>
      <c r="G756" t="s">
        <v>571</v>
      </c>
      <c r="H756">
        <v>0</v>
      </c>
      <c r="I756">
        <v>0</v>
      </c>
    </row>
    <row r="757" spans="1:9" x14ac:dyDescent="0.2">
      <c r="A757" t="s">
        <v>263</v>
      </c>
      <c r="B757" t="s">
        <v>458</v>
      </c>
      <c r="C757" t="s">
        <v>476</v>
      </c>
      <c r="D757">
        <v>0</v>
      </c>
      <c r="E757" t="s">
        <v>476</v>
      </c>
      <c r="F757" t="s">
        <v>565</v>
      </c>
      <c r="G757" t="s">
        <v>580</v>
      </c>
      <c r="H757">
        <v>0</v>
      </c>
      <c r="I757">
        <v>0</v>
      </c>
    </row>
    <row r="758" spans="1:9" x14ac:dyDescent="0.2">
      <c r="A758" t="s">
        <v>316</v>
      </c>
      <c r="B758" t="s">
        <v>459</v>
      </c>
      <c r="C758" t="s">
        <v>478</v>
      </c>
      <c r="D758">
        <v>0</v>
      </c>
      <c r="E758" t="s">
        <v>478</v>
      </c>
      <c r="F758" t="s">
        <v>557</v>
      </c>
      <c r="G758" t="s">
        <v>569</v>
      </c>
      <c r="H758">
        <v>0</v>
      </c>
      <c r="I758">
        <v>0</v>
      </c>
    </row>
    <row r="759" spans="1:9" x14ac:dyDescent="0.2">
      <c r="A759" t="s">
        <v>317</v>
      </c>
      <c r="B759" t="s">
        <v>460</v>
      </c>
      <c r="C759" t="s">
        <v>478</v>
      </c>
      <c r="D759">
        <v>0</v>
      </c>
      <c r="E759" t="s">
        <v>478</v>
      </c>
      <c r="F759" t="s">
        <v>560</v>
      </c>
      <c r="G759" t="s">
        <v>569</v>
      </c>
      <c r="H759">
        <v>0</v>
      </c>
      <c r="I759">
        <v>0</v>
      </c>
    </row>
    <row r="760" spans="1:9" x14ac:dyDescent="0.2">
      <c r="A760" t="s">
        <v>318</v>
      </c>
      <c r="B760" t="s">
        <v>461</v>
      </c>
      <c r="C760" t="s">
        <v>478</v>
      </c>
      <c r="D760">
        <v>0</v>
      </c>
      <c r="E760" t="s">
        <v>478</v>
      </c>
      <c r="F760" t="s">
        <v>561</v>
      </c>
      <c r="G760" t="s">
        <v>574</v>
      </c>
      <c r="H760">
        <v>0</v>
      </c>
      <c r="I760">
        <v>0</v>
      </c>
    </row>
    <row r="761" spans="1:9" x14ac:dyDescent="0.2">
      <c r="A761" t="s">
        <v>319</v>
      </c>
      <c r="B761" t="s">
        <v>462</v>
      </c>
      <c r="C761" t="s">
        <v>482</v>
      </c>
      <c r="D761">
        <v>0</v>
      </c>
      <c r="E761" t="s">
        <v>482</v>
      </c>
      <c r="F761" t="s">
        <v>526</v>
      </c>
      <c r="G761" t="s">
        <v>580</v>
      </c>
      <c r="H761">
        <v>0</v>
      </c>
      <c r="I761">
        <v>0</v>
      </c>
    </row>
    <row r="762" spans="1:9" x14ac:dyDescent="0.2">
      <c r="A762" t="s">
        <v>320</v>
      </c>
      <c r="B762" t="s">
        <v>463</v>
      </c>
      <c r="C762" t="s">
        <v>488</v>
      </c>
      <c r="D762">
        <v>0</v>
      </c>
      <c r="E762" t="s">
        <v>488</v>
      </c>
      <c r="F762" t="s">
        <v>562</v>
      </c>
      <c r="G762" t="s">
        <v>580</v>
      </c>
      <c r="H762">
        <v>0</v>
      </c>
      <c r="I762">
        <v>0</v>
      </c>
    </row>
    <row r="763" spans="1:9" x14ac:dyDescent="0.2">
      <c r="A763" t="s">
        <v>319</v>
      </c>
      <c r="B763" t="s">
        <v>464</v>
      </c>
      <c r="C763" t="s">
        <v>482</v>
      </c>
      <c r="D763">
        <v>0</v>
      </c>
      <c r="E763" t="s">
        <v>482</v>
      </c>
      <c r="F763" t="s">
        <v>563</v>
      </c>
      <c r="G763" t="s">
        <v>580</v>
      </c>
      <c r="H763">
        <v>0</v>
      </c>
      <c r="I763">
        <v>0</v>
      </c>
    </row>
    <row r="764" spans="1:9" x14ac:dyDescent="0.2">
      <c r="A764" t="s">
        <v>319</v>
      </c>
      <c r="B764" t="s">
        <v>465</v>
      </c>
      <c r="C764" t="s">
        <v>481</v>
      </c>
      <c r="D764">
        <v>0</v>
      </c>
      <c r="E764" t="s">
        <v>481</v>
      </c>
      <c r="F764" t="s">
        <v>526</v>
      </c>
      <c r="G764" t="s">
        <v>580</v>
      </c>
      <c r="H764">
        <v>0</v>
      </c>
      <c r="I764">
        <v>0</v>
      </c>
    </row>
    <row r="765" spans="1:9" x14ac:dyDescent="0.2">
      <c r="A765" t="s">
        <v>321</v>
      </c>
      <c r="B765" t="s">
        <v>466</v>
      </c>
      <c r="C765" t="s">
        <v>488</v>
      </c>
      <c r="D765">
        <v>0</v>
      </c>
      <c r="E765" t="s">
        <v>488</v>
      </c>
      <c r="F765" t="s">
        <v>547</v>
      </c>
      <c r="G765" t="s">
        <v>574</v>
      </c>
      <c r="H765">
        <v>0</v>
      </c>
      <c r="I765">
        <v>0</v>
      </c>
    </row>
    <row r="766" spans="1:9" x14ac:dyDescent="0.2">
      <c r="A766" t="s">
        <v>322</v>
      </c>
      <c r="B766" t="s">
        <v>467</v>
      </c>
      <c r="C766" t="s">
        <v>482</v>
      </c>
      <c r="D766">
        <v>0</v>
      </c>
      <c r="E766" t="s">
        <v>482</v>
      </c>
      <c r="F766" t="s">
        <v>566</v>
      </c>
      <c r="G766" t="s">
        <v>574</v>
      </c>
      <c r="H766">
        <v>0</v>
      </c>
      <c r="I766">
        <v>0</v>
      </c>
    </row>
    <row r="767" spans="1:9" x14ac:dyDescent="0.2">
      <c r="A767" t="s">
        <v>283</v>
      </c>
      <c r="B767" t="s">
        <v>468</v>
      </c>
      <c r="C767" t="s">
        <v>478</v>
      </c>
      <c r="D767">
        <v>0</v>
      </c>
      <c r="E767" t="s">
        <v>478</v>
      </c>
      <c r="F767" t="s">
        <v>524</v>
      </c>
      <c r="G767" t="s">
        <v>581</v>
      </c>
      <c r="H767">
        <v>0</v>
      </c>
      <c r="I767">
        <v>0</v>
      </c>
    </row>
    <row r="768" spans="1:9" x14ac:dyDescent="0.2">
      <c r="A768" t="s">
        <v>275</v>
      </c>
      <c r="B768" t="s">
        <v>469</v>
      </c>
      <c r="C768" t="s">
        <v>478</v>
      </c>
      <c r="D768">
        <v>0</v>
      </c>
      <c r="E768" t="s">
        <v>478</v>
      </c>
      <c r="F768" t="s">
        <v>530</v>
      </c>
      <c r="G768" t="s">
        <v>581</v>
      </c>
      <c r="H768">
        <v>0</v>
      </c>
      <c r="I768">
        <v>0</v>
      </c>
    </row>
    <row r="769" spans="1:9" x14ac:dyDescent="0.2">
      <c r="A769" t="s">
        <v>275</v>
      </c>
      <c r="B769" t="s">
        <v>470</v>
      </c>
      <c r="C769" t="s">
        <v>478</v>
      </c>
      <c r="D769">
        <v>0</v>
      </c>
      <c r="E769" t="s">
        <v>478</v>
      </c>
      <c r="F769" t="s">
        <v>530</v>
      </c>
      <c r="G769" t="s">
        <v>581</v>
      </c>
      <c r="H769">
        <v>0</v>
      </c>
      <c r="I769">
        <v>0</v>
      </c>
    </row>
    <row r="770" spans="1:9" x14ac:dyDescent="0.2">
      <c r="A770" t="s">
        <v>275</v>
      </c>
      <c r="B770" t="s">
        <v>471</v>
      </c>
      <c r="C770" t="s">
        <v>478</v>
      </c>
      <c r="D770">
        <v>0</v>
      </c>
      <c r="E770" t="s">
        <v>478</v>
      </c>
      <c r="F770" t="s">
        <v>530</v>
      </c>
      <c r="G770" t="s">
        <v>581</v>
      </c>
      <c r="H770">
        <v>0</v>
      </c>
      <c r="I770">
        <v>0</v>
      </c>
    </row>
    <row r="771" spans="1:9" x14ac:dyDescent="0.2">
      <c r="A771" t="s">
        <v>275</v>
      </c>
      <c r="B771" t="s">
        <v>472</v>
      </c>
      <c r="C771" t="s">
        <v>478</v>
      </c>
      <c r="D771">
        <v>0</v>
      </c>
      <c r="E771" t="s">
        <v>478</v>
      </c>
      <c r="F771" t="s">
        <v>530</v>
      </c>
      <c r="G771" t="s">
        <v>581</v>
      </c>
      <c r="H771">
        <v>0</v>
      </c>
      <c r="I771">
        <v>0</v>
      </c>
    </row>
    <row r="772" spans="1:9" x14ac:dyDescent="0.2">
      <c r="A772" t="s">
        <v>286</v>
      </c>
      <c r="B772" t="s">
        <v>473</v>
      </c>
      <c r="C772" t="s">
        <v>486</v>
      </c>
      <c r="D772">
        <v>0</v>
      </c>
      <c r="E772" t="s">
        <v>486</v>
      </c>
      <c r="F772" t="s">
        <v>542</v>
      </c>
      <c r="G772" t="s">
        <v>580</v>
      </c>
      <c r="H772">
        <v>0</v>
      </c>
      <c r="I772">
        <v>0</v>
      </c>
    </row>
    <row r="773" spans="1:9" x14ac:dyDescent="0.2">
      <c r="A773" t="s">
        <v>286</v>
      </c>
      <c r="B773" t="s">
        <v>474</v>
      </c>
      <c r="C773" t="s">
        <v>486</v>
      </c>
      <c r="D773">
        <v>0</v>
      </c>
      <c r="E773" t="s">
        <v>486</v>
      </c>
      <c r="F773" t="s">
        <v>542</v>
      </c>
      <c r="G773" t="s">
        <v>580</v>
      </c>
      <c r="H773">
        <v>0</v>
      </c>
      <c r="I773">
        <v>0</v>
      </c>
    </row>
    <row r="774" spans="1:9" x14ac:dyDescent="0.2">
      <c r="A774" t="s">
        <v>289</v>
      </c>
      <c r="B774" t="s">
        <v>475</v>
      </c>
      <c r="C774" t="s">
        <v>478</v>
      </c>
      <c r="D774">
        <v>0</v>
      </c>
      <c r="E774" t="s">
        <v>478</v>
      </c>
      <c r="F774" t="s">
        <v>559</v>
      </c>
      <c r="G774" t="s">
        <v>574</v>
      </c>
      <c r="H774">
        <v>0</v>
      </c>
      <c r="I774">
        <v>0</v>
      </c>
    </row>
    <row r="775" spans="1:9" x14ac:dyDescent="0.2">
      <c r="A775" t="s">
        <v>302</v>
      </c>
      <c r="B775" t="s">
        <v>302</v>
      </c>
      <c r="C775" t="s">
        <v>478</v>
      </c>
      <c r="D775">
        <v>0</v>
      </c>
      <c r="E775" t="s">
        <v>478</v>
      </c>
      <c r="F775" t="s">
        <v>567</v>
      </c>
      <c r="G775" t="s">
        <v>579</v>
      </c>
      <c r="H775">
        <v>0</v>
      </c>
      <c r="I775">
        <v>0</v>
      </c>
    </row>
    <row r="776" spans="1:9" x14ac:dyDescent="0.2">
      <c r="A776" t="s">
        <v>323</v>
      </c>
      <c r="B776" t="s">
        <v>302</v>
      </c>
      <c r="C776" t="s">
        <v>478</v>
      </c>
      <c r="D776">
        <v>0</v>
      </c>
      <c r="E776" t="s">
        <v>478</v>
      </c>
      <c r="F776" t="s">
        <v>568</v>
      </c>
      <c r="G776" t="s">
        <v>569</v>
      </c>
      <c r="H776">
        <v>0</v>
      </c>
      <c r="I776">
        <v>0</v>
      </c>
    </row>
    <row r="777" spans="1:9" x14ac:dyDescent="0.2">
      <c r="A777" t="s">
        <v>263</v>
      </c>
      <c r="B777" t="s">
        <v>324</v>
      </c>
      <c r="C777" t="s">
        <v>476</v>
      </c>
      <c r="D777" t="s">
        <v>503</v>
      </c>
      <c r="E777" t="s">
        <v>478</v>
      </c>
      <c r="F777" t="s">
        <v>515</v>
      </c>
      <c r="G777" t="s">
        <v>319</v>
      </c>
      <c r="H777">
        <v>512.20168843859256</v>
      </c>
      <c r="I777">
        <v>550</v>
      </c>
    </row>
    <row r="778" spans="1:9" x14ac:dyDescent="0.2">
      <c r="A778" t="s">
        <v>264</v>
      </c>
      <c r="B778" t="s">
        <v>325</v>
      </c>
      <c r="C778" t="s">
        <v>477</v>
      </c>
      <c r="D778" t="s">
        <v>504</v>
      </c>
      <c r="E778" t="s">
        <v>477</v>
      </c>
      <c r="F778" t="s">
        <v>516</v>
      </c>
      <c r="G778" t="s">
        <v>569</v>
      </c>
      <c r="H778">
        <v>137.34523897192631</v>
      </c>
      <c r="I778">
        <v>150</v>
      </c>
    </row>
    <row r="779" spans="1:9" x14ac:dyDescent="0.2">
      <c r="A779" t="s">
        <v>265</v>
      </c>
      <c r="B779" t="s">
        <v>326</v>
      </c>
      <c r="C779" t="s">
        <v>478</v>
      </c>
      <c r="D779" t="s">
        <v>505</v>
      </c>
      <c r="E779" t="s">
        <v>478</v>
      </c>
      <c r="F779" t="s">
        <v>517</v>
      </c>
      <c r="G779" t="s">
        <v>570</v>
      </c>
      <c r="H779">
        <v>0</v>
      </c>
      <c r="I779">
        <v>0</v>
      </c>
    </row>
    <row r="780" spans="1:9" x14ac:dyDescent="0.2">
      <c r="A780" t="s">
        <v>266</v>
      </c>
      <c r="B780" t="s">
        <v>327</v>
      </c>
      <c r="C780" t="s">
        <v>479</v>
      </c>
      <c r="D780" t="s">
        <v>506</v>
      </c>
      <c r="E780" t="s">
        <v>479</v>
      </c>
      <c r="F780" t="s">
        <v>518</v>
      </c>
      <c r="G780" t="s">
        <v>571</v>
      </c>
      <c r="H780">
        <v>437.1338624340375</v>
      </c>
      <c r="I780">
        <v>450</v>
      </c>
    </row>
    <row r="781" spans="1:9" x14ac:dyDescent="0.2">
      <c r="A781" t="s">
        <v>267</v>
      </c>
      <c r="B781" t="s">
        <v>328</v>
      </c>
      <c r="C781" t="s">
        <v>480</v>
      </c>
      <c r="D781" t="s">
        <v>507</v>
      </c>
      <c r="E781" t="s">
        <v>480</v>
      </c>
      <c r="F781" t="s">
        <v>519</v>
      </c>
      <c r="G781" t="s">
        <v>572</v>
      </c>
      <c r="H781">
        <v>0</v>
      </c>
      <c r="I781">
        <v>0</v>
      </c>
    </row>
    <row r="782" spans="1:9" x14ac:dyDescent="0.2">
      <c r="A782" t="s">
        <v>268</v>
      </c>
      <c r="B782" t="s">
        <v>329</v>
      </c>
      <c r="C782" t="s">
        <v>478</v>
      </c>
      <c r="D782" t="s">
        <v>505</v>
      </c>
      <c r="E782" t="s">
        <v>478</v>
      </c>
      <c r="F782" t="s">
        <v>520</v>
      </c>
      <c r="G782" t="s">
        <v>571</v>
      </c>
      <c r="H782">
        <v>0</v>
      </c>
      <c r="I782">
        <v>0</v>
      </c>
    </row>
    <row r="783" spans="1:9" x14ac:dyDescent="0.2">
      <c r="A783" t="s">
        <v>268</v>
      </c>
      <c r="B783" t="s">
        <v>330</v>
      </c>
      <c r="C783" t="s">
        <v>478</v>
      </c>
      <c r="D783" t="s">
        <v>505</v>
      </c>
      <c r="E783" t="s">
        <v>478</v>
      </c>
      <c r="F783" t="s">
        <v>516</v>
      </c>
      <c r="G783" t="s">
        <v>571</v>
      </c>
      <c r="H783">
        <v>0</v>
      </c>
      <c r="I783">
        <v>0</v>
      </c>
    </row>
    <row r="784" spans="1:9" x14ac:dyDescent="0.2">
      <c r="A784" t="s">
        <v>268</v>
      </c>
      <c r="B784" t="s">
        <v>331</v>
      </c>
      <c r="C784" t="s">
        <v>478</v>
      </c>
      <c r="D784" t="s">
        <v>505</v>
      </c>
      <c r="E784" t="s">
        <v>478</v>
      </c>
      <c r="F784" t="s">
        <v>520</v>
      </c>
      <c r="G784" t="s">
        <v>571</v>
      </c>
      <c r="H784">
        <v>0</v>
      </c>
      <c r="I784">
        <v>0</v>
      </c>
    </row>
    <row r="785" spans="1:9" x14ac:dyDescent="0.2">
      <c r="A785" t="s">
        <v>269</v>
      </c>
      <c r="B785" t="s">
        <v>332</v>
      </c>
      <c r="C785" t="s">
        <v>481</v>
      </c>
      <c r="D785" t="s">
        <v>508</v>
      </c>
      <c r="E785" t="s">
        <v>481</v>
      </c>
      <c r="F785" t="s">
        <v>521</v>
      </c>
      <c r="G785" t="s">
        <v>573</v>
      </c>
      <c r="H785">
        <v>0</v>
      </c>
      <c r="I785">
        <v>0</v>
      </c>
    </row>
    <row r="786" spans="1:9" x14ac:dyDescent="0.2">
      <c r="A786" t="s">
        <v>270</v>
      </c>
      <c r="B786" t="s">
        <v>333</v>
      </c>
      <c r="C786" t="s">
        <v>481</v>
      </c>
      <c r="D786" t="s">
        <v>508</v>
      </c>
      <c r="E786" t="s">
        <v>481</v>
      </c>
      <c r="F786" t="s">
        <v>522</v>
      </c>
      <c r="G786" t="s">
        <v>573</v>
      </c>
      <c r="H786">
        <v>0</v>
      </c>
      <c r="I786">
        <v>0</v>
      </c>
    </row>
    <row r="787" spans="1:9" x14ac:dyDescent="0.2">
      <c r="A787" t="s">
        <v>270</v>
      </c>
      <c r="B787" t="s">
        <v>334</v>
      </c>
      <c r="C787" t="s">
        <v>481</v>
      </c>
      <c r="D787" t="s">
        <v>508</v>
      </c>
      <c r="E787" t="s">
        <v>481</v>
      </c>
      <c r="F787" t="s">
        <v>523</v>
      </c>
      <c r="G787" t="s">
        <v>573</v>
      </c>
      <c r="H787">
        <v>0</v>
      </c>
      <c r="I787">
        <v>0</v>
      </c>
    </row>
    <row r="788" spans="1:9" x14ac:dyDescent="0.2">
      <c r="A788" t="s">
        <v>271</v>
      </c>
      <c r="B788" t="s">
        <v>335</v>
      </c>
      <c r="C788" t="s">
        <v>478</v>
      </c>
      <c r="D788" t="s">
        <v>505</v>
      </c>
      <c r="E788" t="s">
        <v>478</v>
      </c>
      <c r="F788" t="s">
        <v>524</v>
      </c>
      <c r="G788" t="s">
        <v>574</v>
      </c>
      <c r="H788">
        <v>0</v>
      </c>
      <c r="I788">
        <v>0</v>
      </c>
    </row>
    <row r="789" spans="1:9" x14ac:dyDescent="0.2">
      <c r="A789" t="s">
        <v>269</v>
      </c>
      <c r="B789" t="s">
        <v>336</v>
      </c>
      <c r="C789" t="s">
        <v>481</v>
      </c>
      <c r="D789" t="s">
        <v>508</v>
      </c>
      <c r="E789" t="s">
        <v>481</v>
      </c>
      <c r="F789" t="s">
        <v>525</v>
      </c>
      <c r="G789" t="s">
        <v>573</v>
      </c>
      <c r="H789">
        <v>0</v>
      </c>
      <c r="I789">
        <v>0</v>
      </c>
    </row>
    <row r="790" spans="1:9" x14ac:dyDescent="0.2">
      <c r="A790" t="s">
        <v>272</v>
      </c>
      <c r="B790" t="s">
        <v>337</v>
      </c>
      <c r="C790" t="s">
        <v>481</v>
      </c>
      <c r="D790" t="s">
        <v>508</v>
      </c>
      <c r="E790" t="s">
        <v>481</v>
      </c>
      <c r="F790" t="s">
        <v>526</v>
      </c>
      <c r="G790" t="s">
        <v>572</v>
      </c>
      <c r="H790">
        <v>0</v>
      </c>
      <c r="I790">
        <v>0</v>
      </c>
    </row>
    <row r="791" spans="1:9" x14ac:dyDescent="0.2">
      <c r="A791" t="s">
        <v>272</v>
      </c>
      <c r="B791" t="s">
        <v>338</v>
      </c>
      <c r="C791" t="s">
        <v>481</v>
      </c>
      <c r="D791" t="s">
        <v>508</v>
      </c>
      <c r="E791" t="s">
        <v>481</v>
      </c>
      <c r="F791" t="s">
        <v>527</v>
      </c>
      <c r="G791" t="s">
        <v>572</v>
      </c>
      <c r="H791">
        <v>0</v>
      </c>
      <c r="I791">
        <v>0</v>
      </c>
    </row>
    <row r="792" spans="1:9" x14ac:dyDescent="0.2">
      <c r="A792" t="s">
        <v>273</v>
      </c>
      <c r="B792" t="s">
        <v>339</v>
      </c>
      <c r="C792" t="s">
        <v>481</v>
      </c>
      <c r="D792" t="s">
        <v>508</v>
      </c>
      <c r="E792" t="s">
        <v>481</v>
      </c>
      <c r="F792" t="s">
        <v>527</v>
      </c>
      <c r="G792" t="s">
        <v>572</v>
      </c>
      <c r="H792">
        <v>0</v>
      </c>
      <c r="I792">
        <v>0</v>
      </c>
    </row>
    <row r="793" spans="1:9" x14ac:dyDescent="0.2">
      <c r="A793" t="s">
        <v>273</v>
      </c>
      <c r="B793" t="s">
        <v>340</v>
      </c>
      <c r="C793" t="s">
        <v>482</v>
      </c>
      <c r="D793" t="s">
        <v>509</v>
      </c>
      <c r="E793" t="s">
        <v>482</v>
      </c>
      <c r="F793" t="s">
        <v>528</v>
      </c>
      <c r="G793" t="s">
        <v>572</v>
      </c>
      <c r="H793">
        <v>0</v>
      </c>
      <c r="I793">
        <v>0</v>
      </c>
    </row>
    <row r="794" spans="1:9" x14ac:dyDescent="0.2">
      <c r="A794" t="s">
        <v>273</v>
      </c>
      <c r="B794" t="s">
        <v>341</v>
      </c>
      <c r="C794" t="s">
        <v>481</v>
      </c>
      <c r="D794" t="s">
        <v>508</v>
      </c>
      <c r="E794" t="s">
        <v>481</v>
      </c>
      <c r="F794" t="s">
        <v>527</v>
      </c>
      <c r="G794" t="s">
        <v>572</v>
      </c>
      <c r="H794">
        <v>0</v>
      </c>
      <c r="I794">
        <v>0</v>
      </c>
    </row>
    <row r="795" spans="1:9" x14ac:dyDescent="0.2">
      <c r="A795" t="s">
        <v>273</v>
      </c>
      <c r="B795" t="s">
        <v>342</v>
      </c>
      <c r="C795" t="s">
        <v>481</v>
      </c>
      <c r="D795" t="s">
        <v>508</v>
      </c>
      <c r="E795" t="s">
        <v>481</v>
      </c>
      <c r="F795" t="s">
        <v>526</v>
      </c>
      <c r="G795" t="s">
        <v>572</v>
      </c>
      <c r="H795">
        <v>0</v>
      </c>
      <c r="I795">
        <v>0</v>
      </c>
    </row>
    <row r="796" spans="1:9" x14ac:dyDescent="0.2">
      <c r="A796" t="s">
        <v>274</v>
      </c>
      <c r="B796" t="s">
        <v>343</v>
      </c>
      <c r="C796" t="s">
        <v>483</v>
      </c>
      <c r="D796" t="s">
        <v>510</v>
      </c>
      <c r="E796" t="s">
        <v>483</v>
      </c>
      <c r="F796" t="s">
        <v>529</v>
      </c>
      <c r="G796" t="s">
        <v>575</v>
      </c>
      <c r="H796">
        <v>0</v>
      </c>
      <c r="I796">
        <v>0</v>
      </c>
    </row>
    <row r="797" spans="1:9" x14ac:dyDescent="0.2">
      <c r="A797" t="s">
        <v>275</v>
      </c>
      <c r="B797" t="s">
        <v>344</v>
      </c>
      <c r="C797" t="s">
        <v>478</v>
      </c>
      <c r="D797" t="s">
        <v>505</v>
      </c>
      <c r="E797" t="s">
        <v>477</v>
      </c>
      <c r="F797" t="s">
        <v>530</v>
      </c>
      <c r="G797" t="s">
        <v>575</v>
      </c>
      <c r="H797">
        <v>0</v>
      </c>
      <c r="I797">
        <v>0</v>
      </c>
    </row>
    <row r="798" spans="1:9" x14ac:dyDescent="0.2">
      <c r="A798" t="s">
        <v>275</v>
      </c>
      <c r="B798" t="s">
        <v>345</v>
      </c>
      <c r="C798" t="s">
        <v>478</v>
      </c>
      <c r="D798" t="s">
        <v>505</v>
      </c>
      <c r="E798" t="s">
        <v>477</v>
      </c>
      <c r="F798" t="s">
        <v>530</v>
      </c>
      <c r="G798" t="s">
        <v>575</v>
      </c>
      <c r="H798">
        <v>0</v>
      </c>
      <c r="I798">
        <v>0</v>
      </c>
    </row>
    <row r="799" spans="1:9" x14ac:dyDescent="0.2">
      <c r="A799" t="s">
        <v>275</v>
      </c>
      <c r="B799" t="s">
        <v>346</v>
      </c>
      <c r="C799" t="s">
        <v>478</v>
      </c>
      <c r="D799" t="s">
        <v>505</v>
      </c>
      <c r="E799" t="s">
        <v>477</v>
      </c>
      <c r="F799" t="s">
        <v>530</v>
      </c>
      <c r="G799" t="s">
        <v>575</v>
      </c>
      <c r="H799">
        <v>0</v>
      </c>
      <c r="I799">
        <v>0</v>
      </c>
    </row>
    <row r="800" spans="1:9" x14ac:dyDescent="0.2">
      <c r="A800" t="s">
        <v>275</v>
      </c>
      <c r="B800" t="s">
        <v>347</v>
      </c>
      <c r="C800" t="s">
        <v>478</v>
      </c>
      <c r="D800" t="s">
        <v>505</v>
      </c>
      <c r="E800" t="s">
        <v>477</v>
      </c>
      <c r="F800" t="s">
        <v>530</v>
      </c>
      <c r="G800" t="s">
        <v>575</v>
      </c>
      <c r="H800">
        <v>0</v>
      </c>
      <c r="I800">
        <v>0</v>
      </c>
    </row>
    <row r="801" spans="1:9" x14ac:dyDescent="0.2">
      <c r="A801" t="s">
        <v>275</v>
      </c>
      <c r="B801" t="s">
        <v>348</v>
      </c>
      <c r="C801" t="s">
        <v>478</v>
      </c>
      <c r="D801" t="s">
        <v>505</v>
      </c>
      <c r="E801" t="s">
        <v>477</v>
      </c>
      <c r="F801" t="s">
        <v>530</v>
      </c>
      <c r="G801" t="s">
        <v>575</v>
      </c>
      <c r="H801">
        <v>0</v>
      </c>
      <c r="I801">
        <v>0</v>
      </c>
    </row>
    <row r="802" spans="1:9" x14ac:dyDescent="0.2">
      <c r="A802" t="s">
        <v>275</v>
      </c>
      <c r="B802" t="s">
        <v>349</v>
      </c>
      <c r="C802" t="s">
        <v>478</v>
      </c>
      <c r="D802" t="s">
        <v>505</v>
      </c>
      <c r="E802" t="s">
        <v>477</v>
      </c>
      <c r="F802" t="s">
        <v>530</v>
      </c>
      <c r="G802" t="s">
        <v>575</v>
      </c>
      <c r="H802">
        <v>0</v>
      </c>
      <c r="I802">
        <v>0</v>
      </c>
    </row>
    <row r="803" spans="1:9" x14ac:dyDescent="0.2">
      <c r="A803" t="s">
        <v>275</v>
      </c>
      <c r="B803" t="s">
        <v>350</v>
      </c>
      <c r="C803" t="s">
        <v>478</v>
      </c>
      <c r="D803" t="s">
        <v>505</v>
      </c>
      <c r="E803" t="s">
        <v>477</v>
      </c>
      <c r="F803" t="s">
        <v>530</v>
      </c>
      <c r="G803" t="s">
        <v>575</v>
      </c>
      <c r="H803">
        <v>0</v>
      </c>
      <c r="I803">
        <v>0</v>
      </c>
    </row>
    <row r="804" spans="1:9" x14ac:dyDescent="0.2">
      <c r="A804" t="s">
        <v>275</v>
      </c>
      <c r="B804" t="s">
        <v>351</v>
      </c>
      <c r="C804" t="s">
        <v>478</v>
      </c>
      <c r="D804" t="s">
        <v>505</v>
      </c>
      <c r="E804" t="s">
        <v>477</v>
      </c>
      <c r="F804" t="s">
        <v>530</v>
      </c>
      <c r="G804" t="s">
        <v>575</v>
      </c>
      <c r="H804">
        <v>0</v>
      </c>
      <c r="I804">
        <v>0</v>
      </c>
    </row>
    <row r="805" spans="1:9" x14ac:dyDescent="0.2">
      <c r="A805" t="s">
        <v>275</v>
      </c>
      <c r="B805" t="s">
        <v>352</v>
      </c>
      <c r="C805" t="s">
        <v>478</v>
      </c>
      <c r="D805" t="s">
        <v>505</v>
      </c>
      <c r="E805" t="s">
        <v>477</v>
      </c>
      <c r="F805" t="s">
        <v>530</v>
      </c>
      <c r="G805" t="s">
        <v>575</v>
      </c>
      <c r="H805">
        <v>0</v>
      </c>
      <c r="I805">
        <v>0</v>
      </c>
    </row>
    <row r="806" spans="1:9" x14ac:dyDescent="0.2">
      <c r="A806" t="s">
        <v>264</v>
      </c>
      <c r="B806" t="s">
        <v>353</v>
      </c>
      <c r="C806" t="s">
        <v>478</v>
      </c>
      <c r="D806" t="s">
        <v>505</v>
      </c>
      <c r="E806" t="s">
        <v>477</v>
      </c>
      <c r="F806" t="s">
        <v>516</v>
      </c>
      <c r="G806" t="s">
        <v>575</v>
      </c>
      <c r="H806">
        <v>0</v>
      </c>
      <c r="I806">
        <v>0</v>
      </c>
    </row>
    <row r="807" spans="1:9" x14ac:dyDescent="0.2">
      <c r="A807" t="s">
        <v>276</v>
      </c>
      <c r="B807" t="s">
        <v>354</v>
      </c>
      <c r="C807" t="s">
        <v>484</v>
      </c>
      <c r="D807" t="s">
        <v>511</v>
      </c>
      <c r="E807" t="s">
        <v>484</v>
      </c>
      <c r="F807" t="s">
        <v>531</v>
      </c>
      <c r="G807" t="s">
        <v>575</v>
      </c>
      <c r="H807">
        <v>0</v>
      </c>
      <c r="I807">
        <v>0</v>
      </c>
    </row>
    <row r="808" spans="1:9" x14ac:dyDescent="0.2">
      <c r="A808" t="s">
        <v>275</v>
      </c>
      <c r="B808" t="s">
        <v>355</v>
      </c>
      <c r="C808" t="s">
        <v>478</v>
      </c>
      <c r="D808" t="s">
        <v>505</v>
      </c>
      <c r="E808" t="s">
        <v>477</v>
      </c>
      <c r="F808" t="s">
        <v>530</v>
      </c>
      <c r="G808" t="s">
        <v>575</v>
      </c>
      <c r="H808">
        <v>0</v>
      </c>
      <c r="I808">
        <v>0</v>
      </c>
    </row>
    <row r="809" spans="1:9" x14ac:dyDescent="0.2">
      <c r="A809" t="s">
        <v>275</v>
      </c>
      <c r="B809" t="s">
        <v>356</v>
      </c>
      <c r="C809" t="s">
        <v>478</v>
      </c>
      <c r="D809" t="s">
        <v>505</v>
      </c>
      <c r="E809" t="s">
        <v>477</v>
      </c>
      <c r="F809" t="s">
        <v>530</v>
      </c>
      <c r="G809" t="s">
        <v>575</v>
      </c>
      <c r="H809">
        <v>0</v>
      </c>
      <c r="I809">
        <v>0</v>
      </c>
    </row>
    <row r="810" spans="1:9" x14ac:dyDescent="0.2">
      <c r="A810" t="s">
        <v>275</v>
      </c>
      <c r="B810" t="s">
        <v>357</v>
      </c>
      <c r="C810" t="s">
        <v>478</v>
      </c>
      <c r="D810" t="s">
        <v>505</v>
      </c>
      <c r="E810" t="s">
        <v>477</v>
      </c>
      <c r="F810" t="s">
        <v>530</v>
      </c>
      <c r="G810" t="s">
        <v>575</v>
      </c>
      <c r="H810">
        <v>0</v>
      </c>
      <c r="I810">
        <v>0</v>
      </c>
    </row>
    <row r="811" spans="1:9" x14ac:dyDescent="0.2">
      <c r="A811" t="s">
        <v>275</v>
      </c>
      <c r="B811" t="s">
        <v>358</v>
      </c>
      <c r="C811" t="s">
        <v>478</v>
      </c>
      <c r="D811" t="s">
        <v>505</v>
      </c>
      <c r="E811" t="s">
        <v>477</v>
      </c>
      <c r="F811" t="s">
        <v>530</v>
      </c>
      <c r="G811" t="s">
        <v>575</v>
      </c>
      <c r="H811">
        <v>0</v>
      </c>
      <c r="I811">
        <v>0</v>
      </c>
    </row>
    <row r="812" spans="1:9" x14ac:dyDescent="0.2">
      <c r="A812" t="s">
        <v>275</v>
      </c>
      <c r="B812" t="s">
        <v>359</v>
      </c>
      <c r="C812" t="s">
        <v>478</v>
      </c>
      <c r="D812" t="s">
        <v>505</v>
      </c>
      <c r="E812" t="s">
        <v>477</v>
      </c>
      <c r="F812" t="s">
        <v>530</v>
      </c>
      <c r="G812" t="s">
        <v>575</v>
      </c>
      <c r="H812">
        <v>0</v>
      </c>
      <c r="I812">
        <v>0</v>
      </c>
    </row>
    <row r="813" spans="1:9" x14ac:dyDescent="0.2">
      <c r="A813" t="s">
        <v>275</v>
      </c>
      <c r="B813" t="s">
        <v>360</v>
      </c>
      <c r="C813" t="s">
        <v>478</v>
      </c>
      <c r="D813" t="s">
        <v>505</v>
      </c>
      <c r="E813" t="s">
        <v>477</v>
      </c>
      <c r="F813" t="s">
        <v>530</v>
      </c>
      <c r="G813" t="s">
        <v>575</v>
      </c>
      <c r="H813">
        <v>0</v>
      </c>
      <c r="I813">
        <v>0</v>
      </c>
    </row>
    <row r="814" spans="1:9" x14ac:dyDescent="0.2">
      <c r="A814" t="s">
        <v>264</v>
      </c>
      <c r="B814" t="s">
        <v>361</v>
      </c>
      <c r="C814" t="s">
        <v>478</v>
      </c>
      <c r="D814" t="s">
        <v>505</v>
      </c>
      <c r="E814" t="s">
        <v>477</v>
      </c>
      <c r="F814" t="s">
        <v>516</v>
      </c>
      <c r="G814" t="s">
        <v>575</v>
      </c>
      <c r="H814">
        <v>0</v>
      </c>
      <c r="I814">
        <v>0</v>
      </c>
    </row>
    <row r="815" spans="1:9" x14ac:dyDescent="0.2">
      <c r="A815" t="s">
        <v>265</v>
      </c>
      <c r="B815" t="s">
        <v>362</v>
      </c>
      <c r="C815" t="s">
        <v>478</v>
      </c>
      <c r="D815" t="s">
        <v>505</v>
      </c>
      <c r="E815" t="s">
        <v>491</v>
      </c>
      <c r="F815" t="s">
        <v>532</v>
      </c>
      <c r="G815" t="s">
        <v>570</v>
      </c>
      <c r="H815">
        <v>0</v>
      </c>
      <c r="I815">
        <v>0</v>
      </c>
    </row>
    <row r="816" spans="1:9" x14ac:dyDescent="0.2">
      <c r="A816" t="s">
        <v>277</v>
      </c>
      <c r="B816" t="s">
        <v>363</v>
      </c>
      <c r="C816" t="s">
        <v>485</v>
      </c>
      <c r="D816" t="s">
        <v>512</v>
      </c>
      <c r="E816" t="s">
        <v>485</v>
      </c>
      <c r="F816" t="s">
        <v>525</v>
      </c>
      <c r="G816" t="s">
        <v>571</v>
      </c>
      <c r="H816">
        <v>0</v>
      </c>
      <c r="I816">
        <v>0</v>
      </c>
    </row>
    <row r="817" spans="1:9" x14ac:dyDescent="0.2">
      <c r="A817" t="s">
        <v>267</v>
      </c>
      <c r="B817" t="s">
        <v>364</v>
      </c>
      <c r="C817" t="s">
        <v>480</v>
      </c>
      <c r="D817" t="s">
        <v>507</v>
      </c>
      <c r="E817" t="s">
        <v>480</v>
      </c>
      <c r="F817" t="s">
        <v>533</v>
      </c>
      <c r="G817" t="s">
        <v>572</v>
      </c>
      <c r="H817">
        <v>0</v>
      </c>
      <c r="I817">
        <v>0</v>
      </c>
    </row>
    <row r="818" spans="1:9" x14ac:dyDescent="0.2">
      <c r="A818" t="s">
        <v>278</v>
      </c>
      <c r="B818" t="s">
        <v>365</v>
      </c>
      <c r="C818" t="s">
        <v>486</v>
      </c>
      <c r="D818" t="s">
        <v>513</v>
      </c>
      <c r="E818" t="s">
        <v>486</v>
      </c>
      <c r="F818" t="s">
        <v>534</v>
      </c>
      <c r="G818" t="s">
        <v>573</v>
      </c>
      <c r="H818">
        <v>0</v>
      </c>
      <c r="I818">
        <v>0</v>
      </c>
    </row>
    <row r="819" spans="1:9" x14ac:dyDescent="0.2">
      <c r="A819" t="s">
        <v>278</v>
      </c>
      <c r="B819" t="s">
        <v>366</v>
      </c>
      <c r="C819" t="s">
        <v>486</v>
      </c>
      <c r="D819" t="s">
        <v>513</v>
      </c>
      <c r="E819" t="s">
        <v>486</v>
      </c>
      <c r="F819" t="s">
        <v>534</v>
      </c>
      <c r="G819" t="s">
        <v>573</v>
      </c>
      <c r="H819">
        <v>0</v>
      </c>
      <c r="I819">
        <v>0</v>
      </c>
    </row>
    <row r="820" spans="1:9" x14ac:dyDescent="0.2">
      <c r="A820" t="s">
        <v>279</v>
      </c>
      <c r="B820" t="s">
        <v>367</v>
      </c>
      <c r="C820" t="s">
        <v>487</v>
      </c>
      <c r="D820" t="s">
        <v>514</v>
      </c>
      <c r="E820" t="s">
        <v>487</v>
      </c>
      <c r="F820" t="s">
        <v>535</v>
      </c>
      <c r="G820" t="s">
        <v>573</v>
      </c>
      <c r="H820">
        <v>0</v>
      </c>
      <c r="I820">
        <v>0</v>
      </c>
    </row>
    <row r="821" spans="1:9" x14ac:dyDescent="0.2">
      <c r="A821" t="s">
        <v>279</v>
      </c>
      <c r="B821" t="s">
        <v>368</v>
      </c>
      <c r="C821" t="s">
        <v>487</v>
      </c>
      <c r="D821" t="s">
        <v>514</v>
      </c>
      <c r="E821" t="s">
        <v>487</v>
      </c>
      <c r="F821" t="s">
        <v>527</v>
      </c>
      <c r="G821" t="s">
        <v>573</v>
      </c>
      <c r="H821">
        <v>0</v>
      </c>
      <c r="I821">
        <v>0</v>
      </c>
    </row>
    <row r="822" spans="1:9" x14ac:dyDescent="0.2">
      <c r="A822" t="s">
        <v>280</v>
      </c>
      <c r="B822" t="s">
        <v>369</v>
      </c>
      <c r="C822" t="s">
        <v>482</v>
      </c>
      <c r="D822">
        <v>0</v>
      </c>
      <c r="E822" t="s">
        <v>482</v>
      </c>
      <c r="F822" t="s">
        <v>526</v>
      </c>
      <c r="G822" t="s">
        <v>572</v>
      </c>
      <c r="H822">
        <v>0</v>
      </c>
      <c r="I822">
        <v>0</v>
      </c>
    </row>
    <row r="823" spans="1:9" x14ac:dyDescent="0.2">
      <c r="A823" t="s">
        <v>280</v>
      </c>
      <c r="B823" t="s">
        <v>370</v>
      </c>
      <c r="C823" t="s">
        <v>482</v>
      </c>
      <c r="D823">
        <v>0</v>
      </c>
      <c r="E823" t="s">
        <v>482</v>
      </c>
      <c r="F823" t="s">
        <v>527</v>
      </c>
      <c r="G823" t="s">
        <v>572</v>
      </c>
      <c r="H823">
        <v>0</v>
      </c>
      <c r="I823">
        <v>0</v>
      </c>
    </row>
    <row r="824" spans="1:9" x14ac:dyDescent="0.2">
      <c r="A824" t="s">
        <v>272</v>
      </c>
      <c r="B824" t="s">
        <v>371</v>
      </c>
      <c r="C824" t="s">
        <v>482</v>
      </c>
      <c r="D824">
        <v>0</v>
      </c>
      <c r="E824" t="s">
        <v>482</v>
      </c>
      <c r="F824" t="s">
        <v>527</v>
      </c>
      <c r="G824" t="s">
        <v>572</v>
      </c>
      <c r="H824">
        <v>0</v>
      </c>
      <c r="I824">
        <v>0</v>
      </c>
    </row>
    <row r="825" spans="1:9" x14ac:dyDescent="0.2">
      <c r="A825" t="s">
        <v>272</v>
      </c>
      <c r="B825" t="s">
        <v>372</v>
      </c>
      <c r="C825" t="s">
        <v>488</v>
      </c>
      <c r="D825">
        <v>0</v>
      </c>
      <c r="E825" t="s">
        <v>488</v>
      </c>
      <c r="F825" t="s">
        <v>528</v>
      </c>
      <c r="G825" t="s">
        <v>572</v>
      </c>
      <c r="H825">
        <v>0</v>
      </c>
      <c r="I825">
        <v>0</v>
      </c>
    </row>
    <row r="826" spans="1:9" x14ac:dyDescent="0.2">
      <c r="A826" t="s">
        <v>281</v>
      </c>
      <c r="B826" t="s">
        <v>373</v>
      </c>
      <c r="C826" t="s">
        <v>482</v>
      </c>
      <c r="D826">
        <v>0</v>
      </c>
      <c r="E826" t="s">
        <v>482</v>
      </c>
      <c r="F826" t="s">
        <v>527</v>
      </c>
      <c r="G826" t="s">
        <v>572</v>
      </c>
      <c r="H826">
        <v>0</v>
      </c>
      <c r="I826">
        <v>0</v>
      </c>
    </row>
    <row r="827" spans="1:9" x14ac:dyDescent="0.2">
      <c r="A827" t="s">
        <v>273</v>
      </c>
      <c r="B827" t="s">
        <v>374</v>
      </c>
      <c r="C827" t="s">
        <v>481</v>
      </c>
      <c r="D827">
        <v>0</v>
      </c>
      <c r="E827" t="s">
        <v>481</v>
      </c>
      <c r="F827" t="s">
        <v>526</v>
      </c>
      <c r="G827" t="s">
        <v>572</v>
      </c>
      <c r="H827">
        <v>0</v>
      </c>
      <c r="I827">
        <v>0</v>
      </c>
    </row>
    <row r="828" spans="1:9" x14ac:dyDescent="0.2">
      <c r="A828" t="s">
        <v>282</v>
      </c>
      <c r="B828" t="s">
        <v>375</v>
      </c>
      <c r="C828" t="s">
        <v>489</v>
      </c>
      <c r="D828">
        <v>0</v>
      </c>
      <c r="E828" t="s">
        <v>489</v>
      </c>
      <c r="F828" t="s">
        <v>526</v>
      </c>
      <c r="G828" t="s">
        <v>572</v>
      </c>
      <c r="H828">
        <v>0</v>
      </c>
      <c r="I828">
        <v>0</v>
      </c>
    </row>
    <row r="829" spans="1:9" x14ac:dyDescent="0.2">
      <c r="A829" t="s">
        <v>283</v>
      </c>
      <c r="B829" t="s">
        <v>376</v>
      </c>
      <c r="C829" t="s">
        <v>490</v>
      </c>
      <c r="D829">
        <v>0</v>
      </c>
      <c r="E829" t="s">
        <v>478</v>
      </c>
      <c r="F829" t="s">
        <v>536</v>
      </c>
      <c r="G829" t="s">
        <v>575</v>
      </c>
      <c r="H829">
        <v>0</v>
      </c>
      <c r="I829">
        <v>0</v>
      </c>
    </row>
    <row r="830" spans="1:9" x14ac:dyDescent="0.2">
      <c r="A830" t="s">
        <v>275</v>
      </c>
      <c r="B830" t="s">
        <v>377</v>
      </c>
      <c r="C830" t="s">
        <v>478</v>
      </c>
      <c r="D830">
        <v>0</v>
      </c>
      <c r="E830" t="s">
        <v>477</v>
      </c>
      <c r="F830" t="s">
        <v>537</v>
      </c>
      <c r="G830" t="s">
        <v>575</v>
      </c>
      <c r="H830">
        <v>0</v>
      </c>
      <c r="I830">
        <v>0</v>
      </c>
    </row>
    <row r="831" spans="1:9" x14ac:dyDescent="0.2">
      <c r="A831" t="s">
        <v>275</v>
      </c>
      <c r="B831" t="s">
        <v>378</v>
      </c>
      <c r="C831" t="s">
        <v>478</v>
      </c>
      <c r="D831">
        <v>0</v>
      </c>
      <c r="E831" t="s">
        <v>477</v>
      </c>
      <c r="F831" t="s">
        <v>538</v>
      </c>
      <c r="G831" t="s">
        <v>575</v>
      </c>
      <c r="H831">
        <v>0</v>
      </c>
      <c r="I831">
        <v>0</v>
      </c>
    </row>
    <row r="832" spans="1:9" x14ac:dyDescent="0.2">
      <c r="A832" t="s">
        <v>275</v>
      </c>
      <c r="B832" t="s">
        <v>379</v>
      </c>
      <c r="C832" t="s">
        <v>478</v>
      </c>
      <c r="D832">
        <v>0</v>
      </c>
      <c r="E832" t="s">
        <v>477</v>
      </c>
      <c r="F832" t="s">
        <v>538</v>
      </c>
      <c r="G832" t="s">
        <v>575</v>
      </c>
      <c r="H832">
        <v>0</v>
      </c>
      <c r="I832">
        <v>0</v>
      </c>
    </row>
    <row r="833" spans="1:9" x14ac:dyDescent="0.2">
      <c r="A833" t="s">
        <v>275</v>
      </c>
      <c r="B833" t="s">
        <v>380</v>
      </c>
      <c r="C833" t="s">
        <v>478</v>
      </c>
      <c r="D833">
        <v>0</v>
      </c>
      <c r="E833" t="s">
        <v>477</v>
      </c>
      <c r="F833" t="s">
        <v>530</v>
      </c>
      <c r="G833" t="s">
        <v>575</v>
      </c>
      <c r="H833">
        <v>0</v>
      </c>
      <c r="I833">
        <v>0</v>
      </c>
    </row>
    <row r="834" spans="1:9" x14ac:dyDescent="0.2">
      <c r="A834" t="s">
        <v>275</v>
      </c>
      <c r="B834" t="s">
        <v>381</v>
      </c>
      <c r="C834" t="s">
        <v>478</v>
      </c>
      <c r="D834">
        <v>0</v>
      </c>
      <c r="E834" t="s">
        <v>477</v>
      </c>
      <c r="F834" t="s">
        <v>530</v>
      </c>
      <c r="G834" t="s">
        <v>575</v>
      </c>
      <c r="H834">
        <v>0</v>
      </c>
      <c r="I834">
        <v>0</v>
      </c>
    </row>
    <row r="835" spans="1:9" x14ac:dyDescent="0.2">
      <c r="A835" t="s">
        <v>275</v>
      </c>
      <c r="B835" t="s">
        <v>382</v>
      </c>
      <c r="C835" t="s">
        <v>478</v>
      </c>
      <c r="D835">
        <v>0</v>
      </c>
      <c r="E835" t="s">
        <v>477</v>
      </c>
      <c r="F835" t="s">
        <v>530</v>
      </c>
      <c r="G835" t="s">
        <v>575</v>
      </c>
      <c r="H835">
        <v>0</v>
      </c>
      <c r="I835">
        <v>0</v>
      </c>
    </row>
    <row r="836" spans="1:9" x14ac:dyDescent="0.2">
      <c r="A836" t="s">
        <v>275</v>
      </c>
      <c r="B836" t="s">
        <v>383</v>
      </c>
      <c r="C836" t="s">
        <v>478</v>
      </c>
      <c r="D836">
        <v>0</v>
      </c>
      <c r="E836" t="s">
        <v>477</v>
      </c>
      <c r="F836" t="s">
        <v>530</v>
      </c>
      <c r="G836" t="s">
        <v>575</v>
      </c>
      <c r="H836">
        <v>0</v>
      </c>
      <c r="I836">
        <v>0</v>
      </c>
    </row>
    <row r="837" spans="1:9" x14ac:dyDescent="0.2">
      <c r="A837" t="s">
        <v>264</v>
      </c>
      <c r="B837" t="s">
        <v>384</v>
      </c>
      <c r="C837" t="s">
        <v>478</v>
      </c>
      <c r="D837">
        <v>0</v>
      </c>
      <c r="E837" t="s">
        <v>477</v>
      </c>
      <c r="F837" t="s">
        <v>516</v>
      </c>
      <c r="G837" t="s">
        <v>575</v>
      </c>
      <c r="H837">
        <v>0</v>
      </c>
      <c r="I837">
        <v>0</v>
      </c>
    </row>
    <row r="838" spans="1:9" x14ac:dyDescent="0.2">
      <c r="A838" t="s">
        <v>284</v>
      </c>
      <c r="B838" t="s">
        <v>385</v>
      </c>
      <c r="C838" t="s">
        <v>477</v>
      </c>
      <c r="D838">
        <v>0</v>
      </c>
      <c r="E838" t="s">
        <v>477</v>
      </c>
      <c r="F838" t="s">
        <v>539</v>
      </c>
      <c r="G838" t="s">
        <v>570</v>
      </c>
      <c r="H838">
        <v>0</v>
      </c>
      <c r="I838">
        <v>0</v>
      </c>
    </row>
    <row r="839" spans="1:9" x14ac:dyDescent="0.2">
      <c r="A839" t="s">
        <v>285</v>
      </c>
      <c r="B839" t="s">
        <v>386</v>
      </c>
      <c r="C839" t="s">
        <v>477</v>
      </c>
      <c r="D839">
        <v>0</v>
      </c>
      <c r="E839" t="s">
        <v>477</v>
      </c>
      <c r="F839" t="s">
        <v>531</v>
      </c>
      <c r="G839" t="s">
        <v>570</v>
      </c>
      <c r="H839">
        <v>0</v>
      </c>
      <c r="I839">
        <v>0</v>
      </c>
    </row>
    <row r="840" spans="1:9" x14ac:dyDescent="0.2">
      <c r="A840" t="s">
        <v>286</v>
      </c>
      <c r="B840" t="s">
        <v>387</v>
      </c>
      <c r="C840" t="s">
        <v>486</v>
      </c>
      <c r="D840">
        <v>0</v>
      </c>
      <c r="E840" t="s">
        <v>486</v>
      </c>
      <c r="F840" t="s">
        <v>540</v>
      </c>
      <c r="G840" t="s">
        <v>572</v>
      </c>
      <c r="H840">
        <v>0</v>
      </c>
      <c r="I840">
        <v>0</v>
      </c>
    </row>
    <row r="841" spans="1:9" x14ac:dyDescent="0.2">
      <c r="A841" t="s">
        <v>286</v>
      </c>
      <c r="B841" t="s">
        <v>388</v>
      </c>
      <c r="C841" t="s">
        <v>491</v>
      </c>
      <c r="D841">
        <v>0</v>
      </c>
      <c r="E841" t="s">
        <v>491</v>
      </c>
      <c r="F841" t="s">
        <v>524</v>
      </c>
      <c r="G841" t="s">
        <v>573</v>
      </c>
      <c r="H841">
        <v>0</v>
      </c>
      <c r="I841">
        <v>0</v>
      </c>
    </row>
    <row r="842" spans="1:9" x14ac:dyDescent="0.2">
      <c r="A842" t="s">
        <v>286</v>
      </c>
      <c r="B842" t="s">
        <v>389</v>
      </c>
      <c r="C842" t="s">
        <v>491</v>
      </c>
      <c r="D842">
        <v>0</v>
      </c>
      <c r="E842" t="s">
        <v>491</v>
      </c>
      <c r="F842" t="s">
        <v>524</v>
      </c>
      <c r="G842" t="s">
        <v>573</v>
      </c>
      <c r="H842">
        <v>0</v>
      </c>
      <c r="I842">
        <v>0</v>
      </c>
    </row>
    <row r="843" spans="1:9" x14ac:dyDescent="0.2">
      <c r="A843" t="s">
        <v>286</v>
      </c>
      <c r="B843" t="s">
        <v>390</v>
      </c>
      <c r="C843" t="s">
        <v>491</v>
      </c>
      <c r="D843">
        <v>0</v>
      </c>
      <c r="E843" t="s">
        <v>491</v>
      </c>
      <c r="F843" t="s">
        <v>524</v>
      </c>
      <c r="G843" t="s">
        <v>573</v>
      </c>
      <c r="H843">
        <v>0</v>
      </c>
      <c r="I843">
        <v>0</v>
      </c>
    </row>
    <row r="844" spans="1:9" x14ac:dyDescent="0.2">
      <c r="A844" t="s">
        <v>286</v>
      </c>
      <c r="B844" t="s">
        <v>391</v>
      </c>
      <c r="C844" t="s">
        <v>491</v>
      </c>
      <c r="D844">
        <v>0</v>
      </c>
      <c r="E844" t="s">
        <v>491</v>
      </c>
      <c r="F844" t="s">
        <v>524</v>
      </c>
      <c r="G844" t="s">
        <v>573</v>
      </c>
      <c r="H844">
        <v>0</v>
      </c>
      <c r="I844">
        <v>0</v>
      </c>
    </row>
    <row r="845" spans="1:9" x14ac:dyDescent="0.2">
      <c r="A845" t="s">
        <v>286</v>
      </c>
      <c r="B845" t="s">
        <v>392</v>
      </c>
      <c r="C845" t="s">
        <v>491</v>
      </c>
      <c r="D845">
        <v>0</v>
      </c>
      <c r="E845" t="s">
        <v>491</v>
      </c>
      <c r="F845" t="s">
        <v>524</v>
      </c>
      <c r="G845" t="s">
        <v>573</v>
      </c>
      <c r="H845">
        <v>0</v>
      </c>
      <c r="I845">
        <v>0</v>
      </c>
    </row>
    <row r="846" spans="1:9" x14ac:dyDescent="0.2">
      <c r="A846" t="s">
        <v>286</v>
      </c>
      <c r="B846" t="s">
        <v>393</v>
      </c>
      <c r="C846" t="s">
        <v>491</v>
      </c>
      <c r="D846">
        <v>0</v>
      </c>
      <c r="E846" t="s">
        <v>491</v>
      </c>
      <c r="F846" t="s">
        <v>524</v>
      </c>
      <c r="G846" t="s">
        <v>573</v>
      </c>
      <c r="H846">
        <v>0</v>
      </c>
      <c r="I846">
        <v>0</v>
      </c>
    </row>
    <row r="847" spans="1:9" x14ac:dyDescent="0.2">
      <c r="A847" t="s">
        <v>286</v>
      </c>
      <c r="B847" t="s">
        <v>394</v>
      </c>
      <c r="C847" t="s">
        <v>491</v>
      </c>
      <c r="D847">
        <v>0</v>
      </c>
      <c r="E847" t="s">
        <v>491</v>
      </c>
      <c r="F847" t="s">
        <v>524</v>
      </c>
      <c r="G847" t="s">
        <v>573</v>
      </c>
      <c r="H847">
        <v>0</v>
      </c>
      <c r="I847">
        <v>0</v>
      </c>
    </row>
    <row r="848" spans="1:9" x14ac:dyDescent="0.2">
      <c r="A848" t="s">
        <v>286</v>
      </c>
      <c r="B848" t="s">
        <v>394</v>
      </c>
      <c r="C848" t="s">
        <v>491</v>
      </c>
      <c r="D848">
        <v>0</v>
      </c>
      <c r="E848" t="s">
        <v>491</v>
      </c>
      <c r="F848" t="s">
        <v>524</v>
      </c>
      <c r="G848" t="s">
        <v>573</v>
      </c>
      <c r="H848">
        <v>0</v>
      </c>
      <c r="I848">
        <v>0</v>
      </c>
    </row>
    <row r="849" spans="1:9" x14ac:dyDescent="0.2">
      <c r="A849" t="s">
        <v>286</v>
      </c>
      <c r="B849" t="s">
        <v>395</v>
      </c>
      <c r="C849" t="s">
        <v>491</v>
      </c>
      <c r="D849">
        <v>0</v>
      </c>
      <c r="E849" t="s">
        <v>491</v>
      </c>
      <c r="F849" t="s">
        <v>524</v>
      </c>
      <c r="G849" t="s">
        <v>573</v>
      </c>
      <c r="H849">
        <v>0</v>
      </c>
      <c r="I849">
        <v>0</v>
      </c>
    </row>
    <row r="850" spans="1:9" x14ac:dyDescent="0.2">
      <c r="A850" t="s">
        <v>286</v>
      </c>
      <c r="B850" t="s">
        <v>396</v>
      </c>
      <c r="C850" t="s">
        <v>486</v>
      </c>
      <c r="D850">
        <v>0</v>
      </c>
      <c r="E850" t="s">
        <v>486</v>
      </c>
      <c r="F850" t="s">
        <v>541</v>
      </c>
      <c r="G850" t="s">
        <v>573</v>
      </c>
      <c r="H850">
        <v>0</v>
      </c>
      <c r="I850">
        <v>0</v>
      </c>
    </row>
    <row r="851" spans="1:9" x14ac:dyDescent="0.2">
      <c r="A851" t="s">
        <v>286</v>
      </c>
      <c r="B851" t="s">
        <v>397</v>
      </c>
      <c r="C851" t="s">
        <v>486</v>
      </c>
      <c r="D851">
        <v>0</v>
      </c>
      <c r="E851" t="s">
        <v>486</v>
      </c>
      <c r="F851" t="s">
        <v>541</v>
      </c>
      <c r="G851" t="s">
        <v>573</v>
      </c>
      <c r="H851">
        <v>0</v>
      </c>
      <c r="I851">
        <v>0</v>
      </c>
    </row>
    <row r="852" spans="1:9" x14ac:dyDescent="0.2">
      <c r="A852" t="s">
        <v>286</v>
      </c>
      <c r="B852" t="s">
        <v>398</v>
      </c>
      <c r="C852" t="s">
        <v>486</v>
      </c>
      <c r="D852">
        <v>0</v>
      </c>
      <c r="E852" t="s">
        <v>486</v>
      </c>
      <c r="F852" t="s">
        <v>541</v>
      </c>
      <c r="G852" t="s">
        <v>573</v>
      </c>
      <c r="H852">
        <v>0</v>
      </c>
      <c r="I852">
        <v>0</v>
      </c>
    </row>
    <row r="853" spans="1:9" x14ac:dyDescent="0.2">
      <c r="A853" t="s">
        <v>287</v>
      </c>
      <c r="B853" t="s">
        <v>399</v>
      </c>
      <c r="C853" t="s">
        <v>477</v>
      </c>
      <c r="D853">
        <v>0</v>
      </c>
      <c r="E853" t="s">
        <v>477</v>
      </c>
      <c r="F853" t="s">
        <v>542</v>
      </c>
      <c r="G853" t="s">
        <v>573</v>
      </c>
      <c r="H853">
        <v>0</v>
      </c>
      <c r="I853">
        <v>0</v>
      </c>
    </row>
    <row r="854" spans="1:9" x14ac:dyDescent="0.2">
      <c r="A854" t="s">
        <v>288</v>
      </c>
      <c r="B854" t="s">
        <v>400</v>
      </c>
      <c r="C854" t="s">
        <v>477</v>
      </c>
      <c r="D854">
        <v>0</v>
      </c>
      <c r="E854" t="s">
        <v>477</v>
      </c>
      <c r="F854" t="s">
        <v>543</v>
      </c>
      <c r="G854" t="s">
        <v>573</v>
      </c>
      <c r="H854">
        <v>0</v>
      </c>
      <c r="I854">
        <v>0</v>
      </c>
    </row>
    <row r="855" spans="1:9" x14ac:dyDescent="0.2">
      <c r="A855" t="s">
        <v>285</v>
      </c>
      <c r="B855" t="s">
        <v>401</v>
      </c>
      <c r="C855" t="s">
        <v>477</v>
      </c>
      <c r="D855">
        <v>0</v>
      </c>
      <c r="E855" t="s">
        <v>477</v>
      </c>
      <c r="F855" t="s">
        <v>529</v>
      </c>
      <c r="G855" t="s">
        <v>570</v>
      </c>
      <c r="H855">
        <v>0</v>
      </c>
      <c r="I855">
        <v>0</v>
      </c>
    </row>
    <row r="856" spans="1:9" x14ac:dyDescent="0.2">
      <c r="A856" t="s">
        <v>289</v>
      </c>
      <c r="B856" t="s">
        <v>402</v>
      </c>
      <c r="C856" t="s">
        <v>492</v>
      </c>
      <c r="D856">
        <v>0</v>
      </c>
      <c r="E856" t="s">
        <v>492</v>
      </c>
      <c r="F856" t="s">
        <v>529</v>
      </c>
      <c r="G856" t="s">
        <v>572</v>
      </c>
      <c r="H856">
        <v>0</v>
      </c>
      <c r="I856">
        <v>0</v>
      </c>
    </row>
    <row r="857" spans="1:9" x14ac:dyDescent="0.2">
      <c r="A857" t="s">
        <v>289</v>
      </c>
      <c r="B857" t="s">
        <v>403</v>
      </c>
      <c r="C857" t="s">
        <v>492</v>
      </c>
      <c r="D857">
        <v>0</v>
      </c>
      <c r="E857" t="s">
        <v>492</v>
      </c>
      <c r="F857" t="s">
        <v>543</v>
      </c>
      <c r="G857" t="s">
        <v>572</v>
      </c>
      <c r="H857">
        <v>0</v>
      </c>
      <c r="I857">
        <v>0</v>
      </c>
    </row>
    <row r="858" spans="1:9" x14ac:dyDescent="0.2">
      <c r="A858" t="s">
        <v>289</v>
      </c>
      <c r="B858" t="s">
        <v>404</v>
      </c>
      <c r="C858" t="s">
        <v>492</v>
      </c>
      <c r="D858">
        <v>0</v>
      </c>
      <c r="E858" t="s">
        <v>492</v>
      </c>
      <c r="F858" t="s">
        <v>529</v>
      </c>
      <c r="G858" t="s">
        <v>572</v>
      </c>
      <c r="H858">
        <v>0</v>
      </c>
      <c r="I858">
        <v>0</v>
      </c>
    </row>
    <row r="859" spans="1:9" x14ac:dyDescent="0.2">
      <c r="A859" t="s">
        <v>286</v>
      </c>
      <c r="B859" t="s">
        <v>405</v>
      </c>
      <c r="C859" t="s">
        <v>486</v>
      </c>
      <c r="D859">
        <v>0</v>
      </c>
      <c r="E859" t="s">
        <v>486</v>
      </c>
      <c r="F859" t="s">
        <v>540</v>
      </c>
      <c r="G859" t="s">
        <v>572</v>
      </c>
      <c r="H859">
        <v>0</v>
      </c>
      <c r="I859">
        <v>0</v>
      </c>
    </row>
    <row r="860" spans="1:9" x14ac:dyDescent="0.2">
      <c r="A860" t="s">
        <v>286</v>
      </c>
      <c r="B860" t="s">
        <v>406</v>
      </c>
      <c r="C860" t="s">
        <v>486</v>
      </c>
      <c r="D860">
        <v>0</v>
      </c>
      <c r="E860" t="s">
        <v>486</v>
      </c>
      <c r="F860" t="s">
        <v>536</v>
      </c>
      <c r="G860" t="s">
        <v>572</v>
      </c>
      <c r="H860">
        <v>0</v>
      </c>
      <c r="I860">
        <v>0</v>
      </c>
    </row>
    <row r="861" spans="1:9" x14ac:dyDescent="0.2">
      <c r="A861" t="s">
        <v>290</v>
      </c>
      <c r="B861" t="s">
        <v>407</v>
      </c>
      <c r="C861" t="s">
        <v>478</v>
      </c>
      <c r="D861">
        <v>0</v>
      </c>
      <c r="E861" t="s">
        <v>478</v>
      </c>
      <c r="F861" t="s">
        <v>544</v>
      </c>
      <c r="G861" t="s">
        <v>569</v>
      </c>
      <c r="H861">
        <v>0</v>
      </c>
      <c r="I861">
        <v>0</v>
      </c>
    </row>
    <row r="862" spans="1:9" x14ac:dyDescent="0.2">
      <c r="A862" t="s">
        <v>291</v>
      </c>
      <c r="B862" t="s">
        <v>408</v>
      </c>
      <c r="C862" t="s">
        <v>478</v>
      </c>
      <c r="D862">
        <v>0</v>
      </c>
      <c r="E862" t="s">
        <v>478</v>
      </c>
      <c r="F862" t="s">
        <v>545</v>
      </c>
      <c r="G862" t="s">
        <v>576</v>
      </c>
      <c r="H862">
        <v>0</v>
      </c>
      <c r="I862">
        <v>0</v>
      </c>
    </row>
    <row r="863" spans="1:9" x14ac:dyDescent="0.2">
      <c r="A863" t="s">
        <v>292</v>
      </c>
      <c r="B863" t="s">
        <v>409</v>
      </c>
      <c r="C863" t="s">
        <v>478</v>
      </c>
      <c r="D863">
        <v>0</v>
      </c>
      <c r="E863" t="s">
        <v>478</v>
      </c>
      <c r="F863" t="s">
        <v>546</v>
      </c>
      <c r="G863" t="s">
        <v>576</v>
      </c>
      <c r="H863">
        <v>0</v>
      </c>
      <c r="I863">
        <v>0</v>
      </c>
    </row>
    <row r="864" spans="1:9" x14ac:dyDescent="0.2">
      <c r="A864" t="s">
        <v>292</v>
      </c>
      <c r="B864" t="s">
        <v>410</v>
      </c>
      <c r="C864" t="s">
        <v>478</v>
      </c>
      <c r="D864">
        <v>0</v>
      </c>
      <c r="E864" t="s">
        <v>478</v>
      </c>
      <c r="F864" t="s">
        <v>547</v>
      </c>
      <c r="G864" t="s">
        <v>576</v>
      </c>
      <c r="H864">
        <v>0</v>
      </c>
      <c r="I864">
        <v>0</v>
      </c>
    </row>
    <row r="865" spans="1:9" x14ac:dyDescent="0.2">
      <c r="A865" t="s">
        <v>268</v>
      </c>
      <c r="B865" t="s">
        <v>411</v>
      </c>
      <c r="C865" t="s">
        <v>478</v>
      </c>
      <c r="D865">
        <v>0</v>
      </c>
      <c r="E865" t="s">
        <v>478</v>
      </c>
      <c r="F865" t="s">
        <v>520</v>
      </c>
      <c r="G865" t="s">
        <v>576</v>
      </c>
      <c r="H865">
        <v>0</v>
      </c>
      <c r="I865">
        <v>0</v>
      </c>
    </row>
    <row r="866" spans="1:9" x14ac:dyDescent="0.2">
      <c r="A866" t="s">
        <v>293</v>
      </c>
      <c r="B866" t="s">
        <v>412</v>
      </c>
      <c r="C866" t="s">
        <v>478</v>
      </c>
      <c r="D866">
        <v>0</v>
      </c>
      <c r="E866" t="s">
        <v>478</v>
      </c>
      <c r="F866" t="s">
        <v>536</v>
      </c>
      <c r="G866" t="s">
        <v>571</v>
      </c>
      <c r="H866">
        <v>0</v>
      </c>
      <c r="I866">
        <v>0</v>
      </c>
    </row>
    <row r="867" spans="1:9" x14ac:dyDescent="0.2">
      <c r="A867" t="s">
        <v>294</v>
      </c>
      <c r="B867" t="s">
        <v>413</v>
      </c>
      <c r="C867" t="s">
        <v>493</v>
      </c>
      <c r="D867">
        <v>0</v>
      </c>
      <c r="E867" t="s">
        <v>493</v>
      </c>
      <c r="F867" t="s">
        <v>548</v>
      </c>
      <c r="G867" t="s">
        <v>577</v>
      </c>
      <c r="H867">
        <v>0</v>
      </c>
      <c r="I867">
        <v>0</v>
      </c>
    </row>
    <row r="868" spans="1:9" x14ac:dyDescent="0.2">
      <c r="A868" t="s">
        <v>295</v>
      </c>
      <c r="B868" t="s">
        <v>414</v>
      </c>
      <c r="C868" t="s">
        <v>494</v>
      </c>
      <c r="D868">
        <v>0</v>
      </c>
      <c r="E868" t="s">
        <v>494</v>
      </c>
      <c r="F868" t="s">
        <v>549</v>
      </c>
      <c r="G868" t="s">
        <v>577</v>
      </c>
      <c r="H868">
        <v>0</v>
      </c>
      <c r="I868">
        <v>0</v>
      </c>
    </row>
    <row r="869" spans="1:9" x14ac:dyDescent="0.2">
      <c r="A869" t="s">
        <v>296</v>
      </c>
      <c r="B869" t="s">
        <v>415</v>
      </c>
      <c r="C869" t="s">
        <v>494</v>
      </c>
      <c r="D869">
        <v>0</v>
      </c>
      <c r="E869" t="s">
        <v>494</v>
      </c>
      <c r="F869" t="s">
        <v>550</v>
      </c>
      <c r="G869" t="s">
        <v>577</v>
      </c>
      <c r="H869">
        <v>0</v>
      </c>
      <c r="I869">
        <v>0</v>
      </c>
    </row>
    <row r="870" spans="1:9" x14ac:dyDescent="0.2">
      <c r="A870" t="s">
        <v>297</v>
      </c>
      <c r="B870" t="s">
        <v>416</v>
      </c>
      <c r="C870" t="s">
        <v>488</v>
      </c>
      <c r="D870">
        <v>0</v>
      </c>
      <c r="E870" t="s">
        <v>488</v>
      </c>
      <c r="F870" t="s">
        <v>551</v>
      </c>
      <c r="G870" t="s">
        <v>577</v>
      </c>
      <c r="H870">
        <v>0</v>
      </c>
      <c r="I870">
        <v>0</v>
      </c>
    </row>
    <row r="871" spans="1:9" x14ac:dyDescent="0.2">
      <c r="A871" t="s">
        <v>298</v>
      </c>
      <c r="B871" t="s">
        <v>417</v>
      </c>
      <c r="C871" t="s">
        <v>495</v>
      </c>
      <c r="D871">
        <v>0</v>
      </c>
      <c r="E871" t="s">
        <v>495</v>
      </c>
      <c r="F871" t="s">
        <v>552</v>
      </c>
      <c r="G871" t="s">
        <v>577</v>
      </c>
      <c r="H871">
        <v>0</v>
      </c>
      <c r="I871">
        <v>0</v>
      </c>
    </row>
    <row r="872" spans="1:9" x14ac:dyDescent="0.2">
      <c r="A872" t="s">
        <v>299</v>
      </c>
      <c r="B872" t="s">
        <v>418</v>
      </c>
      <c r="C872" t="s">
        <v>496</v>
      </c>
      <c r="D872">
        <v>0</v>
      </c>
      <c r="E872" t="s">
        <v>496</v>
      </c>
      <c r="F872" t="s">
        <v>516</v>
      </c>
      <c r="G872" t="s">
        <v>577</v>
      </c>
      <c r="H872">
        <v>0</v>
      </c>
      <c r="I872">
        <v>0</v>
      </c>
    </row>
    <row r="873" spans="1:9" x14ac:dyDescent="0.2">
      <c r="A873" t="s">
        <v>300</v>
      </c>
      <c r="B873" t="s">
        <v>419</v>
      </c>
      <c r="C873" t="s">
        <v>497</v>
      </c>
      <c r="D873">
        <v>0</v>
      </c>
      <c r="E873" t="s">
        <v>497</v>
      </c>
      <c r="F873" t="s">
        <v>553</v>
      </c>
      <c r="G873" t="s">
        <v>577</v>
      </c>
      <c r="H873">
        <v>0</v>
      </c>
      <c r="I873">
        <v>0</v>
      </c>
    </row>
    <row r="874" spans="1:9" x14ac:dyDescent="0.2">
      <c r="A874" t="s">
        <v>301</v>
      </c>
      <c r="B874" t="s">
        <v>420</v>
      </c>
      <c r="C874" t="s">
        <v>478</v>
      </c>
      <c r="D874">
        <v>0</v>
      </c>
      <c r="E874" t="s">
        <v>478</v>
      </c>
      <c r="F874" t="s">
        <v>516</v>
      </c>
      <c r="G874" t="s">
        <v>576</v>
      </c>
      <c r="H874">
        <v>0</v>
      </c>
      <c r="I874">
        <v>0</v>
      </c>
    </row>
    <row r="875" spans="1:9" x14ac:dyDescent="0.2">
      <c r="A875" t="s">
        <v>283</v>
      </c>
      <c r="B875" t="s">
        <v>421</v>
      </c>
      <c r="C875" t="s">
        <v>477</v>
      </c>
      <c r="D875">
        <v>0</v>
      </c>
      <c r="E875" t="s">
        <v>477</v>
      </c>
      <c r="F875" t="s">
        <v>540</v>
      </c>
      <c r="G875" t="s">
        <v>578</v>
      </c>
      <c r="H875">
        <v>0</v>
      </c>
      <c r="I875">
        <v>0</v>
      </c>
    </row>
    <row r="876" spans="1:9" x14ac:dyDescent="0.2">
      <c r="A876" t="s">
        <v>264</v>
      </c>
      <c r="B876" t="s">
        <v>422</v>
      </c>
      <c r="C876" t="s">
        <v>477</v>
      </c>
      <c r="D876">
        <v>0</v>
      </c>
      <c r="E876" t="s">
        <v>477</v>
      </c>
      <c r="F876" t="s">
        <v>541</v>
      </c>
      <c r="G876" t="s">
        <v>578</v>
      </c>
      <c r="H876">
        <v>0</v>
      </c>
      <c r="I876">
        <v>0</v>
      </c>
    </row>
    <row r="877" spans="1:9" x14ac:dyDescent="0.2">
      <c r="A877" t="s">
        <v>264</v>
      </c>
      <c r="B877" t="s">
        <v>423</v>
      </c>
      <c r="C877" t="s">
        <v>478</v>
      </c>
      <c r="D877">
        <v>0</v>
      </c>
      <c r="E877" t="s">
        <v>478</v>
      </c>
      <c r="F877" t="s">
        <v>516</v>
      </c>
      <c r="G877" t="s">
        <v>578</v>
      </c>
      <c r="H877">
        <v>0</v>
      </c>
      <c r="I877">
        <v>0</v>
      </c>
    </row>
    <row r="878" spans="1:9" x14ac:dyDescent="0.2">
      <c r="A878" t="s">
        <v>301</v>
      </c>
      <c r="B878" t="s">
        <v>424</v>
      </c>
      <c r="C878" t="s">
        <v>478</v>
      </c>
      <c r="D878">
        <v>0</v>
      </c>
      <c r="E878" t="s">
        <v>478</v>
      </c>
      <c r="F878" t="s">
        <v>537</v>
      </c>
      <c r="G878" t="s">
        <v>576</v>
      </c>
      <c r="H878">
        <v>0</v>
      </c>
      <c r="I878">
        <v>0</v>
      </c>
    </row>
    <row r="879" spans="1:9" x14ac:dyDescent="0.2">
      <c r="A879" t="s">
        <v>283</v>
      </c>
      <c r="B879" t="s">
        <v>425</v>
      </c>
      <c r="C879" t="s">
        <v>498</v>
      </c>
      <c r="D879">
        <v>0</v>
      </c>
      <c r="E879" t="s">
        <v>498</v>
      </c>
      <c r="F879" t="s">
        <v>529</v>
      </c>
      <c r="G879" t="s">
        <v>578</v>
      </c>
      <c r="H879">
        <v>0</v>
      </c>
      <c r="I879">
        <v>0</v>
      </c>
    </row>
    <row r="880" spans="1:9" x14ac:dyDescent="0.2">
      <c r="A880" t="s">
        <v>302</v>
      </c>
      <c r="B880" t="s">
        <v>426</v>
      </c>
      <c r="C880" t="s">
        <v>478</v>
      </c>
      <c r="D880">
        <v>0</v>
      </c>
      <c r="E880" t="s">
        <v>478</v>
      </c>
      <c r="F880" t="s">
        <v>529</v>
      </c>
      <c r="G880" t="s">
        <v>579</v>
      </c>
      <c r="H880">
        <v>0</v>
      </c>
      <c r="I880">
        <v>0</v>
      </c>
    </row>
    <row r="881" spans="1:9" x14ac:dyDescent="0.2">
      <c r="A881" t="s">
        <v>285</v>
      </c>
      <c r="B881" t="s">
        <v>427</v>
      </c>
      <c r="C881" t="s">
        <v>499</v>
      </c>
      <c r="D881">
        <v>0</v>
      </c>
      <c r="E881" t="s">
        <v>499</v>
      </c>
      <c r="F881" t="s">
        <v>542</v>
      </c>
      <c r="G881" t="s">
        <v>577</v>
      </c>
      <c r="H881">
        <v>0</v>
      </c>
      <c r="I881">
        <v>0</v>
      </c>
    </row>
    <row r="882" spans="1:9" x14ac:dyDescent="0.2">
      <c r="A882" t="s">
        <v>303</v>
      </c>
      <c r="B882" t="s">
        <v>428</v>
      </c>
      <c r="C882" t="s">
        <v>500</v>
      </c>
      <c r="D882">
        <v>0</v>
      </c>
      <c r="E882" t="s">
        <v>500</v>
      </c>
      <c r="F882" t="s">
        <v>546</v>
      </c>
      <c r="G882" t="s">
        <v>577</v>
      </c>
      <c r="H882">
        <v>0</v>
      </c>
      <c r="I882">
        <v>0</v>
      </c>
    </row>
    <row r="883" spans="1:9" x14ac:dyDescent="0.2">
      <c r="A883" t="s">
        <v>304</v>
      </c>
      <c r="B883" t="s">
        <v>429</v>
      </c>
      <c r="C883" t="s">
        <v>478</v>
      </c>
      <c r="D883">
        <v>0</v>
      </c>
      <c r="E883" t="s">
        <v>478</v>
      </c>
      <c r="F883" t="s">
        <v>554</v>
      </c>
      <c r="G883" t="s">
        <v>569</v>
      </c>
      <c r="H883">
        <v>0</v>
      </c>
      <c r="I883">
        <v>0</v>
      </c>
    </row>
    <row r="884" spans="1:9" x14ac:dyDescent="0.2">
      <c r="A884" t="s">
        <v>277</v>
      </c>
      <c r="B884" t="s">
        <v>430</v>
      </c>
      <c r="C884" t="s">
        <v>478</v>
      </c>
      <c r="D884">
        <v>0</v>
      </c>
      <c r="E884" t="s">
        <v>478</v>
      </c>
      <c r="F884" t="s">
        <v>539</v>
      </c>
      <c r="G884" t="s">
        <v>571</v>
      </c>
      <c r="H884">
        <v>0</v>
      </c>
      <c r="I884">
        <v>0</v>
      </c>
    </row>
    <row r="885" spans="1:9" x14ac:dyDescent="0.2">
      <c r="A885" t="s">
        <v>277</v>
      </c>
      <c r="B885" t="s">
        <v>431</v>
      </c>
      <c r="C885" t="s">
        <v>478</v>
      </c>
      <c r="D885">
        <v>0</v>
      </c>
      <c r="E885" t="s">
        <v>478</v>
      </c>
      <c r="F885" t="s">
        <v>534</v>
      </c>
      <c r="G885" t="s">
        <v>571</v>
      </c>
      <c r="H885">
        <v>0</v>
      </c>
      <c r="I885">
        <v>0</v>
      </c>
    </row>
    <row r="886" spans="1:9" x14ac:dyDescent="0.2">
      <c r="A886" t="s">
        <v>277</v>
      </c>
      <c r="B886" t="s">
        <v>432</v>
      </c>
      <c r="C886" t="s">
        <v>501</v>
      </c>
      <c r="D886">
        <v>0</v>
      </c>
      <c r="E886" t="s">
        <v>501</v>
      </c>
      <c r="F886" t="s">
        <v>555</v>
      </c>
      <c r="G886" t="s">
        <v>571</v>
      </c>
      <c r="H886">
        <v>0</v>
      </c>
      <c r="I886">
        <v>0</v>
      </c>
    </row>
    <row r="887" spans="1:9" x14ac:dyDescent="0.2">
      <c r="A887" t="s">
        <v>263</v>
      </c>
      <c r="B887" t="s">
        <v>433</v>
      </c>
      <c r="C887" t="s">
        <v>502</v>
      </c>
      <c r="D887">
        <v>0</v>
      </c>
      <c r="E887" t="s">
        <v>502</v>
      </c>
      <c r="F887" t="s">
        <v>556</v>
      </c>
      <c r="G887" t="s">
        <v>580</v>
      </c>
      <c r="H887">
        <v>0</v>
      </c>
      <c r="I887">
        <v>0</v>
      </c>
    </row>
    <row r="888" spans="1:9" x14ac:dyDescent="0.2">
      <c r="A888" t="s">
        <v>268</v>
      </c>
      <c r="B888" t="s">
        <v>434</v>
      </c>
      <c r="C888" t="s">
        <v>478</v>
      </c>
      <c r="D888">
        <v>0</v>
      </c>
      <c r="E888" t="s">
        <v>478</v>
      </c>
      <c r="F888" t="s">
        <v>520</v>
      </c>
      <c r="G888" t="s">
        <v>571</v>
      </c>
      <c r="H888">
        <v>0</v>
      </c>
      <c r="I888">
        <v>0</v>
      </c>
    </row>
    <row r="889" spans="1:9" x14ac:dyDescent="0.2">
      <c r="A889" t="s">
        <v>305</v>
      </c>
      <c r="B889" t="s">
        <v>435</v>
      </c>
      <c r="C889" t="s">
        <v>478</v>
      </c>
      <c r="D889">
        <v>0</v>
      </c>
      <c r="E889" t="s">
        <v>478</v>
      </c>
      <c r="F889" t="s">
        <v>557</v>
      </c>
      <c r="G889" t="s">
        <v>569</v>
      </c>
      <c r="H889">
        <v>0</v>
      </c>
      <c r="I889">
        <v>0</v>
      </c>
    </row>
    <row r="890" spans="1:9" x14ac:dyDescent="0.2">
      <c r="A890" t="s">
        <v>306</v>
      </c>
      <c r="B890" t="s">
        <v>436</v>
      </c>
      <c r="C890" t="s">
        <v>478</v>
      </c>
      <c r="D890">
        <v>0</v>
      </c>
      <c r="E890" t="s">
        <v>478</v>
      </c>
      <c r="F890" t="s">
        <v>558</v>
      </c>
      <c r="G890" t="s">
        <v>569</v>
      </c>
      <c r="H890">
        <v>0</v>
      </c>
      <c r="I890">
        <v>0</v>
      </c>
    </row>
    <row r="891" spans="1:9" x14ac:dyDescent="0.2">
      <c r="A891" t="s">
        <v>307</v>
      </c>
      <c r="B891" t="s">
        <v>437</v>
      </c>
      <c r="C891" t="s">
        <v>478</v>
      </c>
      <c r="D891">
        <v>0</v>
      </c>
      <c r="E891" t="s">
        <v>478</v>
      </c>
      <c r="F891" t="s">
        <v>559</v>
      </c>
      <c r="G891" t="s">
        <v>574</v>
      </c>
      <c r="H891">
        <v>0</v>
      </c>
      <c r="I891">
        <v>0</v>
      </c>
    </row>
    <row r="892" spans="1:9" x14ac:dyDescent="0.2">
      <c r="A892" t="s">
        <v>308</v>
      </c>
      <c r="B892" t="s">
        <v>438</v>
      </c>
      <c r="C892" t="s">
        <v>478</v>
      </c>
      <c r="D892">
        <v>0</v>
      </c>
      <c r="E892" t="s">
        <v>478</v>
      </c>
      <c r="F892" t="s">
        <v>560</v>
      </c>
      <c r="G892" t="s">
        <v>569</v>
      </c>
      <c r="H892">
        <v>0</v>
      </c>
      <c r="I892">
        <v>0</v>
      </c>
    </row>
    <row r="893" spans="1:9" x14ac:dyDescent="0.2">
      <c r="A893" t="s">
        <v>309</v>
      </c>
      <c r="B893" t="s">
        <v>439</v>
      </c>
      <c r="C893" t="s">
        <v>478</v>
      </c>
      <c r="D893">
        <v>0</v>
      </c>
      <c r="E893" t="s">
        <v>478</v>
      </c>
      <c r="F893" t="s">
        <v>558</v>
      </c>
      <c r="G893" t="s">
        <v>574</v>
      </c>
      <c r="H893">
        <v>0</v>
      </c>
      <c r="I893">
        <v>0</v>
      </c>
    </row>
    <row r="894" spans="1:9" x14ac:dyDescent="0.2">
      <c r="A894" t="s">
        <v>310</v>
      </c>
      <c r="B894" t="s">
        <v>440</v>
      </c>
      <c r="C894" t="s">
        <v>478</v>
      </c>
      <c r="D894">
        <v>0</v>
      </c>
      <c r="E894" t="s">
        <v>478</v>
      </c>
      <c r="F894" t="s">
        <v>561</v>
      </c>
      <c r="G894" t="s">
        <v>569</v>
      </c>
      <c r="H894">
        <v>0</v>
      </c>
      <c r="I894">
        <v>0</v>
      </c>
    </row>
    <row r="895" spans="1:9" x14ac:dyDescent="0.2">
      <c r="A895" t="s">
        <v>311</v>
      </c>
      <c r="B895" t="s">
        <v>441</v>
      </c>
      <c r="C895" t="s">
        <v>481</v>
      </c>
      <c r="D895">
        <v>0</v>
      </c>
      <c r="E895" t="s">
        <v>481</v>
      </c>
      <c r="F895" t="s">
        <v>527</v>
      </c>
      <c r="G895" t="s">
        <v>580</v>
      </c>
      <c r="H895">
        <v>0</v>
      </c>
      <c r="I895">
        <v>0</v>
      </c>
    </row>
    <row r="896" spans="1:9" x14ac:dyDescent="0.2">
      <c r="A896" t="s">
        <v>311</v>
      </c>
      <c r="B896" t="s">
        <v>442</v>
      </c>
      <c r="C896" t="s">
        <v>482</v>
      </c>
      <c r="D896">
        <v>0</v>
      </c>
      <c r="E896" t="s">
        <v>482</v>
      </c>
      <c r="F896" t="s">
        <v>562</v>
      </c>
      <c r="G896" t="s">
        <v>580</v>
      </c>
      <c r="H896">
        <v>0</v>
      </c>
      <c r="I896">
        <v>0</v>
      </c>
    </row>
    <row r="897" spans="1:9" x14ac:dyDescent="0.2">
      <c r="A897" t="s">
        <v>311</v>
      </c>
      <c r="B897" t="s">
        <v>443</v>
      </c>
      <c r="C897" t="s">
        <v>481</v>
      </c>
      <c r="D897">
        <v>0</v>
      </c>
      <c r="E897" t="s">
        <v>481</v>
      </c>
      <c r="F897" t="s">
        <v>563</v>
      </c>
      <c r="G897" t="s">
        <v>580</v>
      </c>
      <c r="H897">
        <v>0</v>
      </c>
      <c r="I897">
        <v>0</v>
      </c>
    </row>
    <row r="898" spans="1:9" x14ac:dyDescent="0.2">
      <c r="A898" t="s">
        <v>312</v>
      </c>
      <c r="B898" t="s">
        <v>444</v>
      </c>
      <c r="C898" t="s">
        <v>481</v>
      </c>
      <c r="D898">
        <v>0</v>
      </c>
      <c r="E898" t="s">
        <v>481</v>
      </c>
      <c r="F898" t="s">
        <v>526</v>
      </c>
      <c r="G898" t="s">
        <v>580</v>
      </c>
      <c r="H898">
        <v>0</v>
      </c>
      <c r="I898">
        <v>0</v>
      </c>
    </row>
    <row r="899" spans="1:9" x14ac:dyDescent="0.2">
      <c r="A899" t="s">
        <v>286</v>
      </c>
      <c r="B899" t="s">
        <v>445</v>
      </c>
      <c r="C899" t="s">
        <v>486</v>
      </c>
      <c r="D899">
        <v>0</v>
      </c>
      <c r="E899" t="s">
        <v>486</v>
      </c>
      <c r="F899" t="s">
        <v>542</v>
      </c>
      <c r="G899" t="s">
        <v>580</v>
      </c>
      <c r="H899">
        <v>0</v>
      </c>
      <c r="I899">
        <v>0</v>
      </c>
    </row>
    <row r="900" spans="1:9" x14ac:dyDescent="0.2">
      <c r="A900" t="s">
        <v>286</v>
      </c>
      <c r="B900" t="s">
        <v>446</v>
      </c>
      <c r="C900" t="s">
        <v>486</v>
      </c>
      <c r="D900">
        <v>0</v>
      </c>
      <c r="E900" t="s">
        <v>486</v>
      </c>
      <c r="F900" t="s">
        <v>541</v>
      </c>
      <c r="G900" t="s">
        <v>580</v>
      </c>
      <c r="H900">
        <v>0</v>
      </c>
      <c r="I900">
        <v>0</v>
      </c>
    </row>
    <row r="901" spans="1:9" x14ac:dyDescent="0.2">
      <c r="A901" t="s">
        <v>313</v>
      </c>
      <c r="B901" t="s">
        <v>447</v>
      </c>
      <c r="C901" t="s">
        <v>478</v>
      </c>
      <c r="D901">
        <v>0</v>
      </c>
      <c r="E901" t="s">
        <v>478</v>
      </c>
      <c r="F901" t="s">
        <v>516</v>
      </c>
      <c r="G901" t="s">
        <v>569</v>
      </c>
      <c r="H901">
        <v>0</v>
      </c>
      <c r="I901">
        <v>0</v>
      </c>
    </row>
    <row r="902" spans="1:9" x14ac:dyDescent="0.2">
      <c r="A902" t="s">
        <v>314</v>
      </c>
      <c r="B902" t="s">
        <v>448</v>
      </c>
      <c r="C902" t="s">
        <v>478</v>
      </c>
      <c r="D902">
        <v>0</v>
      </c>
      <c r="E902" t="s">
        <v>478</v>
      </c>
      <c r="F902" t="s">
        <v>516</v>
      </c>
      <c r="G902" t="s">
        <v>569</v>
      </c>
      <c r="H902">
        <v>0</v>
      </c>
      <c r="I902">
        <v>0</v>
      </c>
    </row>
    <row r="903" spans="1:9" x14ac:dyDescent="0.2">
      <c r="A903" t="s">
        <v>315</v>
      </c>
      <c r="B903" t="s">
        <v>449</v>
      </c>
      <c r="C903" t="s">
        <v>478</v>
      </c>
      <c r="D903">
        <v>0</v>
      </c>
      <c r="E903" t="s">
        <v>478</v>
      </c>
      <c r="F903" t="s">
        <v>530</v>
      </c>
      <c r="G903" t="s">
        <v>569</v>
      </c>
      <c r="H903">
        <v>0</v>
      </c>
      <c r="I903">
        <v>0</v>
      </c>
    </row>
    <row r="904" spans="1:9" x14ac:dyDescent="0.2">
      <c r="A904" t="s">
        <v>315</v>
      </c>
      <c r="B904" t="s">
        <v>450</v>
      </c>
      <c r="C904" t="s">
        <v>478</v>
      </c>
      <c r="D904">
        <v>0</v>
      </c>
      <c r="E904" t="s">
        <v>478</v>
      </c>
      <c r="F904" t="s">
        <v>530</v>
      </c>
      <c r="G904" t="s">
        <v>569</v>
      </c>
      <c r="H904">
        <v>0</v>
      </c>
      <c r="I904">
        <v>0</v>
      </c>
    </row>
    <row r="905" spans="1:9" x14ac:dyDescent="0.2">
      <c r="A905" t="s">
        <v>315</v>
      </c>
      <c r="B905" t="s">
        <v>451</v>
      </c>
      <c r="C905" t="s">
        <v>478</v>
      </c>
      <c r="D905">
        <v>0</v>
      </c>
      <c r="E905" t="s">
        <v>478</v>
      </c>
      <c r="F905" t="s">
        <v>530</v>
      </c>
      <c r="G905" t="s">
        <v>569</v>
      </c>
      <c r="H905">
        <v>0</v>
      </c>
      <c r="I905">
        <v>0</v>
      </c>
    </row>
    <row r="906" spans="1:9" x14ac:dyDescent="0.2">
      <c r="A906" t="s">
        <v>313</v>
      </c>
      <c r="B906" t="s">
        <v>452</v>
      </c>
      <c r="C906" t="s">
        <v>478</v>
      </c>
      <c r="D906">
        <v>0</v>
      </c>
      <c r="E906" t="s">
        <v>478</v>
      </c>
      <c r="F906" t="s">
        <v>524</v>
      </c>
      <c r="G906" t="s">
        <v>569</v>
      </c>
      <c r="H906">
        <v>0</v>
      </c>
      <c r="I906">
        <v>0</v>
      </c>
    </row>
    <row r="907" spans="1:9" x14ac:dyDescent="0.2">
      <c r="A907" t="s">
        <v>314</v>
      </c>
      <c r="B907" t="s">
        <v>453</v>
      </c>
      <c r="C907" t="s">
        <v>478</v>
      </c>
      <c r="D907">
        <v>0</v>
      </c>
      <c r="E907" t="s">
        <v>478</v>
      </c>
      <c r="F907" t="s">
        <v>538</v>
      </c>
      <c r="G907" t="s">
        <v>569</v>
      </c>
      <c r="H907">
        <v>0</v>
      </c>
      <c r="I907">
        <v>0</v>
      </c>
    </row>
    <row r="908" spans="1:9" x14ac:dyDescent="0.2">
      <c r="A908" t="s">
        <v>314</v>
      </c>
      <c r="B908" t="s">
        <v>454</v>
      </c>
      <c r="C908" t="s">
        <v>478</v>
      </c>
      <c r="D908">
        <v>0</v>
      </c>
      <c r="E908" t="s">
        <v>478</v>
      </c>
      <c r="F908" t="s">
        <v>530</v>
      </c>
      <c r="G908" t="s">
        <v>569</v>
      </c>
      <c r="H908">
        <v>0</v>
      </c>
      <c r="I908">
        <v>0</v>
      </c>
    </row>
    <row r="909" spans="1:9" x14ac:dyDescent="0.2">
      <c r="A909" t="s">
        <v>314</v>
      </c>
      <c r="B909" t="s">
        <v>455</v>
      </c>
      <c r="C909" t="s">
        <v>478</v>
      </c>
      <c r="D909">
        <v>0</v>
      </c>
      <c r="E909" t="s">
        <v>478</v>
      </c>
      <c r="F909" t="s">
        <v>538</v>
      </c>
      <c r="G909" t="s">
        <v>569</v>
      </c>
      <c r="H909">
        <v>0</v>
      </c>
      <c r="I909">
        <v>0</v>
      </c>
    </row>
    <row r="910" spans="1:9" x14ac:dyDescent="0.2">
      <c r="A910" t="s">
        <v>314</v>
      </c>
      <c r="B910" t="s">
        <v>456</v>
      </c>
      <c r="C910" t="s">
        <v>478</v>
      </c>
      <c r="D910">
        <v>0</v>
      </c>
      <c r="E910" t="s">
        <v>478</v>
      </c>
      <c r="F910" t="s">
        <v>530</v>
      </c>
      <c r="G910" t="s">
        <v>569</v>
      </c>
      <c r="H910">
        <v>0</v>
      </c>
      <c r="I910">
        <v>0</v>
      </c>
    </row>
    <row r="911" spans="1:9" x14ac:dyDescent="0.2">
      <c r="A911" t="s">
        <v>277</v>
      </c>
      <c r="B911" t="s">
        <v>457</v>
      </c>
      <c r="C911" t="s">
        <v>501</v>
      </c>
      <c r="D911">
        <v>0</v>
      </c>
      <c r="E911" t="s">
        <v>501</v>
      </c>
      <c r="F911" t="s">
        <v>564</v>
      </c>
      <c r="G911" t="s">
        <v>571</v>
      </c>
      <c r="H911">
        <v>0</v>
      </c>
      <c r="I911">
        <v>0</v>
      </c>
    </row>
    <row r="912" spans="1:9" x14ac:dyDescent="0.2">
      <c r="A912" t="s">
        <v>263</v>
      </c>
      <c r="B912" t="s">
        <v>458</v>
      </c>
      <c r="C912" t="s">
        <v>476</v>
      </c>
      <c r="D912">
        <v>0</v>
      </c>
      <c r="E912" t="s">
        <v>476</v>
      </c>
      <c r="F912" t="s">
        <v>565</v>
      </c>
      <c r="G912" t="s">
        <v>580</v>
      </c>
      <c r="H912">
        <v>0</v>
      </c>
      <c r="I912">
        <v>0</v>
      </c>
    </row>
    <row r="913" spans="1:9" x14ac:dyDescent="0.2">
      <c r="A913" t="s">
        <v>316</v>
      </c>
      <c r="B913" t="s">
        <v>459</v>
      </c>
      <c r="C913" t="s">
        <v>478</v>
      </c>
      <c r="D913">
        <v>0</v>
      </c>
      <c r="E913" t="s">
        <v>478</v>
      </c>
      <c r="F913" t="s">
        <v>557</v>
      </c>
      <c r="G913" t="s">
        <v>569</v>
      </c>
      <c r="H913">
        <v>0</v>
      </c>
      <c r="I913">
        <v>0</v>
      </c>
    </row>
    <row r="914" spans="1:9" x14ac:dyDescent="0.2">
      <c r="A914" t="s">
        <v>317</v>
      </c>
      <c r="B914" t="s">
        <v>460</v>
      </c>
      <c r="C914" t="s">
        <v>478</v>
      </c>
      <c r="D914">
        <v>0</v>
      </c>
      <c r="E914" t="s">
        <v>478</v>
      </c>
      <c r="F914" t="s">
        <v>560</v>
      </c>
      <c r="G914" t="s">
        <v>569</v>
      </c>
      <c r="H914">
        <v>0</v>
      </c>
      <c r="I914">
        <v>0</v>
      </c>
    </row>
    <row r="915" spans="1:9" x14ac:dyDescent="0.2">
      <c r="A915" t="s">
        <v>318</v>
      </c>
      <c r="B915" t="s">
        <v>461</v>
      </c>
      <c r="C915" t="s">
        <v>478</v>
      </c>
      <c r="D915">
        <v>0</v>
      </c>
      <c r="E915" t="s">
        <v>478</v>
      </c>
      <c r="F915" t="s">
        <v>561</v>
      </c>
      <c r="G915" t="s">
        <v>574</v>
      </c>
      <c r="H915">
        <v>0</v>
      </c>
      <c r="I915">
        <v>0</v>
      </c>
    </row>
    <row r="916" spans="1:9" x14ac:dyDescent="0.2">
      <c r="A916" t="s">
        <v>319</v>
      </c>
      <c r="B916" t="s">
        <v>462</v>
      </c>
      <c r="C916" t="s">
        <v>482</v>
      </c>
      <c r="D916">
        <v>0</v>
      </c>
      <c r="E916" t="s">
        <v>482</v>
      </c>
      <c r="F916" t="s">
        <v>526</v>
      </c>
      <c r="G916" t="s">
        <v>580</v>
      </c>
      <c r="H916">
        <v>0</v>
      </c>
      <c r="I916">
        <v>0</v>
      </c>
    </row>
    <row r="917" spans="1:9" x14ac:dyDescent="0.2">
      <c r="A917" t="s">
        <v>320</v>
      </c>
      <c r="B917" t="s">
        <v>463</v>
      </c>
      <c r="C917" t="s">
        <v>488</v>
      </c>
      <c r="D917">
        <v>0</v>
      </c>
      <c r="E917" t="s">
        <v>488</v>
      </c>
      <c r="F917" t="s">
        <v>562</v>
      </c>
      <c r="G917" t="s">
        <v>580</v>
      </c>
      <c r="H917">
        <v>0</v>
      </c>
      <c r="I917">
        <v>0</v>
      </c>
    </row>
    <row r="918" spans="1:9" x14ac:dyDescent="0.2">
      <c r="A918" t="s">
        <v>319</v>
      </c>
      <c r="B918" t="s">
        <v>464</v>
      </c>
      <c r="C918" t="s">
        <v>482</v>
      </c>
      <c r="D918">
        <v>0</v>
      </c>
      <c r="E918" t="s">
        <v>482</v>
      </c>
      <c r="F918" t="s">
        <v>563</v>
      </c>
      <c r="G918" t="s">
        <v>580</v>
      </c>
      <c r="H918">
        <v>0</v>
      </c>
      <c r="I918">
        <v>0</v>
      </c>
    </row>
    <row r="919" spans="1:9" x14ac:dyDescent="0.2">
      <c r="A919" t="s">
        <v>319</v>
      </c>
      <c r="B919" t="s">
        <v>465</v>
      </c>
      <c r="C919" t="s">
        <v>481</v>
      </c>
      <c r="D919">
        <v>0</v>
      </c>
      <c r="E919" t="s">
        <v>481</v>
      </c>
      <c r="F919" t="s">
        <v>526</v>
      </c>
      <c r="G919" t="s">
        <v>580</v>
      </c>
      <c r="H919">
        <v>0</v>
      </c>
      <c r="I919">
        <v>0</v>
      </c>
    </row>
    <row r="920" spans="1:9" x14ac:dyDescent="0.2">
      <c r="A920" t="s">
        <v>321</v>
      </c>
      <c r="B920" t="s">
        <v>466</v>
      </c>
      <c r="C920" t="s">
        <v>488</v>
      </c>
      <c r="D920">
        <v>0</v>
      </c>
      <c r="E920" t="s">
        <v>488</v>
      </c>
      <c r="F920" t="s">
        <v>547</v>
      </c>
      <c r="G920" t="s">
        <v>574</v>
      </c>
      <c r="H920">
        <v>0</v>
      </c>
      <c r="I920">
        <v>0</v>
      </c>
    </row>
    <row r="921" spans="1:9" x14ac:dyDescent="0.2">
      <c r="A921" t="s">
        <v>322</v>
      </c>
      <c r="B921" t="s">
        <v>467</v>
      </c>
      <c r="C921" t="s">
        <v>482</v>
      </c>
      <c r="D921">
        <v>0</v>
      </c>
      <c r="E921" t="s">
        <v>482</v>
      </c>
      <c r="F921" t="s">
        <v>566</v>
      </c>
      <c r="G921" t="s">
        <v>574</v>
      </c>
      <c r="H921">
        <v>0</v>
      </c>
      <c r="I921">
        <v>0</v>
      </c>
    </row>
    <row r="922" spans="1:9" x14ac:dyDescent="0.2">
      <c r="A922" t="s">
        <v>283</v>
      </c>
      <c r="B922" t="s">
        <v>468</v>
      </c>
      <c r="C922" t="s">
        <v>478</v>
      </c>
      <c r="D922">
        <v>0</v>
      </c>
      <c r="E922" t="s">
        <v>478</v>
      </c>
      <c r="F922" t="s">
        <v>524</v>
      </c>
      <c r="G922" t="s">
        <v>581</v>
      </c>
      <c r="H922">
        <v>0</v>
      </c>
      <c r="I922">
        <v>0</v>
      </c>
    </row>
    <row r="923" spans="1:9" x14ac:dyDescent="0.2">
      <c r="A923" t="s">
        <v>275</v>
      </c>
      <c r="B923" t="s">
        <v>469</v>
      </c>
      <c r="C923" t="s">
        <v>478</v>
      </c>
      <c r="D923">
        <v>0</v>
      </c>
      <c r="E923" t="s">
        <v>478</v>
      </c>
      <c r="F923" t="s">
        <v>530</v>
      </c>
      <c r="G923" t="s">
        <v>581</v>
      </c>
      <c r="H923">
        <v>0</v>
      </c>
      <c r="I923">
        <v>0</v>
      </c>
    </row>
    <row r="924" spans="1:9" x14ac:dyDescent="0.2">
      <c r="A924" t="s">
        <v>275</v>
      </c>
      <c r="B924" t="s">
        <v>470</v>
      </c>
      <c r="C924" t="s">
        <v>478</v>
      </c>
      <c r="D924">
        <v>0</v>
      </c>
      <c r="E924" t="s">
        <v>478</v>
      </c>
      <c r="F924" t="s">
        <v>530</v>
      </c>
      <c r="G924" t="s">
        <v>581</v>
      </c>
      <c r="H924">
        <v>0</v>
      </c>
      <c r="I924">
        <v>0</v>
      </c>
    </row>
    <row r="925" spans="1:9" x14ac:dyDescent="0.2">
      <c r="A925" t="s">
        <v>275</v>
      </c>
      <c r="B925" t="s">
        <v>471</v>
      </c>
      <c r="C925" t="s">
        <v>478</v>
      </c>
      <c r="D925">
        <v>0</v>
      </c>
      <c r="E925" t="s">
        <v>478</v>
      </c>
      <c r="F925" t="s">
        <v>530</v>
      </c>
      <c r="G925" t="s">
        <v>581</v>
      </c>
      <c r="H925">
        <v>0</v>
      </c>
      <c r="I925">
        <v>0</v>
      </c>
    </row>
    <row r="926" spans="1:9" x14ac:dyDescent="0.2">
      <c r="A926" t="s">
        <v>275</v>
      </c>
      <c r="B926" t="s">
        <v>472</v>
      </c>
      <c r="C926" t="s">
        <v>478</v>
      </c>
      <c r="D926">
        <v>0</v>
      </c>
      <c r="E926" t="s">
        <v>478</v>
      </c>
      <c r="F926" t="s">
        <v>530</v>
      </c>
      <c r="G926" t="s">
        <v>581</v>
      </c>
      <c r="H926">
        <v>0</v>
      </c>
      <c r="I926">
        <v>0</v>
      </c>
    </row>
    <row r="927" spans="1:9" x14ac:dyDescent="0.2">
      <c r="A927" t="s">
        <v>286</v>
      </c>
      <c r="B927" t="s">
        <v>473</v>
      </c>
      <c r="C927" t="s">
        <v>486</v>
      </c>
      <c r="D927">
        <v>0</v>
      </c>
      <c r="E927" t="s">
        <v>486</v>
      </c>
      <c r="F927" t="s">
        <v>542</v>
      </c>
      <c r="G927" t="s">
        <v>580</v>
      </c>
      <c r="H927">
        <v>0</v>
      </c>
      <c r="I927">
        <v>0</v>
      </c>
    </row>
    <row r="928" spans="1:9" x14ac:dyDescent="0.2">
      <c r="A928" t="s">
        <v>286</v>
      </c>
      <c r="B928" t="s">
        <v>474</v>
      </c>
      <c r="C928" t="s">
        <v>486</v>
      </c>
      <c r="D928">
        <v>0</v>
      </c>
      <c r="E928" t="s">
        <v>486</v>
      </c>
      <c r="F928" t="s">
        <v>542</v>
      </c>
      <c r="G928" t="s">
        <v>580</v>
      </c>
      <c r="H928">
        <v>0</v>
      </c>
      <c r="I928">
        <v>0</v>
      </c>
    </row>
    <row r="929" spans="1:9" x14ac:dyDescent="0.2">
      <c r="A929" t="s">
        <v>289</v>
      </c>
      <c r="B929" t="s">
        <v>475</v>
      </c>
      <c r="C929" t="s">
        <v>478</v>
      </c>
      <c r="D929">
        <v>0</v>
      </c>
      <c r="E929" t="s">
        <v>478</v>
      </c>
      <c r="F929" t="s">
        <v>559</v>
      </c>
      <c r="G929" t="s">
        <v>574</v>
      </c>
      <c r="H929">
        <v>0</v>
      </c>
      <c r="I929">
        <v>0</v>
      </c>
    </row>
    <row r="930" spans="1:9" x14ac:dyDescent="0.2">
      <c r="A930" t="s">
        <v>302</v>
      </c>
      <c r="B930" t="s">
        <v>302</v>
      </c>
      <c r="C930" t="s">
        <v>478</v>
      </c>
      <c r="D930">
        <v>0</v>
      </c>
      <c r="E930" t="s">
        <v>478</v>
      </c>
      <c r="F930" t="s">
        <v>567</v>
      </c>
      <c r="G930" t="s">
        <v>579</v>
      </c>
      <c r="H930">
        <v>0</v>
      </c>
      <c r="I930">
        <v>0</v>
      </c>
    </row>
    <row r="931" spans="1:9" x14ac:dyDescent="0.2">
      <c r="A931" t="s">
        <v>323</v>
      </c>
      <c r="B931" t="s">
        <v>302</v>
      </c>
      <c r="C931" t="s">
        <v>478</v>
      </c>
      <c r="D931">
        <v>0</v>
      </c>
      <c r="E931" t="s">
        <v>478</v>
      </c>
      <c r="F931" t="s">
        <v>568</v>
      </c>
      <c r="G931" t="s">
        <v>569</v>
      </c>
      <c r="H931">
        <v>0</v>
      </c>
      <c r="I931">
        <v>0</v>
      </c>
    </row>
    <row r="932" spans="1:9" x14ac:dyDescent="0.2">
      <c r="A932" t="s">
        <v>263</v>
      </c>
      <c r="B932" t="s">
        <v>324</v>
      </c>
      <c r="C932" t="s">
        <v>476</v>
      </c>
      <c r="D932" t="s">
        <v>503</v>
      </c>
      <c r="E932" t="s">
        <v>478</v>
      </c>
      <c r="F932" t="s">
        <v>515</v>
      </c>
      <c r="G932" t="s">
        <v>319</v>
      </c>
      <c r="H932">
        <v>512.20168843859256</v>
      </c>
      <c r="I932">
        <v>550</v>
      </c>
    </row>
    <row r="933" spans="1:9" x14ac:dyDescent="0.2">
      <c r="A933" t="s">
        <v>264</v>
      </c>
      <c r="B933" t="s">
        <v>325</v>
      </c>
      <c r="C933" t="s">
        <v>477</v>
      </c>
      <c r="D933" t="s">
        <v>504</v>
      </c>
      <c r="E933" t="s">
        <v>477</v>
      </c>
      <c r="F933" t="s">
        <v>516</v>
      </c>
      <c r="G933" t="s">
        <v>569</v>
      </c>
      <c r="H933">
        <v>137.34523897192631</v>
      </c>
      <c r="I933">
        <v>150</v>
      </c>
    </row>
    <row r="934" spans="1:9" x14ac:dyDescent="0.2">
      <c r="A934" t="s">
        <v>265</v>
      </c>
      <c r="B934" t="s">
        <v>326</v>
      </c>
      <c r="C934" t="s">
        <v>478</v>
      </c>
      <c r="D934" t="s">
        <v>505</v>
      </c>
      <c r="E934" t="s">
        <v>478</v>
      </c>
      <c r="F934" t="s">
        <v>517</v>
      </c>
      <c r="G934" t="s">
        <v>570</v>
      </c>
      <c r="H934">
        <v>0</v>
      </c>
      <c r="I934">
        <v>0</v>
      </c>
    </row>
    <row r="935" spans="1:9" x14ac:dyDescent="0.2">
      <c r="A935" t="s">
        <v>266</v>
      </c>
      <c r="B935" t="s">
        <v>327</v>
      </c>
      <c r="C935" t="s">
        <v>479</v>
      </c>
      <c r="D935" t="s">
        <v>506</v>
      </c>
      <c r="E935" t="s">
        <v>479</v>
      </c>
      <c r="F935" t="s">
        <v>518</v>
      </c>
      <c r="G935" t="s">
        <v>571</v>
      </c>
      <c r="H935">
        <v>437.1338624340375</v>
      </c>
      <c r="I935">
        <v>450</v>
      </c>
    </row>
    <row r="936" spans="1:9" x14ac:dyDescent="0.2">
      <c r="A936" t="s">
        <v>267</v>
      </c>
      <c r="B936" t="s">
        <v>328</v>
      </c>
      <c r="C936" t="s">
        <v>480</v>
      </c>
      <c r="D936" t="s">
        <v>507</v>
      </c>
      <c r="E936" t="s">
        <v>480</v>
      </c>
      <c r="F936" t="s">
        <v>519</v>
      </c>
      <c r="G936" t="s">
        <v>572</v>
      </c>
      <c r="H936">
        <v>0</v>
      </c>
      <c r="I936">
        <v>0</v>
      </c>
    </row>
    <row r="937" spans="1:9" x14ac:dyDescent="0.2">
      <c r="A937" t="s">
        <v>268</v>
      </c>
      <c r="B937" t="s">
        <v>329</v>
      </c>
      <c r="C937" t="s">
        <v>478</v>
      </c>
      <c r="D937" t="s">
        <v>505</v>
      </c>
      <c r="E937" t="s">
        <v>478</v>
      </c>
      <c r="F937" t="s">
        <v>520</v>
      </c>
      <c r="G937" t="s">
        <v>571</v>
      </c>
      <c r="H937">
        <v>0</v>
      </c>
      <c r="I937">
        <v>0</v>
      </c>
    </row>
    <row r="938" spans="1:9" x14ac:dyDescent="0.2">
      <c r="A938" t="s">
        <v>268</v>
      </c>
      <c r="B938" t="s">
        <v>330</v>
      </c>
      <c r="C938" t="s">
        <v>478</v>
      </c>
      <c r="D938" t="s">
        <v>505</v>
      </c>
      <c r="E938" t="s">
        <v>478</v>
      </c>
      <c r="F938" t="s">
        <v>516</v>
      </c>
      <c r="G938" t="s">
        <v>571</v>
      </c>
      <c r="H938">
        <v>0</v>
      </c>
      <c r="I938">
        <v>0</v>
      </c>
    </row>
    <row r="939" spans="1:9" x14ac:dyDescent="0.2">
      <c r="A939" t="s">
        <v>268</v>
      </c>
      <c r="B939" t="s">
        <v>331</v>
      </c>
      <c r="C939" t="s">
        <v>478</v>
      </c>
      <c r="D939" t="s">
        <v>505</v>
      </c>
      <c r="E939" t="s">
        <v>478</v>
      </c>
      <c r="F939" t="s">
        <v>520</v>
      </c>
      <c r="G939" t="s">
        <v>571</v>
      </c>
      <c r="H939">
        <v>0</v>
      </c>
      <c r="I939">
        <v>0</v>
      </c>
    </row>
    <row r="940" spans="1:9" x14ac:dyDescent="0.2">
      <c r="A940" t="s">
        <v>269</v>
      </c>
      <c r="B940" t="s">
        <v>332</v>
      </c>
      <c r="C940" t="s">
        <v>481</v>
      </c>
      <c r="D940" t="s">
        <v>508</v>
      </c>
      <c r="E940" t="s">
        <v>481</v>
      </c>
      <c r="F940" t="s">
        <v>521</v>
      </c>
      <c r="G940" t="s">
        <v>573</v>
      </c>
      <c r="H940">
        <v>0</v>
      </c>
      <c r="I940">
        <v>0</v>
      </c>
    </row>
    <row r="941" spans="1:9" x14ac:dyDescent="0.2">
      <c r="A941" t="s">
        <v>270</v>
      </c>
      <c r="B941" t="s">
        <v>333</v>
      </c>
      <c r="C941" t="s">
        <v>481</v>
      </c>
      <c r="D941" t="s">
        <v>508</v>
      </c>
      <c r="E941" t="s">
        <v>481</v>
      </c>
      <c r="F941" t="s">
        <v>522</v>
      </c>
      <c r="G941" t="s">
        <v>573</v>
      </c>
      <c r="H941">
        <v>0</v>
      </c>
      <c r="I941">
        <v>0</v>
      </c>
    </row>
    <row r="942" spans="1:9" x14ac:dyDescent="0.2">
      <c r="A942" t="s">
        <v>270</v>
      </c>
      <c r="B942" t="s">
        <v>334</v>
      </c>
      <c r="C942" t="s">
        <v>481</v>
      </c>
      <c r="D942" t="s">
        <v>508</v>
      </c>
      <c r="E942" t="s">
        <v>481</v>
      </c>
      <c r="F942" t="s">
        <v>523</v>
      </c>
      <c r="G942" t="s">
        <v>573</v>
      </c>
      <c r="H942">
        <v>0</v>
      </c>
      <c r="I942">
        <v>0</v>
      </c>
    </row>
    <row r="943" spans="1:9" x14ac:dyDescent="0.2">
      <c r="A943" t="s">
        <v>271</v>
      </c>
      <c r="B943" t="s">
        <v>335</v>
      </c>
      <c r="C943" t="s">
        <v>478</v>
      </c>
      <c r="D943" t="s">
        <v>505</v>
      </c>
      <c r="E943" t="s">
        <v>478</v>
      </c>
      <c r="F943" t="s">
        <v>524</v>
      </c>
      <c r="G943" t="s">
        <v>574</v>
      </c>
      <c r="H943">
        <v>0</v>
      </c>
      <c r="I943">
        <v>0</v>
      </c>
    </row>
    <row r="944" spans="1:9" x14ac:dyDescent="0.2">
      <c r="A944" t="s">
        <v>269</v>
      </c>
      <c r="B944" t="s">
        <v>336</v>
      </c>
      <c r="C944" t="s">
        <v>481</v>
      </c>
      <c r="D944" t="s">
        <v>508</v>
      </c>
      <c r="E944" t="s">
        <v>481</v>
      </c>
      <c r="F944" t="s">
        <v>525</v>
      </c>
      <c r="G944" t="s">
        <v>573</v>
      </c>
      <c r="H944">
        <v>0</v>
      </c>
      <c r="I944">
        <v>0</v>
      </c>
    </row>
    <row r="945" spans="1:9" x14ac:dyDescent="0.2">
      <c r="A945" t="s">
        <v>272</v>
      </c>
      <c r="B945" t="s">
        <v>337</v>
      </c>
      <c r="C945" t="s">
        <v>481</v>
      </c>
      <c r="D945" t="s">
        <v>508</v>
      </c>
      <c r="E945" t="s">
        <v>481</v>
      </c>
      <c r="F945" t="s">
        <v>526</v>
      </c>
      <c r="G945" t="s">
        <v>572</v>
      </c>
      <c r="H945">
        <v>0</v>
      </c>
      <c r="I945">
        <v>0</v>
      </c>
    </row>
    <row r="946" spans="1:9" x14ac:dyDescent="0.2">
      <c r="A946" t="s">
        <v>272</v>
      </c>
      <c r="B946" t="s">
        <v>338</v>
      </c>
      <c r="C946" t="s">
        <v>481</v>
      </c>
      <c r="D946" t="s">
        <v>508</v>
      </c>
      <c r="E946" t="s">
        <v>481</v>
      </c>
      <c r="F946" t="s">
        <v>527</v>
      </c>
      <c r="G946" t="s">
        <v>572</v>
      </c>
      <c r="H946">
        <v>0</v>
      </c>
      <c r="I946">
        <v>0</v>
      </c>
    </row>
    <row r="947" spans="1:9" x14ac:dyDescent="0.2">
      <c r="A947" t="s">
        <v>273</v>
      </c>
      <c r="B947" t="s">
        <v>339</v>
      </c>
      <c r="C947" t="s">
        <v>481</v>
      </c>
      <c r="D947" t="s">
        <v>508</v>
      </c>
      <c r="E947" t="s">
        <v>481</v>
      </c>
      <c r="F947" t="s">
        <v>527</v>
      </c>
      <c r="G947" t="s">
        <v>572</v>
      </c>
      <c r="H947">
        <v>0</v>
      </c>
      <c r="I947">
        <v>0</v>
      </c>
    </row>
    <row r="948" spans="1:9" x14ac:dyDescent="0.2">
      <c r="A948" t="s">
        <v>273</v>
      </c>
      <c r="B948" t="s">
        <v>340</v>
      </c>
      <c r="C948" t="s">
        <v>482</v>
      </c>
      <c r="D948" t="s">
        <v>509</v>
      </c>
      <c r="E948" t="s">
        <v>482</v>
      </c>
      <c r="F948" t="s">
        <v>528</v>
      </c>
      <c r="G948" t="s">
        <v>572</v>
      </c>
      <c r="H948">
        <v>0</v>
      </c>
      <c r="I948">
        <v>0</v>
      </c>
    </row>
    <row r="949" spans="1:9" x14ac:dyDescent="0.2">
      <c r="A949" t="s">
        <v>273</v>
      </c>
      <c r="B949" t="s">
        <v>341</v>
      </c>
      <c r="C949" t="s">
        <v>481</v>
      </c>
      <c r="D949" t="s">
        <v>508</v>
      </c>
      <c r="E949" t="s">
        <v>481</v>
      </c>
      <c r="F949" t="s">
        <v>527</v>
      </c>
      <c r="G949" t="s">
        <v>572</v>
      </c>
      <c r="H949">
        <v>0</v>
      </c>
      <c r="I949">
        <v>0</v>
      </c>
    </row>
    <row r="950" spans="1:9" x14ac:dyDescent="0.2">
      <c r="A950" t="s">
        <v>273</v>
      </c>
      <c r="B950" t="s">
        <v>342</v>
      </c>
      <c r="C950" t="s">
        <v>481</v>
      </c>
      <c r="D950" t="s">
        <v>508</v>
      </c>
      <c r="E950" t="s">
        <v>481</v>
      </c>
      <c r="F950" t="s">
        <v>526</v>
      </c>
      <c r="G950" t="s">
        <v>572</v>
      </c>
      <c r="H950">
        <v>0</v>
      </c>
      <c r="I950">
        <v>0</v>
      </c>
    </row>
    <row r="951" spans="1:9" x14ac:dyDescent="0.2">
      <c r="A951" t="s">
        <v>274</v>
      </c>
      <c r="B951" t="s">
        <v>343</v>
      </c>
      <c r="C951" t="s">
        <v>483</v>
      </c>
      <c r="D951" t="s">
        <v>510</v>
      </c>
      <c r="E951" t="s">
        <v>483</v>
      </c>
      <c r="F951" t="s">
        <v>529</v>
      </c>
      <c r="G951" t="s">
        <v>575</v>
      </c>
      <c r="H951">
        <v>0</v>
      </c>
      <c r="I951">
        <v>0</v>
      </c>
    </row>
    <row r="952" spans="1:9" x14ac:dyDescent="0.2">
      <c r="A952" t="s">
        <v>275</v>
      </c>
      <c r="B952" t="s">
        <v>344</v>
      </c>
      <c r="C952" t="s">
        <v>478</v>
      </c>
      <c r="D952" t="s">
        <v>505</v>
      </c>
      <c r="E952" t="s">
        <v>477</v>
      </c>
      <c r="F952" t="s">
        <v>530</v>
      </c>
      <c r="G952" t="s">
        <v>575</v>
      </c>
      <c r="H952">
        <v>0</v>
      </c>
      <c r="I952">
        <v>0</v>
      </c>
    </row>
    <row r="953" spans="1:9" x14ac:dyDescent="0.2">
      <c r="A953" t="s">
        <v>275</v>
      </c>
      <c r="B953" t="s">
        <v>345</v>
      </c>
      <c r="C953" t="s">
        <v>478</v>
      </c>
      <c r="D953" t="s">
        <v>505</v>
      </c>
      <c r="E953" t="s">
        <v>477</v>
      </c>
      <c r="F953" t="s">
        <v>530</v>
      </c>
      <c r="G953" t="s">
        <v>575</v>
      </c>
      <c r="H953">
        <v>0</v>
      </c>
      <c r="I953">
        <v>0</v>
      </c>
    </row>
    <row r="954" spans="1:9" x14ac:dyDescent="0.2">
      <c r="A954" t="s">
        <v>275</v>
      </c>
      <c r="B954" t="s">
        <v>346</v>
      </c>
      <c r="C954" t="s">
        <v>478</v>
      </c>
      <c r="D954" t="s">
        <v>505</v>
      </c>
      <c r="E954" t="s">
        <v>477</v>
      </c>
      <c r="F954" t="s">
        <v>530</v>
      </c>
      <c r="G954" t="s">
        <v>575</v>
      </c>
      <c r="H954">
        <v>0</v>
      </c>
      <c r="I954">
        <v>0</v>
      </c>
    </row>
    <row r="955" spans="1:9" x14ac:dyDescent="0.2">
      <c r="A955" t="s">
        <v>275</v>
      </c>
      <c r="B955" t="s">
        <v>347</v>
      </c>
      <c r="C955" t="s">
        <v>478</v>
      </c>
      <c r="D955" t="s">
        <v>505</v>
      </c>
      <c r="E955" t="s">
        <v>477</v>
      </c>
      <c r="F955" t="s">
        <v>530</v>
      </c>
      <c r="G955" t="s">
        <v>575</v>
      </c>
      <c r="H955">
        <v>0</v>
      </c>
      <c r="I955">
        <v>0</v>
      </c>
    </row>
    <row r="956" spans="1:9" x14ac:dyDescent="0.2">
      <c r="A956" t="s">
        <v>275</v>
      </c>
      <c r="B956" t="s">
        <v>348</v>
      </c>
      <c r="C956" t="s">
        <v>478</v>
      </c>
      <c r="D956" t="s">
        <v>505</v>
      </c>
      <c r="E956" t="s">
        <v>477</v>
      </c>
      <c r="F956" t="s">
        <v>530</v>
      </c>
      <c r="G956" t="s">
        <v>575</v>
      </c>
      <c r="H956">
        <v>0</v>
      </c>
      <c r="I956">
        <v>0</v>
      </c>
    </row>
    <row r="957" spans="1:9" x14ac:dyDescent="0.2">
      <c r="A957" t="s">
        <v>275</v>
      </c>
      <c r="B957" t="s">
        <v>349</v>
      </c>
      <c r="C957" t="s">
        <v>478</v>
      </c>
      <c r="D957" t="s">
        <v>505</v>
      </c>
      <c r="E957" t="s">
        <v>477</v>
      </c>
      <c r="F957" t="s">
        <v>530</v>
      </c>
      <c r="G957" t="s">
        <v>575</v>
      </c>
      <c r="H957">
        <v>0</v>
      </c>
      <c r="I957">
        <v>0</v>
      </c>
    </row>
    <row r="958" spans="1:9" x14ac:dyDescent="0.2">
      <c r="A958" t="s">
        <v>275</v>
      </c>
      <c r="B958" t="s">
        <v>350</v>
      </c>
      <c r="C958" t="s">
        <v>478</v>
      </c>
      <c r="D958" t="s">
        <v>505</v>
      </c>
      <c r="E958" t="s">
        <v>477</v>
      </c>
      <c r="F958" t="s">
        <v>530</v>
      </c>
      <c r="G958" t="s">
        <v>575</v>
      </c>
      <c r="H958">
        <v>0</v>
      </c>
      <c r="I958">
        <v>0</v>
      </c>
    </row>
    <row r="959" spans="1:9" x14ac:dyDescent="0.2">
      <c r="A959" t="s">
        <v>275</v>
      </c>
      <c r="B959" t="s">
        <v>351</v>
      </c>
      <c r="C959" t="s">
        <v>478</v>
      </c>
      <c r="D959" t="s">
        <v>505</v>
      </c>
      <c r="E959" t="s">
        <v>477</v>
      </c>
      <c r="F959" t="s">
        <v>530</v>
      </c>
      <c r="G959" t="s">
        <v>575</v>
      </c>
      <c r="H959">
        <v>0</v>
      </c>
      <c r="I959">
        <v>0</v>
      </c>
    </row>
    <row r="960" spans="1:9" x14ac:dyDescent="0.2">
      <c r="A960" t="s">
        <v>275</v>
      </c>
      <c r="B960" t="s">
        <v>352</v>
      </c>
      <c r="C960" t="s">
        <v>478</v>
      </c>
      <c r="D960" t="s">
        <v>505</v>
      </c>
      <c r="E960" t="s">
        <v>477</v>
      </c>
      <c r="F960" t="s">
        <v>530</v>
      </c>
      <c r="G960" t="s">
        <v>575</v>
      </c>
      <c r="H960">
        <v>0</v>
      </c>
      <c r="I960">
        <v>0</v>
      </c>
    </row>
    <row r="961" spans="1:9" x14ac:dyDescent="0.2">
      <c r="A961" t="s">
        <v>264</v>
      </c>
      <c r="B961" t="s">
        <v>353</v>
      </c>
      <c r="C961" t="s">
        <v>478</v>
      </c>
      <c r="D961" t="s">
        <v>505</v>
      </c>
      <c r="E961" t="s">
        <v>477</v>
      </c>
      <c r="F961" t="s">
        <v>516</v>
      </c>
      <c r="G961" t="s">
        <v>575</v>
      </c>
      <c r="H961">
        <v>0</v>
      </c>
      <c r="I961">
        <v>0</v>
      </c>
    </row>
    <row r="962" spans="1:9" x14ac:dyDescent="0.2">
      <c r="A962" t="s">
        <v>276</v>
      </c>
      <c r="B962" t="s">
        <v>354</v>
      </c>
      <c r="C962" t="s">
        <v>484</v>
      </c>
      <c r="D962" t="s">
        <v>511</v>
      </c>
      <c r="E962" t="s">
        <v>484</v>
      </c>
      <c r="F962" t="s">
        <v>531</v>
      </c>
      <c r="G962" t="s">
        <v>575</v>
      </c>
      <c r="H962">
        <v>0</v>
      </c>
      <c r="I962">
        <v>0</v>
      </c>
    </row>
    <row r="963" spans="1:9" x14ac:dyDescent="0.2">
      <c r="A963" t="s">
        <v>275</v>
      </c>
      <c r="B963" t="s">
        <v>355</v>
      </c>
      <c r="C963" t="s">
        <v>478</v>
      </c>
      <c r="D963" t="s">
        <v>505</v>
      </c>
      <c r="E963" t="s">
        <v>477</v>
      </c>
      <c r="F963" t="s">
        <v>530</v>
      </c>
      <c r="G963" t="s">
        <v>575</v>
      </c>
      <c r="H963">
        <v>0</v>
      </c>
      <c r="I963">
        <v>0</v>
      </c>
    </row>
    <row r="964" spans="1:9" x14ac:dyDescent="0.2">
      <c r="A964" t="s">
        <v>275</v>
      </c>
      <c r="B964" t="s">
        <v>356</v>
      </c>
      <c r="C964" t="s">
        <v>478</v>
      </c>
      <c r="D964" t="s">
        <v>505</v>
      </c>
      <c r="E964" t="s">
        <v>477</v>
      </c>
      <c r="F964" t="s">
        <v>530</v>
      </c>
      <c r="G964" t="s">
        <v>575</v>
      </c>
      <c r="H964">
        <v>0</v>
      </c>
      <c r="I964">
        <v>0</v>
      </c>
    </row>
    <row r="965" spans="1:9" x14ac:dyDescent="0.2">
      <c r="A965" t="s">
        <v>275</v>
      </c>
      <c r="B965" t="s">
        <v>357</v>
      </c>
      <c r="C965" t="s">
        <v>478</v>
      </c>
      <c r="D965" t="s">
        <v>505</v>
      </c>
      <c r="E965" t="s">
        <v>477</v>
      </c>
      <c r="F965" t="s">
        <v>530</v>
      </c>
      <c r="G965" t="s">
        <v>575</v>
      </c>
      <c r="H965">
        <v>0</v>
      </c>
      <c r="I965">
        <v>0</v>
      </c>
    </row>
    <row r="966" spans="1:9" x14ac:dyDescent="0.2">
      <c r="A966" t="s">
        <v>275</v>
      </c>
      <c r="B966" t="s">
        <v>358</v>
      </c>
      <c r="C966" t="s">
        <v>478</v>
      </c>
      <c r="D966" t="s">
        <v>505</v>
      </c>
      <c r="E966" t="s">
        <v>477</v>
      </c>
      <c r="F966" t="s">
        <v>530</v>
      </c>
      <c r="G966" t="s">
        <v>575</v>
      </c>
      <c r="H966">
        <v>0</v>
      </c>
      <c r="I966">
        <v>0</v>
      </c>
    </row>
    <row r="967" spans="1:9" x14ac:dyDescent="0.2">
      <c r="A967" t="s">
        <v>275</v>
      </c>
      <c r="B967" t="s">
        <v>359</v>
      </c>
      <c r="C967" t="s">
        <v>478</v>
      </c>
      <c r="D967" t="s">
        <v>505</v>
      </c>
      <c r="E967" t="s">
        <v>477</v>
      </c>
      <c r="F967" t="s">
        <v>530</v>
      </c>
      <c r="G967" t="s">
        <v>575</v>
      </c>
      <c r="H967">
        <v>0</v>
      </c>
      <c r="I967">
        <v>0</v>
      </c>
    </row>
    <row r="968" spans="1:9" x14ac:dyDescent="0.2">
      <c r="A968" t="s">
        <v>275</v>
      </c>
      <c r="B968" t="s">
        <v>360</v>
      </c>
      <c r="C968" t="s">
        <v>478</v>
      </c>
      <c r="D968" t="s">
        <v>505</v>
      </c>
      <c r="E968" t="s">
        <v>477</v>
      </c>
      <c r="F968" t="s">
        <v>530</v>
      </c>
      <c r="G968" t="s">
        <v>575</v>
      </c>
      <c r="H968">
        <v>0</v>
      </c>
      <c r="I968">
        <v>0</v>
      </c>
    </row>
    <row r="969" spans="1:9" x14ac:dyDescent="0.2">
      <c r="A969" t="s">
        <v>264</v>
      </c>
      <c r="B969" t="s">
        <v>361</v>
      </c>
      <c r="C969" t="s">
        <v>478</v>
      </c>
      <c r="D969" t="s">
        <v>505</v>
      </c>
      <c r="E969" t="s">
        <v>477</v>
      </c>
      <c r="F969" t="s">
        <v>516</v>
      </c>
      <c r="G969" t="s">
        <v>575</v>
      </c>
      <c r="H969">
        <v>0</v>
      </c>
      <c r="I969">
        <v>0</v>
      </c>
    </row>
    <row r="970" spans="1:9" x14ac:dyDescent="0.2">
      <c r="A970" t="s">
        <v>265</v>
      </c>
      <c r="B970" t="s">
        <v>362</v>
      </c>
      <c r="C970" t="s">
        <v>478</v>
      </c>
      <c r="D970" t="s">
        <v>505</v>
      </c>
      <c r="E970" t="s">
        <v>491</v>
      </c>
      <c r="F970" t="s">
        <v>532</v>
      </c>
      <c r="G970" t="s">
        <v>570</v>
      </c>
      <c r="H970">
        <v>0</v>
      </c>
      <c r="I970">
        <v>0</v>
      </c>
    </row>
    <row r="971" spans="1:9" x14ac:dyDescent="0.2">
      <c r="A971" t="s">
        <v>277</v>
      </c>
      <c r="B971" t="s">
        <v>363</v>
      </c>
      <c r="C971" t="s">
        <v>485</v>
      </c>
      <c r="D971" t="s">
        <v>512</v>
      </c>
      <c r="E971" t="s">
        <v>485</v>
      </c>
      <c r="F971" t="s">
        <v>525</v>
      </c>
      <c r="G971" t="s">
        <v>571</v>
      </c>
      <c r="H971">
        <v>0</v>
      </c>
      <c r="I971">
        <v>0</v>
      </c>
    </row>
    <row r="972" spans="1:9" x14ac:dyDescent="0.2">
      <c r="A972" t="s">
        <v>267</v>
      </c>
      <c r="B972" t="s">
        <v>364</v>
      </c>
      <c r="C972" t="s">
        <v>480</v>
      </c>
      <c r="D972" t="s">
        <v>507</v>
      </c>
      <c r="E972" t="s">
        <v>480</v>
      </c>
      <c r="F972" t="s">
        <v>533</v>
      </c>
      <c r="G972" t="s">
        <v>572</v>
      </c>
      <c r="H972">
        <v>0</v>
      </c>
      <c r="I972">
        <v>0</v>
      </c>
    </row>
    <row r="973" spans="1:9" x14ac:dyDescent="0.2">
      <c r="A973" t="s">
        <v>278</v>
      </c>
      <c r="B973" t="s">
        <v>365</v>
      </c>
      <c r="C973" t="s">
        <v>486</v>
      </c>
      <c r="D973" t="s">
        <v>513</v>
      </c>
      <c r="E973" t="s">
        <v>486</v>
      </c>
      <c r="F973" t="s">
        <v>534</v>
      </c>
      <c r="G973" t="s">
        <v>573</v>
      </c>
      <c r="H973">
        <v>0</v>
      </c>
      <c r="I973">
        <v>0</v>
      </c>
    </row>
    <row r="974" spans="1:9" x14ac:dyDescent="0.2">
      <c r="A974" t="s">
        <v>278</v>
      </c>
      <c r="B974" t="s">
        <v>366</v>
      </c>
      <c r="C974" t="s">
        <v>486</v>
      </c>
      <c r="D974" t="s">
        <v>513</v>
      </c>
      <c r="E974" t="s">
        <v>486</v>
      </c>
      <c r="F974" t="s">
        <v>534</v>
      </c>
      <c r="G974" t="s">
        <v>573</v>
      </c>
      <c r="H974">
        <v>0</v>
      </c>
      <c r="I974">
        <v>0</v>
      </c>
    </row>
    <row r="975" spans="1:9" x14ac:dyDescent="0.2">
      <c r="A975" t="s">
        <v>279</v>
      </c>
      <c r="B975" t="s">
        <v>367</v>
      </c>
      <c r="C975" t="s">
        <v>487</v>
      </c>
      <c r="D975" t="s">
        <v>514</v>
      </c>
      <c r="E975" t="s">
        <v>487</v>
      </c>
      <c r="F975" t="s">
        <v>535</v>
      </c>
      <c r="G975" t="s">
        <v>573</v>
      </c>
      <c r="H975">
        <v>0</v>
      </c>
      <c r="I975">
        <v>0</v>
      </c>
    </row>
    <row r="976" spans="1:9" x14ac:dyDescent="0.2">
      <c r="A976" t="s">
        <v>279</v>
      </c>
      <c r="B976" t="s">
        <v>368</v>
      </c>
      <c r="C976" t="s">
        <v>487</v>
      </c>
      <c r="D976" t="s">
        <v>514</v>
      </c>
      <c r="E976" t="s">
        <v>487</v>
      </c>
      <c r="F976" t="s">
        <v>527</v>
      </c>
      <c r="G976" t="s">
        <v>573</v>
      </c>
      <c r="H976">
        <v>0</v>
      </c>
      <c r="I976">
        <v>0</v>
      </c>
    </row>
    <row r="977" spans="1:9" x14ac:dyDescent="0.2">
      <c r="A977" t="s">
        <v>280</v>
      </c>
      <c r="B977" t="s">
        <v>369</v>
      </c>
      <c r="C977" t="s">
        <v>482</v>
      </c>
      <c r="D977">
        <v>0</v>
      </c>
      <c r="E977" t="s">
        <v>482</v>
      </c>
      <c r="F977" t="s">
        <v>526</v>
      </c>
      <c r="G977" t="s">
        <v>572</v>
      </c>
      <c r="H977">
        <v>0</v>
      </c>
      <c r="I977">
        <v>0</v>
      </c>
    </row>
    <row r="978" spans="1:9" x14ac:dyDescent="0.2">
      <c r="A978" t="s">
        <v>280</v>
      </c>
      <c r="B978" t="s">
        <v>370</v>
      </c>
      <c r="C978" t="s">
        <v>482</v>
      </c>
      <c r="D978">
        <v>0</v>
      </c>
      <c r="E978" t="s">
        <v>482</v>
      </c>
      <c r="F978" t="s">
        <v>527</v>
      </c>
      <c r="G978" t="s">
        <v>572</v>
      </c>
      <c r="H978">
        <v>0</v>
      </c>
      <c r="I978">
        <v>0</v>
      </c>
    </row>
    <row r="979" spans="1:9" x14ac:dyDescent="0.2">
      <c r="A979" t="s">
        <v>272</v>
      </c>
      <c r="B979" t="s">
        <v>371</v>
      </c>
      <c r="C979" t="s">
        <v>482</v>
      </c>
      <c r="D979">
        <v>0</v>
      </c>
      <c r="E979" t="s">
        <v>482</v>
      </c>
      <c r="F979" t="s">
        <v>527</v>
      </c>
      <c r="G979" t="s">
        <v>572</v>
      </c>
      <c r="H979">
        <v>0</v>
      </c>
      <c r="I979">
        <v>0</v>
      </c>
    </row>
    <row r="980" spans="1:9" x14ac:dyDescent="0.2">
      <c r="A980" t="s">
        <v>272</v>
      </c>
      <c r="B980" t="s">
        <v>372</v>
      </c>
      <c r="C980" t="s">
        <v>488</v>
      </c>
      <c r="D980">
        <v>0</v>
      </c>
      <c r="E980" t="s">
        <v>488</v>
      </c>
      <c r="F980" t="s">
        <v>528</v>
      </c>
      <c r="G980" t="s">
        <v>572</v>
      </c>
      <c r="H980">
        <v>0</v>
      </c>
      <c r="I980">
        <v>0</v>
      </c>
    </row>
    <row r="981" spans="1:9" x14ac:dyDescent="0.2">
      <c r="A981" t="s">
        <v>281</v>
      </c>
      <c r="B981" t="s">
        <v>373</v>
      </c>
      <c r="C981" t="s">
        <v>482</v>
      </c>
      <c r="D981">
        <v>0</v>
      </c>
      <c r="E981" t="s">
        <v>482</v>
      </c>
      <c r="F981" t="s">
        <v>527</v>
      </c>
      <c r="G981" t="s">
        <v>572</v>
      </c>
      <c r="H981">
        <v>0</v>
      </c>
      <c r="I981">
        <v>0</v>
      </c>
    </row>
    <row r="982" spans="1:9" x14ac:dyDescent="0.2">
      <c r="A982" t="s">
        <v>273</v>
      </c>
      <c r="B982" t="s">
        <v>374</v>
      </c>
      <c r="C982" t="s">
        <v>481</v>
      </c>
      <c r="D982">
        <v>0</v>
      </c>
      <c r="E982" t="s">
        <v>481</v>
      </c>
      <c r="F982" t="s">
        <v>526</v>
      </c>
      <c r="G982" t="s">
        <v>572</v>
      </c>
      <c r="H982">
        <v>0</v>
      </c>
      <c r="I982">
        <v>0</v>
      </c>
    </row>
    <row r="983" spans="1:9" x14ac:dyDescent="0.2">
      <c r="A983" t="s">
        <v>282</v>
      </c>
      <c r="B983" t="s">
        <v>375</v>
      </c>
      <c r="C983" t="s">
        <v>489</v>
      </c>
      <c r="D983">
        <v>0</v>
      </c>
      <c r="E983" t="s">
        <v>489</v>
      </c>
      <c r="F983" t="s">
        <v>526</v>
      </c>
      <c r="G983" t="s">
        <v>572</v>
      </c>
      <c r="H983">
        <v>0</v>
      </c>
      <c r="I983">
        <v>0</v>
      </c>
    </row>
    <row r="984" spans="1:9" x14ac:dyDescent="0.2">
      <c r="A984" t="s">
        <v>283</v>
      </c>
      <c r="B984" t="s">
        <v>376</v>
      </c>
      <c r="C984" t="s">
        <v>490</v>
      </c>
      <c r="D984">
        <v>0</v>
      </c>
      <c r="E984" t="s">
        <v>478</v>
      </c>
      <c r="F984" t="s">
        <v>536</v>
      </c>
      <c r="G984" t="s">
        <v>575</v>
      </c>
      <c r="H984">
        <v>0</v>
      </c>
      <c r="I984">
        <v>0</v>
      </c>
    </row>
    <row r="985" spans="1:9" x14ac:dyDescent="0.2">
      <c r="A985" t="s">
        <v>275</v>
      </c>
      <c r="B985" t="s">
        <v>377</v>
      </c>
      <c r="C985" t="s">
        <v>478</v>
      </c>
      <c r="D985">
        <v>0</v>
      </c>
      <c r="E985" t="s">
        <v>477</v>
      </c>
      <c r="F985" t="s">
        <v>537</v>
      </c>
      <c r="G985" t="s">
        <v>575</v>
      </c>
      <c r="H985">
        <v>0</v>
      </c>
      <c r="I985">
        <v>0</v>
      </c>
    </row>
    <row r="986" spans="1:9" x14ac:dyDescent="0.2">
      <c r="A986" t="s">
        <v>275</v>
      </c>
      <c r="B986" t="s">
        <v>378</v>
      </c>
      <c r="C986" t="s">
        <v>478</v>
      </c>
      <c r="D986">
        <v>0</v>
      </c>
      <c r="E986" t="s">
        <v>477</v>
      </c>
      <c r="F986" t="s">
        <v>538</v>
      </c>
      <c r="G986" t="s">
        <v>575</v>
      </c>
      <c r="H986">
        <v>0</v>
      </c>
      <c r="I986">
        <v>0</v>
      </c>
    </row>
    <row r="987" spans="1:9" x14ac:dyDescent="0.2">
      <c r="A987" t="s">
        <v>275</v>
      </c>
      <c r="B987" t="s">
        <v>379</v>
      </c>
      <c r="C987" t="s">
        <v>478</v>
      </c>
      <c r="D987">
        <v>0</v>
      </c>
      <c r="E987" t="s">
        <v>477</v>
      </c>
      <c r="F987" t="s">
        <v>538</v>
      </c>
      <c r="G987" t="s">
        <v>575</v>
      </c>
      <c r="H987">
        <v>0</v>
      </c>
      <c r="I987">
        <v>0</v>
      </c>
    </row>
    <row r="988" spans="1:9" x14ac:dyDescent="0.2">
      <c r="A988" t="s">
        <v>275</v>
      </c>
      <c r="B988" t="s">
        <v>380</v>
      </c>
      <c r="C988" t="s">
        <v>478</v>
      </c>
      <c r="D988">
        <v>0</v>
      </c>
      <c r="E988" t="s">
        <v>477</v>
      </c>
      <c r="F988" t="s">
        <v>530</v>
      </c>
      <c r="G988" t="s">
        <v>575</v>
      </c>
      <c r="H988">
        <v>0</v>
      </c>
      <c r="I988">
        <v>0</v>
      </c>
    </row>
    <row r="989" spans="1:9" x14ac:dyDescent="0.2">
      <c r="A989" t="s">
        <v>275</v>
      </c>
      <c r="B989" t="s">
        <v>381</v>
      </c>
      <c r="C989" t="s">
        <v>478</v>
      </c>
      <c r="D989">
        <v>0</v>
      </c>
      <c r="E989" t="s">
        <v>477</v>
      </c>
      <c r="F989" t="s">
        <v>530</v>
      </c>
      <c r="G989" t="s">
        <v>575</v>
      </c>
      <c r="H989">
        <v>0</v>
      </c>
      <c r="I989">
        <v>0</v>
      </c>
    </row>
    <row r="990" spans="1:9" x14ac:dyDescent="0.2">
      <c r="A990" t="s">
        <v>275</v>
      </c>
      <c r="B990" t="s">
        <v>382</v>
      </c>
      <c r="C990" t="s">
        <v>478</v>
      </c>
      <c r="D990">
        <v>0</v>
      </c>
      <c r="E990" t="s">
        <v>477</v>
      </c>
      <c r="F990" t="s">
        <v>530</v>
      </c>
      <c r="G990" t="s">
        <v>575</v>
      </c>
      <c r="H990">
        <v>0</v>
      </c>
      <c r="I990">
        <v>0</v>
      </c>
    </row>
    <row r="991" spans="1:9" x14ac:dyDescent="0.2">
      <c r="A991" t="s">
        <v>275</v>
      </c>
      <c r="B991" t="s">
        <v>383</v>
      </c>
      <c r="C991" t="s">
        <v>478</v>
      </c>
      <c r="D991">
        <v>0</v>
      </c>
      <c r="E991" t="s">
        <v>477</v>
      </c>
      <c r="F991" t="s">
        <v>530</v>
      </c>
      <c r="G991" t="s">
        <v>575</v>
      </c>
      <c r="H991">
        <v>0</v>
      </c>
      <c r="I991">
        <v>0</v>
      </c>
    </row>
    <row r="992" spans="1:9" x14ac:dyDescent="0.2">
      <c r="A992" t="s">
        <v>264</v>
      </c>
      <c r="B992" t="s">
        <v>384</v>
      </c>
      <c r="C992" t="s">
        <v>478</v>
      </c>
      <c r="D992">
        <v>0</v>
      </c>
      <c r="E992" t="s">
        <v>477</v>
      </c>
      <c r="F992" t="s">
        <v>516</v>
      </c>
      <c r="G992" t="s">
        <v>575</v>
      </c>
      <c r="H992">
        <v>0</v>
      </c>
      <c r="I992">
        <v>0</v>
      </c>
    </row>
    <row r="993" spans="1:9" x14ac:dyDescent="0.2">
      <c r="A993" t="s">
        <v>284</v>
      </c>
      <c r="B993" t="s">
        <v>385</v>
      </c>
      <c r="C993" t="s">
        <v>477</v>
      </c>
      <c r="D993">
        <v>0</v>
      </c>
      <c r="E993" t="s">
        <v>477</v>
      </c>
      <c r="F993" t="s">
        <v>539</v>
      </c>
      <c r="G993" t="s">
        <v>570</v>
      </c>
      <c r="H993">
        <v>0</v>
      </c>
      <c r="I993">
        <v>0</v>
      </c>
    </row>
    <row r="994" spans="1:9" x14ac:dyDescent="0.2">
      <c r="A994" t="s">
        <v>285</v>
      </c>
      <c r="B994" t="s">
        <v>386</v>
      </c>
      <c r="C994" t="s">
        <v>477</v>
      </c>
      <c r="D994">
        <v>0</v>
      </c>
      <c r="E994" t="s">
        <v>477</v>
      </c>
      <c r="F994" t="s">
        <v>531</v>
      </c>
      <c r="G994" t="s">
        <v>570</v>
      </c>
      <c r="H994">
        <v>0</v>
      </c>
      <c r="I994">
        <v>0</v>
      </c>
    </row>
    <row r="995" spans="1:9" x14ac:dyDescent="0.2">
      <c r="A995" t="s">
        <v>286</v>
      </c>
      <c r="B995" t="s">
        <v>387</v>
      </c>
      <c r="C995" t="s">
        <v>486</v>
      </c>
      <c r="D995">
        <v>0</v>
      </c>
      <c r="E995" t="s">
        <v>486</v>
      </c>
      <c r="F995" t="s">
        <v>540</v>
      </c>
      <c r="G995" t="s">
        <v>572</v>
      </c>
      <c r="H995">
        <v>0</v>
      </c>
      <c r="I995">
        <v>0</v>
      </c>
    </row>
    <row r="996" spans="1:9" x14ac:dyDescent="0.2">
      <c r="A996" t="s">
        <v>286</v>
      </c>
      <c r="B996" t="s">
        <v>388</v>
      </c>
      <c r="C996" t="s">
        <v>491</v>
      </c>
      <c r="D996">
        <v>0</v>
      </c>
      <c r="E996" t="s">
        <v>491</v>
      </c>
      <c r="F996" t="s">
        <v>524</v>
      </c>
      <c r="G996" t="s">
        <v>573</v>
      </c>
      <c r="H996">
        <v>0</v>
      </c>
      <c r="I996">
        <v>0</v>
      </c>
    </row>
    <row r="997" spans="1:9" x14ac:dyDescent="0.2">
      <c r="A997" t="s">
        <v>286</v>
      </c>
      <c r="B997" t="s">
        <v>389</v>
      </c>
      <c r="C997" t="s">
        <v>491</v>
      </c>
      <c r="D997">
        <v>0</v>
      </c>
      <c r="E997" t="s">
        <v>491</v>
      </c>
      <c r="F997" t="s">
        <v>524</v>
      </c>
      <c r="G997" t="s">
        <v>573</v>
      </c>
      <c r="H997">
        <v>0</v>
      </c>
      <c r="I997">
        <v>0</v>
      </c>
    </row>
    <row r="998" spans="1:9" x14ac:dyDescent="0.2">
      <c r="A998" t="s">
        <v>286</v>
      </c>
      <c r="B998" t="s">
        <v>390</v>
      </c>
      <c r="C998" t="s">
        <v>491</v>
      </c>
      <c r="D998">
        <v>0</v>
      </c>
      <c r="E998" t="s">
        <v>491</v>
      </c>
      <c r="F998" t="s">
        <v>524</v>
      </c>
      <c r="G998" t="s">
        <v>573</v>
      </c>
      <c r="H998">
        <v>0</v>
      </c>
      <c r="I998">
        <v>0</v>
      </c>
    </row>
    <row r="999" spans="1:9" x14ac:dyDescent="0.2">
      <c r="A999" t="s">
        <v>286</v>
      </c>
      <c r="B999" t="s">
        <v>391</v>
      </c>
      <c r="C999" t="s">
        <v>491</v>
      </c>
      <c r="D999">
        <v>0</v>
      </c>
      <c r="E999" t="s">
        <v>491</v>
      </c>
      <c r="F999" t="s">
        <v>524</v>
      </c>
      <c r="G999" t="s">
        <v>573</v>
      </c>
      <c r="H999">
        <v>0</v>
      </c>
      <c r="I999">
        <v>0</v>
      </c>
    </row>
    <row r="1000" spans="1:9" x14ac:dyDescent="0.2">
      <c r="A1000" t="s">
        <v>286</v>
      </c>
      <c r="B1000" t="s">
        <v>392</v>
      </c>
      <c r="C1000" t="s">
        <v>491</v>
      </c>
      <c r="D1000">
        <v>0</v>
      </c>
      <c r="E1000" t="s">
        <v>491</v>
      </c>
      <c r="F1000" t="s">
        <v>524</v>
      </c>
      <c r="G1000" t="s">
        <v>573</v>
      </c>
      <c r="H1000">
        <v>0</v>
      </c>
      <c r="I1000">
        <v>0</v>
      </c>
    </row>
    <row r="1001" spans="1:9" x14ac:dyDescent="0.2">
      <c r="A1001" t="s">
        <v>286</v>
      </c>
      <c r="B1001" t="s">
        <v>393</v>
      </c>
      <c r="C1001" t="s">
        <v>491</v>
      </c>
      <c r="D1001">
        <v>0</v>
      </c>
      <c r="E1001" t="s">
        <v>491</v>
      </c>
      <c r="F1001" t="s">
        <v>524</v>
      </c>
      <c r="G1001" t="s">
        <v>573</v>
      </c>
      <c r="H1001">
        <v>0</v>
      </c>
      <c r="I1001">
        <v>0</v>
      </c>
    </row>
    <row r="1002" spans="1:9" x14ac:dyDescent="0.2">
      <c r="A1002" t="s">
        <v>286</v>
      </c>
      <c r="B1002" t="s">
        <v>394</v>
      </c>
      <c r="C1002" t="s">
        <v>491</v>
      </c>
      <c r="D1002">
        <v>0</v>
      </c>
      <c r="E1002" t="s">
        <v>491</v>
      </c>
      <c r="F1002" t="s">
        <v>524</v>
      </c>
      <c r="G1002" t="s">
        <v>573</v>
      </c>
      <c r="H1002">
        <v>0</v>
      </c>
      <c r="I1002">
        <v>0</v>
      </c>
    </row>
    <row r="1003" spans="1:9" x14ac:dyDescent="0.2">
      <c r="A1003" t="s">
        <v>286</v>
      </c>
      <c r="B1003" t="s">
        <v>394</v>
      </c>
      <c r="C1003" t="s">
        <v>491</v>
      </c>
      <c r="D1003">
        <v>0</v>
      </c>
      <c r="E1003" t="s">
        <v>491</v>
      </c>
      <c r="F1003" t="s">
        <v>524</v>
      </c>
      <c r="G1003" t="s">
        <v>573</v>
      </c>
      <c r="H1003">
        <v>0</v>
      </c>
      <c r="I1003">
        <v>0</v>
      </c>
    </row>
    <row r="1004" spans="1:9" x14ac:dyDescent="0.2">
      <c r="A1004" t="s">
        <v>286</v>
      </c>
      <c r="B1004" t="s">
        <v>395</v>
      </c>
      <c r="C1004" t="s">
        <v>491</v>
      </c>
      <c r="D1004">
        <v>0</v>
      </c>
      <c r="E1004" t="s">
        <v>491</v>
      </c>
      <c r="F1004" t="s">
        <v>524</v>
      </c>
      <c r="G1004" t="s">
        <v>573</v>
      </c>
      <c r="H1004">
        <v>0</v>
      </c>
      <c r="I1004">
        <v>0</v>
      </c>
    </row>
    <row r="1005" spans="1:9" x14ac:dyDescent="0.2">
      <c r="A1005" t="s">
        <v>286</v>
      </c>
      <c r="B1005" t="s">
        <v>396</v>
      </c>
      <c r="C1005" t="s">
        <v>486</v>
      </c>
      <c r="D1005">
        <v>0</v>
      </c>
      <c r="E1005" t="s">
        <v>486</v>
      </c>
      <c r="F1005" t="s">
        <v>541</v>
      </c>
      <c r="G1005" t="s">
        <v>573</v>
      </c>
      <c r="H1005">
        <v>0</v>
      </c>
      <c r="I1005">
        <v>0</v>
      </c>
    </row>
    <row r="1006" spans="1:9" x14ac:dyDescent="0.2">
      <c r="A1006" t="s">
        <v>286</v>
      </c>
      <c r="B1006" t="s">
        <v>397</v>
      </c>
      <c r="C1006" t="s">
        <v>486</v>
      </c>
      <c r="D1006">
        <v>0</v>
      </c>
      <c r="E1006" t="s">
        <v>486</v>
      </c>
      <c r="F1006" t="s">
        <v>541</v>
      </c>
      <c r="G1006" t="s">
        <v>573</v>
      </c>
      <c r="H1006">
        <v>0</v>
      </c>
      <c r="I1006">
        <v>0</v>
      </c>
    </row>
    <row r="1007" spans="1:9" x14ac:dyDescent="0.2">
      <c r="A1007" t="s">
        <v>286</v>
      </c>
      <c r="B1007" t="s">
        <v>398</v>
      </c>
      <c r="C1007" t="s">
        <v>486</v>
      </c>
      <c r="D1007">
        <v>0</v>
      </c>
      <c r="E1007" t="s">
        <v>486</v>
      </c>
      <c r="F1007" t="s">
        <v>541</v>
      </c>
      <c r="G1007" t="s">
        <v>573</v>
      </c>
      <c r="H1007">
        <v>0</v>
      </c>
      <c r="I1007">
        <v>0</v>
      </c>
    </row>
    <row r="1008" spans="1:9" x14ac:dyDescent="0.2">
      <c r="A1008" t="s">
        <v>287</v>
      </c>
      <c r="B1008" t="s">
        <v>399</v>
      </c>
      <c r="C1008" t="s">
        <v>477</v>
      </c>
      <c r="D1008">
        <v>0</v>
      </c>
      <c r="E1008" t="s">
        <v>477</v>
      </c>
      <c r="F1008" t="s">
        <v>542</v>
      </c>
      <c r="G1008" t="s">
        <v>573</v>
      </c>
      <c r="H1008">
        <v>0</v>
      </c>
      <c r="I1008">
        <v>0</v>
      </c>
    </row>
    <row r="1009" spans="1:9" x14ac:dyDescent="0.2">
      <c r="A1009" t="s">
        <v>288</v>
      </c>
      <c r="B1009" t="s">
        <v>400</v>
      </c>
      <c r="C1009" t="s">
        <v>477</v>
      </c>
      <c r="D1009">
        <v>0</v>
      </c>
      <c r="E1009" t="s">
        <v>477</v>
      </c>
      <c r="F1009" t="s">
        <v>543</v>
      </c>
      <c r="G1009" t="s">
        <v>573</v>
      </c>
      <c r="H1009">
        <v>0</v>
      </c>
      <c r="I1009">
        <v>0</v>
      </c>
    </row>
    <row r="1010" spans="1:9" x14ac:dyDescent="0.2">
      <c r="A1010" t="s">
        <v>285</v>
      </c>
      <c r="B1010" t="s">
        <v>401</v>
      </c>
      <c r="C1010" t="s">
        <v>477</v>
      </c>
      <c r="D1010">
        <v>0</v>
      </c>
      <c r="E1010" t="s">
        <v>477</v>
      </c>
      <c r="F1010" t="s">
        <v>529</v>
      </c>
      <c r="G1010" t="s">
        <v>570</v>
      </c>
      <c r="H1010">
        <v>0</v>
      </c>
      <c r="I1010">
        <v>0</v>
      </c>
    </row>
    <row r="1011" spans="1:9" x14ac:dyDescent="0.2">
      <c r="A1011" t="s">
        <v>289</v>
      </c>
      <c r="B1011" t="s">
        <v>402</v>
      </c>
      <c r="C1011" t="s">
        <v>492</v>
      </c>
      <c r="D1011">
        <v>0</v>
      </c>
      <c r="E1011" t="s">
        <v>492</v>
      </c>
      <c r="F1011" t="s">
        <v>529</v>
      </c>
      <c r="G1011" t="s">
        <v>572</v>
      </c>
      <c r="H1011">
        <v>0</v>
      </c>
      <c r="I1011">
        <v>0</v>
      </c>
    </row>
    <row r="1012" spans="1:9" x14ac:dyDescent="0.2">
      <c r="A1012" t="s">
        <v>289</v>
      </c>
      <c r="B1012" t="s">
        <v>403</v>
      </c>
      <c r="C1012" t="s">
        <v>492</v>
      </c>
      <c r="D1012">
        <v>0</v>
      </c>
      <c r="E1012" t="s">
        <v>492</v>
      </c>
      <c r="F1012" t="s">
        <v>543</v>
      </c>
      <c r="G1012" t="s">
        <v>572</v>
      </c>
      <c r="H1012">
        <v>0</v>
      </c>
      <c r="I1012">
        <v>0</v>
      </c>
    </row>
    <row r="1013" spans="1:9" x14ac:dyDescent="0.2">
      <c r="A1013" t="s">
        <v>289</v>
      </c>
      <c r="B1013" t="s">
        <v>404</v>
      </c>
      <c r="C1013" t="s">
        <v>492</v>
      </c>
      <c r="D1013">
        <v>0</v>
      </c>
      <c r="E1013" t="s">
        <v>492</v>
      </c>
      <c r="F1013" t="s">
        <v>529</v>
      </c>
      <c r="G1013" t="s">
        <v>572</v>
      </c>
      <c r="H1013">
        <v>0</v>
      </c>
      <c r="I1013">
        <v>0</v>
      </c>
    </row>
    <row r="1014" spans="1:9" x14ac:dyDescent="0.2">
      <c r="A1014" t="s">
        <v>286</v>
      </c>
      <c r="B1014" t="s">
        <v>405</v>
      </c>
      <c r="C1014" t="s">
        <v>486</v>
      </c>
      <c r="D1014">
        <v>0</v>
      </c>
      <c r="E1014" t="s">
        <v>486</v>
      </c>
      <c r="F1014" t="s">
        <v>540</v>
      </c>
      <c r="G1014" t="s">
        <v>572</v>
      </c>
      <c r="H1014">
        <v>0</v>
      </c>
      <c r="I1014">
        <v>0</v>
      </c>
    </row>
    <row r="1015" spans="1:9" x14ac:dyDescent="0.2">
      <c r="A1015" t="s">
        <v>286</v>
      </c>
      <c r="B1015" t="s">
        <v>406</v>
      </c>
      <c r="C1015" t="s">
        <v>486</v>
      </c>
      <c r="D1015">
        <v>0</v>
      </c>
      <c r="E1015" t="s">
        <v>486</v>
      </c>
      <c r="F1015" t="s">
        <v>536</v>
      </c>
      <c r="G1015" t="s">
        <v>572</v>
      </c>
      <c r="H1015">
        <v>0</v>
      </c>
      <c r="I1015">
        <v>0</v>
      </c>
    </row>
    <row r="1016" spans="1:9" x14ac:dyDescent="0.2">
      <c r="A1016" t="s">
        <v>290</v>
      </c>
      <c r="B1016" t="s">
        <v>407</v>
      </c>
      <c r="C1016" t="s">
        <v>478</v>
      </c>
      <c r="D1016">
        <v>0</v>
      </c>
      <c r="E1016" t="s">
        <v>478</v>
      </c>
      <c r="F1016" t="s">
        <v>544</v>
      </c>
      <c r="G1016" t="s">
        <v>569</v>
      </c>
      <c r="H1016">
        <v>0</v>
      </c>
      <c r="I1016">
        <v>0</v>
      </c>
    </row>
    <row r="1017" spans="1:9" x14ac:dyDescent="0.2">
      <c r="A1017" t="s">
        <v>291</v>
      </c>
      <c r="B1017" t="s">
        <v>408</v>
      </c>
      <c r="C1017" t="s">
        <v>478</v>
      </c>
      <c r="D1017">
        <v>0</v>
      </c>
      <c r="E1017" t="s">
        <v>478</v>
      </c>
      <c r="F1017" t="s">
        <v>545</v>
      </c>
      <c r="G1017" t="s">
        <v>576</v>
      </c>
      <c r="H1017">
        <v>0</v>
      </c>
      <c r="I1017">
        <v>0</v>
      </c>
    </row>
    <row r="1018" spans="1:9" x14ac:dyDescent="0.2">
      <c r="A1018" t="s">
        <v>292</v>
      </c>
      <c r="B1018" t="s">
        <v>409</v>
      </c>
      <c r="C1018" t="s">
        <v>478</v>
      </c>
      <c r="D1018">
        <v>0</v>
      </c>
      <c r="E1018" t="s">
        <v>478</v>
      </c>
      <c r="F1018" t="s">
        <v>546</v>
      </c>
      <c r="G1018" t="s">
        <v>576</v>
      </c>
      <c r="H1018">
        <v>0</v>
      </c>
      <c r="I1018">
        <v>0</v>
      </c>
    </row>
    <row r="1019" spans="1:9" x14ac:dyDescent="0.2">
      <c r="A1019" t="s">
        <v>292</v>
      </c>
      <c r="B1019" t="s">
        <v>410</v>
      </c>
      <c r="C1019" t="s">
        <v>478</v>
      </c>
      <c r="D1019">
        <v>0</v>
      </c>
      <c r="E1019" t="s">
        <v>478</v>
      </c>
      <c r="F1019" t="s">
        <v>547</v>
      </c>
      <c r="G1019" t="s">
        <v>576</v>
      </c>
      <c r="H1019">
        <v>0</v>
      </c>
      <c r="I1019">
        <v>0</v>
      </c>
    </row>
    <row r="1020" spans="1:9" x14ac:dyDescent="0.2">
      <c r="A1020" t="s">
        <v>268</v>
      </c>
      <c r="B1020" t="s">
        <v>411</v>
      </c>
      <c r="C1020" t="s">
        <v>478</v>
      </c>
      <c r="D1020">
        <v>0</v>
      </c>
      <c r="E1020" t="s">
        <v>478</v>
      </c>
      <c r="F1020" t="s">
        <v>520</v>
      </c>
      <c r="G1020" t="s">
        <v>576</v>
      </c>
      <c r="H1020">
        <v>0</v>
      </c>
      <c r="I1020">
        <v>0</v>
      </c>
    </row>
    <row r="1021" spans="1:9" x14ac:dyDescent="0.2">
      <c r="A1021" t="s">
        <v>293</v>
      </c>
      <c r="B1021" t="s">
        <v>412</v>
      </c>
      <c r="C1021" t="s">
        <v>478</v>
      </c>
      <c r="D1021">
        <v>0</v>
      </c>
      <c r="E1021" t="s">
        <v>478</v>
      </c>
      <c r="F1021" t="s">
        <v>536</v>
      </c>
      <c r="G1021" t="s">
        <v>571</v>
      </c>
      <c r="H1021">
        <v>0</v>
      </c>
      <c r="I1021">
        <v>0</v>
      </c>
    </row>
    <row r="1022" spans="1:9" x14ac:dyDescent="0.2">
      <c r="A1022" t="s">
        <v>294</v>
      </c>
      <c r="B1022" t="s">
        <v>413</v>
      </c>
      <c r="C1022" t="s">
        <v>493</v>
      </c>
      <c r="D1022">
        <v>0</v>
      </c>
      <c r="E1022" t="s">
        <v>493</v>
      </c>
      <c r="F1022" t="s">
        <v>548</v>
      </c>
      <c r="G1022" t="s">
        <v>577</v>
      </c>
      <c r="H1022">
        <v>0</v>
      </c>
      <c r="I1022">
        <v>0</v>
      </c>
    </row>
    <row r="1023" spans="1:9" x14ac:dyDescent="0.2">
      <c r="A1023" t="s">
        <v>295</v>
      </c>
      <c r="B1023" t="s">
        <v>414</v>
      </c>
      <c r="C1023" t="s">
        <v>494</v>
      </c>
      <c r="D1023">
        <v>0</v>
      </c>
      <c r="E1023" t="s">
        <v>494</v>
      </c>
      <c r="F1023" t="s">
        <v>549</v>
      </c>
      <c r="G1023" t="s">
        <v>577</v>
      </c>
      <c r="H1023">
        <v>0</v>
      </c>
      <c r="I1023">
        <v>0</v>
      </c>
    </row>
    <row r="1024" spans="1:9" x14ac:dyDescent="0.2">
      <c r="A1024" t="s">
        <v>296</v>
      </c>
      <c r="B1024" t="s">
        <v>415</v>
      </c>
      <c r="C1024" t="s">
        <v>494</v>
      </c>
      <c r="D1024">
        <v>0</v>
      </c>
      <c r="E1024" t="s">
        <v>494</v>
      </c>
      <c r="F1024" t="s">
        <v>550</v>
      </c>
      <c r="G1024" t="s">
        <v>577</v>
      </c>
      <c r="H1024">
        <v>0</v>
      </c>
      <c r="I1024">
        <v>0</v>
      </c>
    </row>
    <row r="1025" spans="1:9" x14ac:dyDescent="0.2">
      <c r="A1025" t="s">
        <v>297</v>
      </c>
      <c r="B1025" t="s">
        <v>416</v>
      </c>
      <c r="C1025" t="s">
        <v>488</v>
      </c>
      <c r="D1025">
        <v>0</v>
      </c>
      <c r="E1025" t="s">
        <v>488</v>
      </c>
      <c r="F1025" t="s">
        <v>551</v>
      </c>
      <c r="G1025" t="s">
        <v>577</v>
      </c>
      <c r="H1025">
        <v>0</v>
      </c>
      <c r="I1025">
        <v>0</v>
      </c>
    </row>
    <row r="1026" spans="1:9" x14ac:dyDescent="0.2">
      <c r="A1026" t="s">
        <v>298</v>
      </c>
      <c r="B1026" t="s">
        <v>417</v>
      </c>
      <c r="C1026" t="s">
        <v>495</v>
      </c>
      <c r="D1026">
        <v>0</v>
      </c>
      <c r="E1026" t="s">
        <v>495</v>
      </c>
      <c r="F1026" t="s">
        <v>552</v>
      </c>
      <c r="G1026" t="s">
        <v>577</v>
      </c>
      <c r="H1026">
        <v>0</v>
      </c>
      <c r="I1026">
        <v>0</v>
      </c>
    </row>
    <row r="1027" spans="1:9" x14ac:dyDescent="0.2">
      <c r="A1027" t="s">
        <v>299</v>
      </c>
      <c r="B1027" t="s">
        <v>418</v>
      </c>
      <c r="C1027" t="s">
        <v>496</v>
      </c>
      <c r="D1027">
        <v>0</v>
      </c>
      <c r="E1027" t="s">
        <v>496</v>
      </c>
      <c r="F1027" t="s">
        <v>516</v>
      </c>
      <c r="G1027" t="s">
        <v>577</v>
      </c>
      <c r="H1027">
        <v>0</v>
      </c>
      <c r="I1027">
        <v>0</v>
      </c>
    </row>
    <row r="1028" spans="1:9" x14ac:dyDescent="0.2">
      <c r="A1028" t="s">
        <v>300</v>
      </c>
      <c r="B1028" t="s">
        <v>419</v>
      </c>
      <c r="C1028" t="s">
        <v>497</v>
      </c>
      <c r="D1028">
        <v>0</v>
      </c>
      <c r="E1028" t="s">
        <v>497</v>
      </c>
      <c r="F1028" t="s">
        <v>553</v>
      </c>
      <c r="G1028" t="s">
        <v>577</v>
      </c>
      <c r="H1028">
        <v>0</v>
      </c>
      <c r="I1028">
        <v>0</v>
      </c>
    </row>
    <row r="1029" spans="1:9" x14ac:dyDescent="0.2">
      <c r="A1029" t="s">
        <v>301</v>
      </c>
      <c r="B1029" t="s">
        <v>420</v>
      </c>
      <c r="C1029" t="s">
        <v>478</v>
      </c>
      <c r="D1029">
        <v>0</v>
      </c>
      <c r="E1029" t="s">
        <v>478</v>
      </c>
      <c r="F1029" t="s">
        <v>516</v>
      </c>
      <c r="G1029" t="s">
        <v>576</v>
      </c>
      <c r="H1029">
        <v>0</v>
      </c>
      <c r="I1029">
        <v>0</v>
      </c>
    </row>
    <row r="1030" spans="1:9" x14ac:dyDescent="0.2">
      <c r="A1030" t="s">
        <v>283</v>
      </c>
      <c r="B1030" t="s">
        <v>421</v>
      </c>
      <c r="C1030" t="s">
        <v>477</v>
      </c>
      <c r="D1030">
        <v>0</v>
      </c>
      <c r="E1030" t="s">
        <v>477</v>
      </c>
      <c r="F1030" t="s">
        <v>540</v>
      </c>
      <c r="G1030" t="s">
        <v>578</v>
      </c>
      <c r="H1030">
        <v>0</v>
      </c>
      <c r="I1030">
        <v>0</v>
      </c>
    </row>
    <row r="1031" spans="1:9" x14ac:dyDescent="0.2">
      <c r="A1031" t="s">
        <v>264</v>
      </c>
      <c r="B1031" t="s">
        <v>422</v>
      </c>
      <c r="C1031" t="s">
        <v>477</v>
      </c>
      <c r="D1031">
        <v>0</v>
      </c>
      <c r="E1031" t="s">
        <v>477</v>
      </c>
      <c r="F1031" t="s">
        <v>541</v>
      </c>
      <c r="G1031" t="s">
        <v>578</v>
      </c>
      <c r="H1031">
        <v>0</v>
      </c>
      <c r="I1031">
        <v>0</v>
      </c>
    </row>
    <row r="1032" spans="1:9" x14ac:dyDescent="0.2">
      <c r="A1032" t="s">
        <v>264</v>
      </c>
      <c r="B1032" t="s">
        <v>423</v>
      </c>
      <c r="C1032" t="s">
        <v>478</v>
      </c>
      <c r="D1032">
        <v>0</v>
      </c>
      <c r="E1032" t="s">
        <v>478</v>
      </c>
      <c r="F1032" t="s">
        <v>516</v>
      </c>
      <c r="G1032" t="s">
        <v>578</v>
      </c>
      <c r="H1032">
        <v>0</v>
      </c>
      <c r="I1032">
        <v>0</v>
      </c>
    </row>
    <row r="1033" spans="1:9" x14ac:dyDescent="0.2">
      <c r="A1033" t="s">
        <v>301</v>
      </c>
      <c r="B1033" t="s">
        <v>424</v>
      </c>
      <c r="C1033" t="s">
        <v>478</v>
      </c>
      <c r="D1033">
        <v>0</v>
      </c>
      <c r="E1033" t="s">
        <v>478</v>
      </c>
      <c r="F1033" t="s">
        <v>537</v>
      </c>
      <c r="G1033" t="s">
        <v>576</v>
      </c>
      <c r="H1033">
        <v>0</v>
      </c>
      <c r="I1033">
        <v>0</v>
      </c>
    </row>
    <row r="1034" spans="1:9" x14ac:dyDescent="0.2">
      <c r="A1034" t="s">
        <v>283</v>
      </c>
      <c r="B1034" t="s">
        <v>425</v>
      </c>
      <c r="C1034" t="s">
        <v>498</v>
      </c>
      <c r="D1034">
        <v>0</v>
      </c>
      <c r="E1034" t="s">
        <v>498</v>
      </c>
      <c r="F1034" t="s">
        <v>529</v>
      </c>
      <c r="G1034" t="s">
        <v>578</v>
      </c>
      <c r="H1034">
        <v>0</v>
      </c>
      <c r="I1034">
        <v>0</v>
      </c>
    </row>
    <row r="1035" spans="1:9" x14ac:dyDescent="0.2">
      <c r="A1035" t="s">
        <v>302</v>
      </c>
      <c r="B1035" t="s">
        <v>426</v>
      </c>
      <c r="C1035" t="s">
        <v>478</v>
      </c>
      <c r="D1035">
        <v>0</v>
      </c>
      <c r="E1035" t="s">
        <v>478</v>
      </c>
      <c r="F1035" t="s">
        <v>529</v>
      </c>
      <c r="G1035" t="s">
        <v>579</v>
      </c>
      <c r="H1035">
        <v>0</v>
      </c>
      <c r="I1035">
        <v>0</v>
      </c>
    </row>
    <row r="1036" spans="1:9" x14ac:dyDescent="0.2">
      <c r="A1036" t="s">
        <v>285</v>
      </c>
      <c r="B1036" t="s">
        <v>427</v>
      </c>
      <c r="C1036" t="s">
        <v>499</v>
      </c>
      <c r="D1036">
        <v>0</v>
      </c>
      <c r="E1036" t="s">
        <v>499</v>
      </c>
      <c r="F1036" t="s">
        <v>542</v>
      </c>
      <c r="G1036" t="s">
        <v>577</v>
      </c>
      <c r="H1036">
        <v>0</v>
      </c>
      <c r="I1036">
        <v>0</v>
      </c>
    </row>
    <row r="1037" spans="1:9" x14ac:dyDescent="0.2">
      <c r="A1037" t="s">
        <v>303</v>
      </c>
      <c r="B1037" t="s">
        <v>428</v>
      </c>
      <c r="C1037" t="s">
        <v>500</v>
      </c>
      <c r="D1037">
        <v>0</v>
      </c>
      <c r="E1037" t="s">
        <v>500</v>
      </c>
      <c r="F1037" t="s">
        <v>546</v>
      </c>
      <c r="G1037" t="s">
        <v>577</v>
      </c>
      <c r="H1037">
        <v>0</v>
      </c>
      <c r="I1037">
        <v>0</v>
      </c>
    </row>
    <row r="1038" spans="1:9" x14ac:dyDescent="0.2">
      <c r="A1038" t="s">
        <v>304</v>
      </c>
      <c r="B1038" t="s">
        <v>429</v>
      </c>
      <c r="C1038" t="s">
        <v>478</v>
      </c>
      <c r="D1038">
        <v>0</v>
      </c>
      <c r="E1038" t="s">
        <v>478</v>
      </c>
      <c r="F1038" t="s">
        <v>554</v>
      </c>
      <c r="G1038" t="s">
        <v>569</v>
      </c>
      <c r="H1038">
        <v>0</v>
      </c>
      <c r="I1038">
        <v>0</v>
      </c>
    </row>
    <row r="1039" spans="1:9" x14ac:dyDescent="0.2">
      <c r="A1039" t="s">
        <v>277</v>
      </c>
      <c r="B1039" t="s">
        <v>430</v>
      </c>
      <c r="C1039" t="s">
        <v>478</v>
      </c>
      <c r="D1039">
        <v>0</v>
      </c>
      <c r="E1039" t="s">
        <v>478</v>
      </c>
      <c r="F1039" t="s">
        <v>539</v>
      </c>
      <c r="G1039" t="s">
        <v>571</v>
      </c>
      <c r="H1039">
        <v>0</v>
      </c>
      <c r="I1039">
        <v>0</v>
      </c>
    </row>
    <row r="1040" spans="1:9" x14ac:dyDescent="0.2">
      <c r="A1040" t="s">
        <v>277</v>
      </c>
      <c r="B1040" t="s">
        <v>431</v>
      </c>
      <c r="C1040" t="s">
        <v>478</v>
      </c>
      <c r="D1040">
        <v>0</v>
      </c>
      <c r="E1040" t="s">
        <v>478</v>
      </c>
      <c r="F1040" t="s">
        <v>534</v>
      </c>
      <c r="G1040" t="s">
        <v>571</v>
      </c>
      <c r="H1040">
        <v>0</v>
      </c>
      <c r="I1040">
        <v>0</v>
      </c>
    </row>
    <row r="1041" spans="1:9" x14ac:dyDescent="0.2">
      <c r="A1041" t="s">
        <v>277</v>
      </c>
      <c r="B1041" t="s">
        <v>432</v>
      </c>
      <c r="C1041" t="s">
        <v>501</v>
      </c>
      <c r="D1041">
        <v>0</v>
      </c>
      <c r="E1041" t="s">
        <v>501</v>
      </c>
      <c r="F1041" t="s">
        <v>555</v>
      </c>
      <c r="G1041" t="s">
        <v>571</v>
      </c>
      <c r="H1041">
        <v>0</v>
      </c>
      <c r="I1041">
        <v>0</v>
      </c>
    </row>
    <row r="1042" spans="1:9" x14ac:dyDescent="0.2">
      <c r="A1042" t="s">
        <v>263</v>
      </c>
      <c r="B1042" t="s">
        <v>433</v>
      </c>
      <c r="C1042" t="s">
        <v>502</v>
      </c>
      <c r="D1042">
        <v>0</v>
      </c>
      <c r="E1042" t="s">
        <v>502</v>
      </c>
      <c r="F1042" t="s">
        <v>556</v>
      </c>
      <c r="G1042" t="s">
        <v>580</v>
      </c>
      <c r="H1042">
        <v>0</v>
      </c>
      <c r="I1042">
        <v>0</v>
      </c>
    </row>
    <row r="1043" spans="1:9" x14ac:dyDescent="0.2">
      <c r="A1043" t="s">
        <v>268</v>
      </c>
      <c r="B1043" t="s">
        <v>434</v>
      </c>
      <c r="C1043" t="s">
        <v>478</v>
      </c>
      <c r="D1043">
        <v>0</v>
      </c>
      <c r="E1043" t="s">
        <v>478</v>
      </c>
      <c r="F1043" t="s">
        <v>520</v>
      </c>
      <c r="G1043" t="s">
        <v>571</v>
      </c>
      <c r="H1043">
        <v>0</v>
      </c>
      <c r="I1043">
        <v>0</v>
      </c>
    </row>
    <row r="1044" spans="1:9" x14ac:dyDescent="0.2">
      <c r="A1044" t="s">
        <v>305</v>
      </c>
      <c r="B1044" t="s">
        <v>435</v>
      </c>
      <c r="C1044" t="s">
        <v>478</v>
      </c>
      <c r="D1044">
        <v>0</v>
      </c>
      <c r="E1044" t="s">
        <v>478</v>
      </c>
      <c r="F1044" t="s">
        <v>557</v>
      </c>
      <c r="G1044" t="s">
        <v>569</v>
      </c>
      <c r="H1044">
        <v>0</v>
      </c>
      <c r="I1044">
        <v>0</v>
      </c>
    </row>
    <row r="1045" spans="1:9" x14ac:dyDescent="0.2">
      <c r="A1045" t="s">
        <v>306</v>
      </c>
      <c r="B1045" t="s">
        <v>436</v>
      </c>
      <c r="C1045" t="s">
        <v>478</v>
      </c>
      <c r="D1045">
        <v>0</v>
      </c>
      <c r="E1045" t="s">
        <v>478</v>
      </c>
      <c r="F1045" t="s">
        <v>558</v>
      </c>
      <c r="G1045" t="s">
        <v>569</v>
      </c>
      <c r="H1045">
        <v>0</v>
      </c>
      <c r="I1045">
        <v>0</v>
      </c>
    </row>
    <row r="1046" spans="1:9" x14ac:dyDescent="0.2">
      <c r="A1046" t="s">
        <v>307</v>
      </c>
      <c r="B1046" t="s">
        <v>437</v>
      </c>
      <c r="C1046" t="s">
        <v>478</v>
      </c>
      <c r="D1046">
        <v>0</v>
      </c>
      <c r="E1046" t="s">
        <v>478</v>
      </c>
      <c r="F1046" t="s">
        <v>559</v>
      </c>
      <c r="G1046" t="s">
        <v>574</v>
      </c>
      <c r="H1046">
        <v>0</v>
      </c>
      <c r="I1046">
        <v>0</v>
      </c>
    </row>
    <row r="1047" spans="1:9" x14ac:dyDescent="0.2">
      <c r="A1047" t="s">
        <v>308</v>
      </c>
      <c r="B1047" t="s">
        <v>438</v>
      </c>
      <c r="C1047" t="s">
        <v>478</v>
      </c>
      <c r="D1047">
        <v>0</v>
      </c>
      <c r="E1047" t="s">
        <v>478</v>
      </c>
      <c r="F1047" t="s">
        <v>560</v>
      </c>
      <c r="G1047" t="s">
        <v>569</v>
      </c>
      <c r="H1047">
        <v>0</v>
      </c>
      <c r="I1047">
        <v>0</v>
      </c>
    </row>
    <row r="1048" spans="1:9" x14ac:dyDescent="0.2">
      <c r="A1048" t="s">
        <v>309</v>
      </c>
      <c r="B1048" t="s">
        <v>439</v>
      </c>
      <c r="C1048" t="s">
        <v>478</v>
      </c>
      <c r="D1048">
        <v>0</v>
      </c>
      <c r="E1048" t="s">
        <v>478</v>
      </c>
      <c r="F1048" t="s">
        <v>558</v>
      </c>
      <c r="G1048" t="s">
        <v>574</v>
      </c>
      <c r="H1048">
        <v>0</v>
      </c>
      <c r="I1048">
        <v>0</v>
      </c>
    </row>
    <row r="1049" spans="1:9" x14ac:dyDescent="0.2">
      <c r="A1049" t="s">
        <v>310</v>
      </c>
      <c r="B1049" t="s">
        <v>440</v>
      </c>
      <c r="C1049" t="s">
        <v>478</v>
      </c>
      <c r="D1049">
        <v>0</v>
      </c>
      <c r="E1049" t="s">
        <v>478</v>
      </c>
      <c r="F1049" t="s">
        <v>561</v>
      </c>
      <c r="G1049" t="s">
        <v>569</v>
      </c>
      <c r="H1049">
        <v>0</v>
      </c>
      <c r="I1049">
        <v>0</v>
      </c>
    </row>
    <row r="1050" spans="1:9" x14ac:dyDescent="0.2">
      <c r="A1050" t="s">
        <v>311</v>
      </c>
      <c r="B1050" t="s">
        <v>441</v>
      </c>
      <c r="C1050" t="s">
        <v>481</v>
      </c>
      <c r="D1050">
        <v>0</v>
      </c>
      <c r="E1050" t="s">
        <v>481</v>
      </c>
      <c r="F1050" t="s">
        <v>527</v>
      </c>
      <c r="G1050" t="s">
        <v>580</v>
      </c>
      <c r="H1050">
        <v>0</v>
      </c>
      <c r="I1050">
        <v>0</v>
      </c>
    </row>
    <row r="1051" spans="1:9" x14ac:dyDescent="0.2">
      <c r="A1051" t="s">
        <v>311</v>
      </c>
      <c r="B1051" t="s">
        <v>442</v>
      </c>
      <c r="C1051" t="s">
        <v>482</v>
      </c>
      <c r="D1051">
        <v>0</v>
      </c>
      <c r="E1051" t="s">
        <v>482</v>
      </c>
      <c r="F1051" t="s">
        <v>562</v>
      </c>
      <c r="G1051" t="s">
        <v>580</v>
      </c>
      <c r="H1051">
        <v>0</v>
      </c>
      <c r="I1051">
        <v>0</v>
      </c>
    </row>
    <row r="1052" spans="1:9" x14ac:dyDescent="0.2">
      <c r="A1052" t="s">
        <v>311</v>
      </c>
      <c r="B1052" t="s">
        <v>443</v>
      </c>
      <c r="C1052" t="s">
        <v>481</v>
      </c>
      <c r="D1052">
        <v>0</v>
      </c>
      <c r="E1052" t="s">
        <v>481</v>
      </c>
      <c r="F1052" t="s">
        <v>563</v>
      </c>
      <c r="G1052" t="s">
        <v>580</v>
      </c>
      <c r="H1052">
        <v>0</v>
      </c>
      <c r="I1052">
        <v>0</v>
      </c>
    </row>
    <row r="1053" spans="1:9" x14ac:dyDescent="0.2">
      <c r="A1053" t="s">
        <v>312</v>
      </c>
      <c r="B1053" t="s">
        <v>444</v>
      </c>
      <c r="C1053" t="s">
        <v>481</v>
      </c>
      <c r="D1053">
        <v>0</v>
      </c>
      <c r="E1053" t="s">
        <v>481</v>
      </c>
      <c r="F1053" t="s">
        <v>526</v>
      </c>
      <c r="G1053" t="s">
        <v>580</v>
      </c>
      <c r="H1053">
        <v>0</v>
      </c>
      <c r="I1053">
        <v>0</v>
      </c>
    </row>
    <row r="1054" spans="1:9" x14ac:dyDescent="0.2">
      <c r="A1054" t="s">
        <v>286</v>
      </c>
      <c r="B1054" t="s">
        <v>445</v>
      </c>
      <c r="C1054" t="s">
        <v>486</v>
      </c>
      <c r="D1054">
        <v>0</v>
      </c>
      <c r="E1054" t="s">
        <v>486</v>
      </c>
      <c r="F1054" t="s">
        <v>542</v>
      </c>
      <c r="G1054" t="s">
        <v>580</v>
      </c>
      <c r="H1054">
        <v>0</v>
      </c>
      <c r="I1054">
        <v>0</v>
      </c>
    </row>
    <row r="1055" spans="1:9" x14ac:dyDescent="0.2">
      <c r="A1055" t="s">
        <v>286</v>
      </c>
      <c r="B1055" t="s">
        <v>446</v>
      </c>
      <c r="C1055" t="s">
        <v>486</v>
      </c>
      <c r="D1055">
        <v>0</v>
      </c>
      <c r="E1055" t="s">
        <v>486</v>
      </c>
      <c r="F1055" t="s">
        <v>541</v>
      </c>
      <c r="G1055" t="s">
        <v>580</v>
      </c>
      <c r="H1055">
        <v>0</v>
      </c>
      <c r="I1055">
        <v>0</v>
      </c>
    </row>
    <row r="1056" spans="1:9" x14ac:dyDescent="0.2">
      <c r="A1056" t="s">
        <v>313</v>
      </c>
      <c r="B1056" t="s">
        <v>447</v>
      </c>
      <c r="C1056" t="s">
        <v>478</v>
      </c>
      <c r="D1056">
        <v>0</v>
      </c>
      <c r="E1056" t="s">
        <v>478</v>
      </c>
      <c r="F1056" t="s">
        <v>516</v>
      </c>
      <c r="G1056" t="s">
        <v>569</v>
      </c>
      <c r="H1056">
        <v>0</v>
      </c>
      <c r="I1056">
        <v>0</v>
      </c>
    </row>
    <row r="1057" spans="1:9" x14ac:dyDescent="0.2">
      <c r="A1057" t="s">
        <v>314</v>
      </c>
      <c r="B1057" t="s">
        <v>448</v>
      </c>
      <c r="C1057" t="s">
        <v>478</v>
      </c>
      <c r="D1057">
        <v>0</v>
      </c>
      <c r="E1057" t="s">
        <v>478</v>
      </c>
      <c r="F1057" t="s">
        <v>516</v>
      </c>
      <c r="G1057" t="s">
        <v>569</v>
      </c>
      <c r="H1057">
        <v>0</v>
      </c>
      <c r="I1057">
        <v>0</v>
      </c>
    </row>
    <row r="1058" spans="1:9" x14ac:dyDescent="0.2">
      <c r="A1058" t="s">
        <v>315</v>
      </c>
      <c r="B1058" t="s">
        <v>449</v>
      </c>
      <c r="C1058" t="s">
        <v>478</v>
      </c>
      <c r="D1058">
        <v>0</v>
      </c>
      <c r="E1058" t="s">
        <v>478</v>
      </c>
      <c r="F1058" t="s">
        <v>530</v>
      </c>
      <c r="G1058" t="s">
        <v>569</v>
      </c>
      <c r="H1058">
        <v>0</v>
      </c>
      <c r="I1058">
        <v>0</v>
      </c>
    </row>
    <row r="1059" spans="1:9" x14ac:dyDescent="0.2">
      <c r="A1059" t="s">
        <v>315</v>
      </c>
      <c r="B1059" t="s">
        <v>450</v>
      </c>
      <c r="C1059" t="s">
        <v>478</v>
      </c>
      <c r="D1059">
        <v>0</v>
      </c>
      <c r="E1059" t="s">
        <v>478</v>
      </c>
      <c r="F1059" t="s">
        <v>530</v>
      </c>
      <c r="G1059" t="s">
        <v>569</v>
      </c>
      <c r="H1059">
        <v>0</v>
      </c>
      <c r="I1059">
        <v>0</v>
      </c>
    </row>
    <row r="1060" spans="1:9" x14ac:dyDescent="0.2">
      <c r="A1060" t="s">
        <v>315</v>
      </c>
      <c r="B1060" t="s">
        <v>451</v>
      </c>
      <c r="C1060" t="s">
        <v>478</v>
      </c>
      <c r="D1060">
        <v>0</v>
      </c>
      <c r="E1060" t="s">
        <v>478</v>
      </c>
      <c r="F1060" t="s">
        <v>530</v>
      </c>
      <c r="G1060" t="s">
        <v>569</v>
      </c>
      <c r="H1060">
        <v>0</v>
      </c>
      <c r="I1060">
        <v>0</v>
      </c>
    </row>
    <row r="1061" spans="1:9" x14ac:dyDescent="0.2">
      <c r="A1061" t="s">
        <v>313</v>
      </c>
      <c r="B1061" t="s">
        <v>452</v>
      </c>
      <c r="C1061" t="s">
        <v>478</v>
      </c>
      <c r="D1061">
        <v>0</v>
      </c>
      <c r="E1061" t="s">
        <v>478</v>
      </c>
      <c r="F1061" t="s">
        <v>524</v>
      </c>
      <c r="G1061" t="s">
        <v>569</v>
      </c>
      <c r="H1061">
        <v>0</v>
      </c>
      <c r="I1061">
        <v>0</v>
      </c>
    </row>
    <row r="1062" spans="1:9" x14ac:dyDescent="0.2">
      <c r="A1062" t="s">
        <v>314</v>
      </c>
      <c r="B1062" t="s">
        <v>453</v>
      </c>
      <c r="C1062" t="s">
        <v>478</v>
      </c>
      <c r="D1062">
        <v>0</v>
      </c>
      <c r="E1062" t="s">
        <v>478</v>
      </c>
      <c r="F1062" t="s">
        <v>538</v>
      </c>
      <c r="G1062" t="s">
        <v>569</v>
      </c>
      <c r="H1062">
        <v>0</v>
      </c>
      <c r="I1062">
        <v>0</v>
      </c>
    </row>
    <row r="1063" spans="1:9" x14ac:dyDescent="0.2">
      <c r="A1063" t="s">
        <v>314</v>
      </c>
      <c r="B1063" t="s">
        <v>454</v>
      </c>
      <c r="C1063" t="s">
        <v>478</v>
      </c>
      <c r="D1063">
        <v>0</v>
      </c>
      <c r="E1063" t="s">
        <v>478</v>
      </c>
      <c r="F1063" t="s">
        <v>530</v>
      </c>
      <c r="G1063" t="s">
        <v>569</v>
      </c>
      <c r="H1063">
        <v>0</v>
      </c>
      <c r="I1063">
        <v>0</v>
      </c>
    </row>
    <row r="1064" spans="1:9" x14ac:dyDescent="0.2">
      <c r="A1064" t="s">
        <v>314</v>
      </c>
      <c r="B1064" t="s">
        <v>455</v>
      </c>
      <c r="C1064" t="s">
        <v>478</v>
      </c>
      <c r="D1064">
        <v>0</v>
      </c>
      <c r="E1064" t="s">
        <v>478</v>
      </c>
      <c r="F1064" t="s">
        <v>538</v>
      </c>
      <c r="G1064" t="s">
        <v>569</v>
      </c>
      <c r="H1064">
        <v>0</v>
      </c>
      <c r="I1064">
        <v>0</v>
      </c>
    </row>
    <row r="1065" spans="1:9" x14ac:dyDescent="0.2">
      <c r="A1065" t="s">
        <v>314</v>
      </c>
      <c r="B1065" t="s">
        <v>456</v>
      </c>
      <c r="C1065" t="s">
        <v>478</v>
      </c>
      <c r="D1065">
        <v>0</v>
      </c>
      <c r="E1065" t="s">
        <v>478</v>
      </c>
      <c r="F1065" t="s">
        <v>530</v>
      </c>
      <c r="G1065" t="s">
        <v>569</v>
      </c>
      <c r="H1065">
        <v>0</v>
      </c>
      <c r="I1065">
        <v>0</v>
      </c>
    </row>
    <row r="1066" spans="1:9" x14ac:dyDescent="0.2">
      <c r="A1066" t="s">
        <v>277</v>
      </c>
      <c r="B1066" t="s">
        <v>457</v>
      </c>
      <c r="C1066" t="s">
        <v>501</v>
      </c>
      <c r="D1066">
        <v>0</v>
      </c>
      <c r="E1066" t="s">
        <v>501</v>
      </c>
      <c r="F1066" t="s">
        <v>564</v>
      </c>
      <c r="G1066" t="s">
        <v>571</v>
      </c>
      <c r="H1066">
        <v>0</v>
      </c>
      <c r="I1066">
        <v>0</v>
      </c>
    </row>
    <row r="1067" spans="1:9" x14ac:dyDescent="0.2">
      <c r="A1067" t="s">
        <v>263</v>
      </c>
      <c r="B1067" t="s">
        <v>458</v>
      </c>
      <c r="C1067" t="s">
        <v>476</v>
      </c>
      <c r="D1067">
        <v>0</v>
      </c>
      <c r="E1067" t="s">
        <v>476</v>
      </c>
      <c r="F1067" t="s">
        <v>565</v>
      </c>
      <c r="G1067" t="s">
        <v>580</v>
      </c>
      <c r="H1067">
        <v>0</v>
      </c>
      <c r="I1067">
        <v>0</v>
      </c>
    </row>
    <row r="1068" spans="1:9" x14ac:dyDescent="0.2">
      <c r="A1068" t="s">
        <v>316</v>
      </c>
      <c r="B1068" t="s">
        <v>459</v>
      </c>
      <c r="C1068" t="s">
        <v>478</v>
      </c>
      <c r="D1068">
        <v>0</v>
      </c>
      <c r="E1068" t="s">
        <v>478</v>
      </c>
      <c r="F1068" t="s">
        <v>557</v>
      </c>
      <c r="G1068" t="s">
        <v>569</v>
      </c>
      <c r="H1068">
        <v>0</v>
      </c>
      <c r="I1068">
        <v>0</v>
      </c>
    </row>
    <row r="1069" spans="1:9" x14ac:dyDescent="0.2">
      <c r="A1069" t="s">
        <v>317</v>
      </c>
      <c r="B1069" t="s">
        <v>460</v>
      </c>
      <c r="C1069" t="s">
        <v>478</v>
      </c>
      <c r="D1069">
        <v>0</v>
      </c>
      <c r="E1069" t="s">
        <v>478</v>
      </c>
      <c r="F1069" t="s">
        <v>560</v>
      </c>
      <c r="G1069" t="s">
        <v>569</v>
      </c>
      <c r="H1069">
        <v>0</v>
      </c>
      <c r="I1069">
        <v>0</v>
      </c>
    </row>
    <row r="1070" spans="1:9" x14ac:dyDescent="0.2">
      <c r="A1070" t="s">
        <v>318</v>
      </c>
      <c r="B1070" t="s">
        <v>461</v>
      </c>
      <c r="C1070" t="s">
        <v>478</v>
      </c>
      <c r="D1070">
        <v>0</v>
      </c>
      <c r="E1070" t="s">
        <v>478</v>
      </c>
      <c r="F1070" t="s">
        <v>561</v>
      </c>
      <c r="G1070" t="s">
        <v>574</v>
      </c>
      <c r="H1070">
        <v>0</v>
      </c>
      <c r="I1070">
        <v>0</v>
      </c>
    </row>
    <row r="1071" spans="1:9" x14ac:dyDescent="0.2">
      <c r="A1071" t="s">
        <v>319</v>
      </c>
      <c r="B1071" t="s">
        <v>462</v>
      </c>
      <c r="C1071" t="s">
        <v>482</v>
      </c>
      <c r="D1071">
        <v>0</v>
      </c>
      <c r="E1071" t="s">
        <v>482</v>
      </c>
      <c r="F1071" t="s">
        <v>526</v>
      </c>
      <c r="G1071" t="s">
        <v>580</v>
      </c>
      <c r="H1071">
        <v>0</v>
      </c>
      <c r="I1071">
        <v>0</v>
      </c>
    </row>
    <row r="1072" spans="1:9" x14ac:dyDescent="0.2">
      <c r="A1072" t="s">
        <v>320</v>
      </c>
      <c r="B1072" t="s">
        <v>463</v>
      </c>
      <c r="C1072" t="s">
        <v>488</v>
      </c>
      <c r="D1072">
        <v>0</v>
      </c>
      <c r="E1072" t="s">
        <v>488</v>
      </c>
      <c r="F1072" t="s">
        <v>562</v>
      </c>
      <c r="G1072" t="s">
        <v>580</v>
      </c>
      <c r="H1072">
        <v>0</v>
      </c>
      <c r="I1072">
        <v>0</v>
      </c>
    </row>
    <row r="1073" spans="1:9" x14ac:dyDescent="0.2">
      <c r="A1073" t="s">
        <v>319</v>
      </c>
      <c r="B1073" t="s">
        <v>464</v>
      </c>
      <c r="C1073" t="s">
        <v>482</v>
      </c>
      <c r="D1073">
        <v>0</v>
      </c>
      <c r="E1073" t="s">
        <v>482</v>
      </c>
      <c r="F1073" t="s">
        <v>563</v>
      </c>
      <c r="G1073" t="s">
        <v>580</v>
      </c>
      <c r="H1073">
        <v>0</v>
      </c>
      <c r="I1073">
        <v>0</v>
      </c>
    </row>
    <row r="1074" spans="1:9" x14ac:dyDescent="0.2">
      <c r="A1074" t="s">
        <v>319</v>
      </c>
      <c r="B1074" t="s">
        <v>465</v>
      </c>
      <c r="C1074" t="s">
        <v>481</v>
      </c>
      <c r="D1074">
        <v>0</v>
      </c>
      <c r="E1074" t="s">
        <v>481</v>
      </c>
      <c r="F1074" t="s">
        <v>526</v>
      </c>
      <c r="G1074" t="s">
        <v>580</v>
      </c>
      <c r="H1074">
        <v>0</v>
      </c>
      <c r="I1074">
        <v>0</v>
      </c>
    </row>
    <row r="1075" spans="1:9" x14ac:dyDescent="0.2">
      <c r="A1075" t="s">
        <v>321</v>
      </c>
      <c r="B1075" t="s">
        <v>466</v>
      </c>
      <c r="C1075" t="s">
        <v>488</v>
      </c>
      <c r="D1075">
        <v>0</v>
      </c>
      <c r="E1075" t="s">
        <v>488</v>
      </c>
      <c r="F1075" t="s">
        <v>547</v>
      </c>
      <c r="G1075" t="s">
        <v>574</v>
      </c>
      <c r="H1075">
        <v>0</v>
      </c>
      <c r="I1075">
        <v>0</v>
      </c>
    </row>
    <row r="1076" spans="1:9" x14ac:dyDescent="0.2">
      <c r="A1076" t="s">
        <v>322</v>
      </c>
      <c r="B1076" t="s">
        <v>467</v>
      </c>
      <c r="C1076" t="s">
        <v>482</v>
      </c>
      <c r="D1076">
        <v>0</v>
      </c>
      <c r="E1076" t="s">
        <v>482</v>
      </c>
      <c r="F1076" t="s">
        <v>566</v>
      </c>
      <c r="G1076" t="s">
        <v>574</v>
      </c>
      <c r="H1076">
        <v>0</v>
      </c>
      <c r="I1076">
        <v>0</v>
      </c>
    </row>
    <row r="1077" spans="1:9" x14ac:dyDescent="0.2">
      <c r="A1077" t="s">
        <v>283</v>
      </c>
      <c r="B1077" t="s">
        <v>468</v>
      </c>
      <c r="C1077" t="s">
        <v>478</v>
      </c>
      <c r="D1077">
        <v>0</v>
      </c>
      <c r="E1077" t="s">
        <v>478</v>
      </c>
      <c r="F1077" t="s">
        <v>524</v>
      </c>
      <c r="G1077" t="s">
        <v>581</v>
      </c>
      <c r="H1077">
        <v>0</v>
      </c>
      <c r="I1077">
        <v>0</v>
      </c>
    </row>
    <row r="1078" spans="1:9" x14ac:dyDescent="0.2">
      <c r="A1078" t="s">
        <v>275</v>
      </c>
      <c r="B1078" t="s">
        <v>469</v>
      </c>
      <c r="C1078" t="s">
        <v>478</v>
      </c>
      <c r="D1078">
        <v>0</v>
      </c>
      <c r="E1078" t="s">
        <v>478</v>
      </c>
      <c r="F1078" t="s">
        <v>530</v>
      </c>
      <c r="G1078" t="s">
        <v>581</v>
      </c>
      <c r="H1078">
        <v>0</v>
      </c>
      <c r="I1078">
        <v>0</v>
      </c>
    </row>
    <row r="1079" spans="1:9" x14ac:dyDescent="0.2">
      <c r="A1079" t="s">
        <v>275</v>
      </c>
      <c r="B1079" t="s">
        <v>470</v>
      </c>
      <c r="C1079" t="s">
        <v>478</v>
      </c>
      <c r="D1079">
        <v>0</v>
      </c>
      <c r="E1079" t="s">
        <v>478</v>
      </c>
      <c r="F1079" t="s">
        <v>530</v>
      </c>
      <c r="G1079" t="s">
        <v>581</v>
      </c>
      <c r="H1079">
        <v>0</v>
      </c>
      <c r="I1079">
        <v>0</v>
      </c>
    </row>
    <row r="1080" spans="1:9" x14ac:dyDescent="0.2">
      <c r="A1080" t="s">
        <v>275</v>
      </c>
      <c r="B1080" t="s">
        <v>471</v>
      </c>
      <c r="C1080" t="s">
        <v>478</v>
      </c>
      <c r="D1080">
        <v>0</v>
      </c>
      <c r="E1080" t="s">
        <v>478</v>
      </c>
      <c r="F1080" t="s">
        <v>530</v>
      </c>
      <c r="G1080" t="s">
        <v>581</v>
      </c>
      <c r="H1080">
        <v>0</v>
      </c>
      <c r="I1080">
        <v>0</v>
      </c>
    </row>
    <row r="1081" spans="1:9" x14ac:dyDescent="0.2">
      <c r="A1081" t="s">
        <v>275</v>
      </c>
      <c r="B1081" t="s">
        <v>472</v>
      </c>
      <c r="C1081" t="s">
        <v>478</v>
      </c>
      <c r="D1081">
        <v>0</v>
      </c>
      <c r="E1081" t="s">
        <v>478</v>
      </c>
      <c r="F1081" t="s">
        <v>530</v>
      </c>
      <c r="G1081" t="s">
        <v>581</v>
      </c>
      <c r="H1081">
        <v>0</v>
      </c>
      <c r="I1081">
        <v>0</v>
      </c>
    </row>
    <row r="1082" spans="1:9" x14ac:dyDescent="0.2">
      <c r="A1082" t="s">
        <v>286</v>
      </c>
      <c r="B1082" t="s">
        <v>473</v>
      </c>
      <c r="C1082" t="s">
        <v>486</v>
      </c>
      <c r="D1082">
        <v>0</v>
      </c>
      <c r="E1082" t="s">
        <v>486</v>
      </c>
      <c r="F1082" t="s">
        <v>542</v>
      </c>
      <c r="G1082" t="s">
        <v>580</v>
      </c>
      <c r="H1082">
        <v>0</v>
      </c>
      <c r="I1082">
        <v>0</v>
      </c>
    </row>
    <row r="1083" spans="1:9" x14ac:dyDescent="0.2">
      <c r="A1083" t="s">
        <v>286</v>
      </c>
      <c r="B1083" t="s">
        <v>474</v>
      </c>
      <c r="C1083" t="s">
        <v>486</v>
      </c>
      <c r="D1083">
        <v>0</v>
      </c>
      <c r="E1083" t="s">
        <v>486</v>
      </c>
      <c r="F1083" t="s">
        <v>542</v>
      </c>
      <c r="G1083" t="s">
        <v>580</v>
      </c>
      <c r="H1083">
        <v>0</v>
      </c>
      <c r="I1083">
        <v>0</v>
      </c>
    </row>
    <row r="1084" spans="1:9" x14ac:dyDescent="0.2">
      <c r="A1084" t="s">
        <v>289</v>
      </c>
      <c r="B1084" t="s">
        <v>475</v>
      </c>
      <c r="C1084" t="s">
        <v>478</v>
      </c>
      <c r="D1084">
        <v>0</v>
      </c>
      <c r="E1084" t="s">
        <v>478</v>
      </c>
      <c r="F1084" t="s">
        <v>559</v>
      </c>
      <c r="G1084" t="s">
        <v>574</v>
      </c>
      <c r="H1084">
        <v>0</v>
      </c>
      <c r="I1084">
        <v>0</v>
      </c>
    </row>
    <row r="1085" spans="1:9" x14ac:dyDescent="0.2">
      <c r="A1085" t="s">
        <v>302</v>
      </c>
      <c r="B1085" t="s">
        <v>302</v>
      </c>
      <c r="C1085" t="s">
        <v>478</v>
      </c>
      <c r="D1085">
        <v>0</v>
      </c>
      <c r="E1085" t="s">
        <v>478</v>
      </c>
      <c r="F1085" t="s">
        <v>567</v>
      </c>
      <c r="G1085" t="s">
        <v>579</v>
      </c>
      <c r="H1085">
        <v>0</v>
      </c>
      <c r="I1085">
        <v>0</v>
      </c>
    </row>
    <row r="1086" spans="1:9" x14ac:dyDescent="0.2">
      <c r="A1086" t="s">
        <v>323</v>
      </c>
      <c r="B1086" t="s">
        <v>302</v>
      </c>
      <c r="C1086" t="s">
        <v>478</v>
      </c>
      <c r="D1086">
        <v>0</v>
      </c>
      <c r="E1086" t="s">
        <v>478</v>
      </c>
      <c r="F1086" t="s">
        <v>568</v>
      </c>
      <c r="G1086" t="s">
        <v>569</v>
      </c>
      <c r="H1086">
        <v>0</v>
      </c>
      <c r="I1086">
        <v>0</v>
      </c>
    </row>
    <row r="1087" spans="1:9" x14ac:dyDescent="0.2">
      <c r="A1087" t="s">
        <v>263</v>
      </c>
      <c r="B1087" t="s">
        <v>324</v>
      </c>
      <c r="C1087" t="s">
        <v>476</v>
      </c>
      <c r="D1087" t="s">
        <v>503</v>
      </c>
      <c r="E1087" t="s">
        <v>478</v>
      </c>
      <c r="F1087" t="s">
        <v>515</v>
      </c>
      <c r="G1087" t="s">
        <v>319</v>
      </c>
      <c r="H1087">
        <v>512.20168843859256</v>
      </c>
      <c r="I1087">
        <v>550</v>
      </c>
    </row>
    <row r="1088" spans="1:9" x14ac:dyDescent="0.2">
      <c r="A1088" t="s">
        <v>264</v>
      </c>
      <c r="B1088" t="s">
        <v>325</v>
      </c>
      <c r="C1088" t="s">
        <v>477</v>
      </c>
      <c r="D1088" t="s">
        <v>504</v>
      </c>
      <c r="E1088" t="s">
        <v>477</v>
      </c>
      <c r="F1088" t="s">
        <v>516</v>
      </c>
      <c r="G1088" t="s">
        <v>569</v>
      </c>
      <c r="H1088">
        <v>137.34523897192631</v>
      </c>
      <c r="I1088">
        <v>150</v>
      </c>
    </row>
    <row r="1089" spans="1:9" x14ac:dyDescent="0.2">
      <c r="A1089" t="s">
        <v>265</v>
      </c>
      <c r="B1089" t="s">
        <v>326</v>
      </c>
      <c r="C1089" t="s">
        <v>478</v>
      </c>
      <c r="D1089" t="s">
        <v>505</v>
      </c>
      <c r="E1089" t="s">
        <v>478</v>
      </c>
      <c r="F1089" t="s">
        <v>517</v>
      </c>
      <c r="G1089" t="s">
        <v>570</v>
      </c>
      <c r="H1089">
        <v>0</v>
      </c>
      <c r="I1089">
        <v>0</v>
      </c>
    </row>
    <row r="1090" spans="1:9" x14ac:dyDescent="0.2">
      <c r="A1090" t="s">
        <v>266</v>
      </c>
      <c r="B1090" t="s">
        <v>327</v>
      </c>
      <c r="C1090" t="s">
        <v>479</v>
      </c>
      <c r="D1090" t="s">
        <v>506</v>
      </c>
      <c r="E1090" t="s">
        <v>479</v>
      </c>
      <c r="F1090" t="s">
        <v>518</v>
      </c>
      <c r="G1090" t="s">
        <v>571</v>
      </c>
      <c r="H1090">
        <v>437.1338624340375</v>
      </c>
      <c r="I1090">
        <v>450</v>
      </c>
    </row>
    <row r="1091" spans="1:9" x14ac:dyDescent="0.2">
      <c r="A1091" t="s">
        <v>267</v>
      </c>
      <c r="B1091" t="s">
        <v>328</v>
      </c>
      <c r="C1091" t="s">
        <v>480</v>
      </c>
      <c r="D1091" t="s">
        <v>507</v>
      </c>
      <c r="E1091" t="s">
        <v>480</v>
      </c>
      <c r="F1091" t="s">
        <v>519</v>
      </c>
      <c r="G1091" t="s">
        <v>572</v>
      </c>
      <c r="H1091">
        <v>0</v>
      </c>
      <c r="I1091">
        <v>0</v>
      </c>
    </row>
    <row r="1092" spans="1:9" x14ac:dyDescent="0.2">
      <c r="A1092" t="s">
        <v>268</v>
      </c>
      <c r="B1092" t="s">
        <v>329</v>
      </c>
      <c r="C1092" t="s">
        <v>478</v>
      </c>
      <c r="D1092" t="s">
        <v>505</v>
      </c>
      <c r="E1092" t="s">
        <v>478</v>
      </c>
      <c r="F1092" t="s">
        <v>520</v>
      </c>
      <c r="G1092" t="s">
        <v>571</v>
      </c>
      <c r="H1092">
        <v>0</v>
      </c>
      <c r="I1092">
        <v>0</v>
      </c>
    </row>
    <row r="1093" spans="1:9" x14ac:dyDescent="0.2">
      <c r="A1093" t="s">
        <v>268</v>
      </c>
      <c r="B1093" t="s">
        <v>330</v>
      </c>
      <c r="C1093" t="s">
        <v>478</v>
      </c>
      <c r="D1093" t="s">
        <v>505</v>
      </c>
      <c r="E1093" t="s">
        <v>478</v>
      </c>
      <c r="F1093" t="s">
        <v>516</v>
      </c>
      <c r="G1093" t="s">
        <v>571</v>
      </c>
      <c r="H1093">
        <v>0</v>
      </c>
      <c r="I1093">
        <v>0</v>
      </c>
    </row>
    <row r="1094" spans="1:9" x14ac:dyDescent="0.2">
      <c r="A1094" t="s">
        <v>268</v>
      </c>
      <c r="B1094" t="s">
        <v>331</v>
      </c>
      <c r="C1094" t="s">
        <v>478</v>
      </c>
      <c r="D1094" t="s">
        <v>505</v>
      </c>
      <c r="E1094" t="s">
        <v>478</v>
      </c>
      <c r="F1094" t="s">
        <v>520</v>
      </c>
      <c r="G1094" t="s">
        <v>571</v>
      </c>
      <c r="H1094">
        <v>0</v>
      </c>
      <c r="I1094">
        <v>0</v>
      </c>
    </row>
    <row r="1095" spans="1:9" x14ac:dyDescent="0.2">
      <c r="A1095" t="s">
        <v>269</v>
      </c>
      <c r="B1095" t="s">
        <v>332</v>
      </c>
      <c r="C1095" t="s">
        <v>481</v>
      </c>
      <c r="D1095" t="s">
        <v>508</v>
      </c>
      <c r="E1095" t="s">
        <v>481</v>
      </c>
      <c r="F1095" t="s">
        <v>521</v>
      </c>
      <c r="G1095" t="s">
        <v>573</v>
      </c>
      <c r="H1095">
        <v>0</v>
      </c>
      <c r="I1095">
        <v>0</v>
      </c>
    </row>
    <row r="1096" spans="1:9" x14ac:dyDescent="0.2">
      <c r="A1096" t="s">
        <v>270</v>
      </c>
      <c r="B1096" t="s">
        <v>333</v>
      </c>
      <c r="C1096" t="s">
        <v>481</v>
      </c>
      <c r="D1096" t="s">
        <v>508</v>
      </c>
      <c r="E1096" t="s">
        <v>481</v>
      </c>
      <c r="F1096" t="s">
        <v>522</v>
      </c>
      <c r="G1096" t="s">
        <v>573</v>
      </c>
      <c r="H1096">
        <v>0</v>
      </c>
      <c r="I1096">
        <v>0</v>
      </c>
    </row>
    <row r="1097" spans="1:9" x14ac:dyDescent="0.2">
      <c r="A1097" t="s">
        <v>270</v>
      </c>
      <c r="B1097" t="s">
        <v>334</v>
      </c>
      <c r="C1097" t="s">
        <v>481</v>
      </c>
      <c r="D1097" t="s">
        <v>508</v>
      </c>
      <c r="E1097" t="s">
        <v>481</v>
      </c>
      <c r="F1097" t="s">
        <v>523</v>
      </c>
      <c r="G1097" t="s">
        <v>573</v>
      </c>
      <c r="H1097">
        <v>0</v>
      </c>
      <c r="I1097">
        <v>0</v>
      </c>
    </row>
    <row r="1098" spans="1:9" x14ac:dyDescent="0.2">
      <c r="A1098" t="s">
        <v>271</v>
      </c>
      <c r="B1098" t="s">
        <v>335</v>
      </c>
      <c r="C1098" t="s">
        <v>478</v>
      </c>
      <c r="D1098" t="s">
        <v>505</v>
      </c>
      <c r="E1098" t="s">
        <v>478</v>
      </c>
      <c r="F1098" t="s">
        <v>524</v>
      </c>
      <c r="G1098" t="s">
        <v>574</v>
      </c>
      <c r="H1098">
        <v>0</v>
      </c>
      <c r="I1098">
        <v>0</v>
      </c>
    </row>
    <row r="1099" spans="1:9" x14ac:dyDescent="0.2">
      <c r="A1099" t="s">
        <v>269</v>
      </c>
      <c r="B1099" t="s">
        <v>336</v>
      </c>
      <c r="C1099" t="s">
        <v>481</v>
      </c>
      <c r="D1099" t="s">
        <v>508</v>
      </c>
      <c r="E1099" t="s">
        <v>481</v>
      </c>
      <c r="F1099" t="s">
        <v>525</v>
      </c>
      <c r="G1099" t="s">
        <v>573</v>
      </c>
      <c r="H1099">
        <v>0</v>
      </c>
      <c r="I1099">
        <v>0</v>
      </c>
    </row>
    <row r="1100" spans="1:9" x14ac:dyDescent="0.2">
      <c r="A1100" t="s">
        <v>272</v>
      </c>
      <c r="B1100" t="s">
        <v>337</v>
      </c>
      <c r="C1100" t="s">
        <v>481</v>
      </c>
      <c r="D1100" t="s">
        <v>508</v>
      </c>
      <c r="E1100" t="s">
        <v>481</v>
      </c>
      <c r="F1100" t="s">
        <v>526</v>
      </c>
      <c r="G1100" t="s">
        <v>572</v>
      </c>
      <c r="H1100">
        <v>0</v>
      </c>
      <c r="I1100">
        <v>0</v>
      </c>
    </row>
    <row r="1101" spans="1:9" x14ac:dyDescent="0.2">
      <c r="A1101" t="s">
        <v>272</v>
      </c>
      <c r="B1101" t="s">
        <v>338</v>
      </c>
      <c r="C1101" t="s">
        <v>481</v>
      </c>
      <c r="D1101" t="s">
        <v>508</v>
      </c>
      <c r="E1101" t="s">
        <v>481</v>
      </c>
      <c r="F1101" t="s">
        <v>527</v>
      </c>
      <c r="G1101" t="s">
        <v>572</v>
      </c>
      <c r="H1101">
        <v>0</v>
      </c>
      <c r="I1101">
        <v>0</v>
      </c>
    </row>
    <row r="1102" spans="1:9" x14ac:dyDescent="0.2">
      <c r="A1102" t="s">
        <v>273</v>
      </c>
      <c r="B1102" t="s">
        <v>339</v>
      </c>
      <c r="C1102" t="s">
        <v>481</v>
      </c>
      <c r="D1102" t="s">
        <v>508</v>
      </c>
      <c r="E1102" t="s">
        <v>481</v>
      </c>
      <c r="F1102" t="s">
        <v>527</v>
      </c>
      <c r="G1102" t="s">
        <v>572</v>
      </c>
      <c r="H1102">
        <v>0</v>
      </c>
      <c r="I1102">
        <v>0</v>
      </c>
    </row>
    <row r="1103" spans="1:9" x14ac:dyDescent="0.2">
      <c r="A1103" t="s">
        <v>273</v>
      </c>
      <c r="B1103" t="s">
        <v>340</v>
      </c>
      <c r="C1103" t="s">
        <v>482</v>
      </c>
      <c r="D1103" t="s">
        <v>509</v>
      </c>
      <c r="E1103" t="s">
        <v>482</v>
      </c>
      <c r="F1103" t="s">
        <v>528</v>
      </c>
      <c r="G1103" t="s">
        <v>572</v>
      </c>
      <c r="H1103">
        <v>0</v>
      </c>
      <c r="I1103">
        <v>0</v>
      </c>
    </row>
    <row r="1104" spans="1:9" x14ac:dyDescent="0.2">
      <c r="A1104" t="s">
        <v>273</v>
      </c>
      <c r="B1104" t="s">
        <v>341</v>
      </c>
      <c r="C1104" t="s">
        <v>481</v>
      </c>
      <c r="D1104" t="s">
        <v>508</v>
      </c>
      <c r="E1104" t="s">
        <v>481</v>
      </c>
      <c r="F1104" t="s">
        <v>527</v>
      </c>
      <c r="G1104" t="s">
        <v>572</v>
      </c>
      <c r="H1104">
        <v>0</v>
      </c>
      <c r="I1104">
        <v>0</v>
      </c>
    </row>
    <row r="1105" spans="1:9" x14ac:dyDescent="0.2">
      <c r="A1105" t="s">
        <v>273</v>
      </c>
      <c r="B1105" t="s">
        <v>342</v>
      </c>
      <c r="C1105" t="s">
        <v>481</v>
      </c>
      <c r="D1105" t="s">
        <v>508</v>
      </c>
      <c r="E1105" t="s">
        <v>481</v>
      </c>
      <c r="F1105" t="s">
        <v>526</v>
      </c>
      <c r="G1105" t="s">
        <v>572</v>
      </c>
      <c r="H1105">
        <v>0</v>
      </c>
      <c r="I1105">
        <v>0</v>
      </c>
    </row>
    <row r="1106" spans="1:9" x14ac:dyDescent="0.2">
      <c r="A1106" t="s">
        <v>274</v>
      </c>
      <c r="B1106" t="s">
        <v>343</v>
      </c>
      <c r="C1106" t="s">
        <v>483</v>
      </c>
      <c r="D1106" t="s">
        <v>510</v>
      </c>
      <c r="E1106" t="s">
        <v>483</v>
      </c>
      <c r="F1106" t="s">
        <v>529</v>
      </c>
      <c r="G1106" t="s">
        <v>575</v>
      </c>
      <c r="H1106">
        <v>0</v>
      </c>
      <c r="I1106">
        <v>0</v>
      </c>
    </row>
    <row r="1107" spans="1:9" x14ac:dyDescent="0.2">
      <c r="A1107" t="s">
        <v>275</v>
      </c>
      <c r="B1107" t="s">
        <v>344</v>
      </c>
      <c r="C1107" t="s">
        <v>478</v>
      </c>
      <c r="D1107" t="s">
        <v>505</v>
      </c>
      <c r="E1107" t="s">
        <v>477</v>
      </c>
      <c r="F1107" t="s">
        <v>530</v>
      </c>
      <c r="G1107" t="s">
        <v>575</v>
      </c>
      <c r="H1107">
        <v>0</v>
      </c>
      <c r="I1107">
        <v>0</v>
      </c>
    </row>
    <row r="1108" spans="1:9" x14ac:dyDescent="0.2">
      <c r="A1108" t="s">
        <v>275</v>
      </c>
      <c r="B1108" t="s">
        <v>345</v>
      </c>
      <c r="C1108" t="s">
        <v>478</v>
      </c>
      <c r="D1108" t="s">
        <v>505</v>
      </c>
      <c r="E1108" t="s">
        <v>477</v>
      </c>
      <c r="F1108" t="s">
        <v>530</v>
      </c>
      <c r="G1108" t="s">
        <v>575</v>
      </c>
      <c r="H1108">
        <v>0</v>
      </c>
      <c r="I1108">
        <v>0</v>
      </c>
    </row>
    <row r="1109" spans="1:9" x14ac:dyDescent="0.2">
      <c r="A1109" t="s">
        <v>275</v>
      </c>
      <c r="B1109" t="s">
        <v>346</v>
      </c>
      <c r="C1109" t="s">
        <v>478</v>
      </c>
      <c r="D1109" t="s">
        <v>505</v>
      </c>
      <c r="E1109" t="s">
        <v>477</v>
      </c>
      <c r="F1109" t="s">
        <v>530</v>
      </c>
      <c r="G1109" t="s">
        <v>575</v>
      </c>
      <c r="H1109">
        <v>0</v>
      </c>
      <c r="I1109">
        <v>0</v>
      </c>
    </row>
    <row r="1110" spans="1:9" x14ac:dyDescent="0.2">
      <c r="A1110" t="s">
        <v>275</v>
      </c>
      <c r="B1110" t="s">
        <v>347</v>
      </c>
      <c r="C1110" t="s">
        <v>478</v>
      </c>
      <c r="D1110" t="s">
        <v>505</v>
      </c>
      <c r="E1110" t="s">
        <v>477</v>
      </c>
      <c r="F1110" t="s">
        <v>530</v>
      </c>
      <c r="G1110" t="s">
        <v>575</v>
      </c>
      <c r="H1110">
        <v>0</v>
      </c>
      <c r="I1110">
        <v>0</v>
      </c>
    </row>
    <row r="1111" spans="1:9" x14ac:dyDescent="0.2">
      <c r="A1111" t="s">
        <v>275</v>
      </c>
      <c r="B1111" t="s">
        <v>348</v>
      </c>
      <c r="C1111" t="s">
        <v>478</v>
      </c>
      <c r="D1111" t="s">
        <v>505</v>
      </c>
      <c r="E1111" t="s">
        <v>477</v>
      </c>
      <c r="F1111" t="s">
        <v>530</v>
      </c>
      <c r="G1111" t="s">
        <v>575</v>
      </c>
      <c r="H1111">
        <v>0</v>
      </c>
      <c r="I1111">
        <v>0</v>
      </c>
    </row>
    <row r="1112" spans="1:9" x14ac:dyDescent="0.2">
      <c r="A1112" t="s">
        <v>275</v>
      </c>
      <c r="B1112" t="s">
        <v>349</v>
      </c>
      <c r="C1112" t="s">
        <v>478</v>
      </c>
      <c r="D1112" t="s">
        <v>505</v>
      </c>
      <c r="E1112" t="s">
        <v>477</v>
      </c>
      <c r="F1112" t="s">
        <v>530</v>
      </c>
      <c r="G1112" t="s">
        <v>575</v>
      </c>
      <c r="H1112">
        <v>0</v>
      </c>
      <c r="I1112">
        <v>0</v>
      </c>
    </row>
    <row r="1113" spans="1:9" x14ac:dyDescent="0.2">
      <c r="A1113" t="s">
        <v>275</v>
      </c>
      <c r="B1113" t="s">
        <v>350</v>
      </c>
      <c r="C1113" t="s">
        <v>478</v>
      </c>
      <c r="D1113" t="s">
        <v>505</v>
      </c>
      <c r="E1113" t="s">
        <v>477</v>
      </c>
      <c r="F1113" t="s">
        <v>530</v>
      </c>
      <c r="G1113" t="s">
        <v>575</v>
      </c>
      <c r="H1113">
        <v>0</v>
      </c>
      <c r="I1113">
        <v>0</v>
      </c>
    </row>
    <row r="1114" spans="1:9" x14ac:dyDescent="0.2">
      <c r="A1114" t="s">
        <v>275</v>
      </c>
      <c r="B1114" t="s">
        <v>351</v>
      </c>
      <c r="C1114" t="s">
        <v>478</v>
      </c>
      <c r="D1114" t="s">
        <v>505</v>
      </c>
      <c r="E1114" t="s">
        <v>477</v>
      </c>
      <c r="F1114" t="s">
        <v>530</v>
      </c>
      <c r="G1114" t="s">
        <v>575</v>
      </c>
      <c r="H1114">
        <v>0</v>
      </c>
      <c r="I1114">
        <v>0</v>
      </c>
    </row>
    <row r="1115" spans="1:9" x14ac:dyDescent="0.2">
      <c r="A1115" t="s">
        <v>275</v>
      </c>
      <c r="B1115" t="s">
        <v>352</v>
      </c>
      <c r="C1115" t="s">
        <v>478</v>
      </c>
      <c r="D1115" t="s">
        <v>505</v>
      </c>
      <c r="E1115" t="s">
        <v>477</v>
      </c>
      <c r="F1115" t="s">
        <v>530</v>
      </c>
      <c r="G1115" t="s">
        <v>575</v>
      </c>
      <c r="H1115">
        <v>0</v>
      </c>
      <c r="I1115">
        <v>0</v>
      </c>
    </row>
    <row r="1116" spans="1:9" x14ac:dyDescent="0.2">
      <c r="A1116" t="s">
        <v>264</v>
      </c>
      <c r="B1116" t="s">
        <v>353</v>
      </c>
      <c r="C1116" t="s">
        <v>478</v>
      </c>
      <c r="D1116" t="s">
        <v>505</v>
      </c>
      <c r="E1116" t="s">
        <v>477</v>
      </c>
      <c r="F1116" t="s">
        <v>516</v>
      </c>
      <c r="G1116" t="s">
        <v>575</v>
      </c>
      <c r="H1116">
        <v>0</v>
      </c>
      <c r="I1116">
        <v>0</v>
      </c>
    </row>
    <row r="1117" spans="1:9" x14ac:dyDescent="0.2">
      <c r="A1117" t="s">
        <v>276</v>
      </c>
      <c r="B1117" t="s">
        <v>354</v>
      </c>
      <c r="C1117" t="s">
        <v>484</v>
      </c>
      <c r="D1117" t="s">
        <v>511</v>
      </c>
      <c r="E1117" t="s">
        <v>484</v>
      </c>
      <c r="F1117" t="s">
        <v>531</v>
      </c>
      <c r="G1117" t="s">
        <v>575</v>
      </c>
      <c r="H1117">
        <v>0</v>
      </c>
      <c r="I1117">
        <v>0</v>
      </c>
    </row>
    <row r="1118" spans="1:9" x14ac:dyDescent="0.2">
      <c r="A1118" t="s">
        <v>275</v>
      </c>
      <c r="B1118" t="s">
        <v>355</v>
      </c>
      <c r="C1118" t="s">
        <v>478</v>
      </c>
      <c r="D1118" t="s">
        <v>505</v>
      </c>
      <c r="E1118" t="s">
        <v>477</v>
      </c>
      <c r="F1118" t="s">
        <v>530</v>
      </c>
      <c r="G1118" t="s">
        <v>575</v>
      </c>
      <c r="H1118">
        <v>0</v>
      </c>
      <c r="I1118">
        <v>0</v>
      </c>
    </row>
    <row r="1119" spans="1:9" x14ac:dyDescent="0.2">
      <c r="A1119" t="s">
        <v>275</v>
      </c>
      <c r="B1119" t="s">
        <v>356</v>
      </c>
      <c r="C1119" t="s">
        <v>478</v>
      </c>
      <c r="D1119" t="s">
        <v>505</v>
      </c>
      <c r="E1119" t="s">
        <v>477</v>
      </c>
      <c r="F1119" t="s">
        <v>530</v>
      </c>
      <c r="G1119" t="s">
        <v>575</v>
      </c>
      <c r="H1119">
        <v>0</v>
      </c>
      <c r="I1119">
        <v>0</v>
      </c>
    </row>
    <row r="1120" spans="1:9" x14ac:dyDescent="0.2">
      <c r="A1120" t="s">
        <v>275</v>
      </c>
      <c r="B1120" t="s">
        <v>357</v>
      </c>
      <c r="C1120" t="s">
        <v>478</v>
      </c>
      <c r="D1120" t="s">
        <v>505</v>
      </c>
      <c r="E1120" t="s">
        <v>477</v>
      </c>
      <c r="F1120" t="s">
        <v>530</v>
      </c>
      <c r="G1120" t="s">
        <v>575</v>
      </c>
      <c r="H1120">
        <v>0</v>
      </c>
      <c r="I1120">
        <v>0</v>
      </c>
    </row>
    <row r="1121" spans="1:9" x14ac:dyDescent="0.2">
      <c r="A1121" t="s">
        <v>275</v>
      </c>
      <c r="B1121" t="s">
        <v>358</v>
      </c>
      <c r="C1121" t="s">
        <v>478</v>
      </c>
      <c r="D1121" t="s">
        <v>505</v>
      </c>
      <c r="E1121" t="s">
        <v>477</v>
      </c>
      <c r="F1121" t="s">
        <v>530</v>
      </c>
      <c r="G1121" t="s">
        <v>575</v>
      </c>
      <c r="H1121">
        <v>0</v>
      </c>
      <c r="I1121">
        <v>0</v>
      </c>
    </row>
    <row r="1122" spans="1:9" x14ac:dyDescent="0.2">
      <c r="A1122" t="s">
        <v>275</v>
      </c>
      <c r="B1122" t="s">
        <v>359</v>
      </c>
      <c r="C1122" t="s">
        <v>478</v>
      </c>
      <c r="D1122" t="s">
        <v>505</v>
      </c>
      <c r="E1122" t="s">
        <v>477</v>
      </c>
      <c r="F1122" t="s">
        <v>530</v>
      </c>
      <c r="G1122" t="s">
        <v>575</v>
      </c>
      <c r="H1122">
        <v>0</v>
      </c>
      <c r="I1122">
        <v>0</v>
      </c>
    </row>
    <row r="1123" spans="1:9" x14ac:dyDescent="0.2">
      <c r="A1123" t="s">
        <v>275</v>
      </c>
      <c r="B1123" t="s">
        <v>360</v>
      </c>
      <c r="C1123" t="s">
        <v>478</v>
      </c>
      <c r="D1123" t="s">
        <v>505</v>
      </c>
      <c r="E1123" t="s">
        <v>477</v>
      </c>
      <c r="F1123" t="s">
        <v>530</v>
      </c>
      <c r="G1123" t="s">
        <v>575</v>
      </c>
      <c r="H1123">
        <v>0</v>
      </c>
      <c r="I1123">
        <v>0</v>
      </c>
    </row>
    <row r="1124" spans="1:9" x14ac:dyDescent="0.2">
      <c r="A1124" t="s">
        <v>264</v>
      </c>
      <c r="B1124" t="s">
        <v>361</v>
      </c>
      <c r="C1124" t="s">
        <v>478</v>
      </c>
      <c r="D1124" t="s">
        <v>505</v>
      </c>
      <c r="E1124" t="s">
        <v>477</v>
      </c>
      <c r="F1124" t="s">
        <v>516</v>
      </c>
      <c r="G1124" t="s">
        <v>575</v>
      </c>
      <c r="H1124">
        <v>0</v>
      </c>
      <c r="I1124">
        <v>0</v>
      </c>
    </row>
    <row r="1125" spans="1:9" x14ac:dyDescent="0.2">
      <c r="A1125" t="s">
        <v>265</v>
      </c>
      <c r="B1125" t="s">
        <v>362</v>
      </c>
      <c r="C1125" t="s">
        <v>478</v>
      </c>
      <c r="D1125" t="s">
        <v>505</v>
      </c>
      <c r="E1125" t="s">
        <v>491</v>
      </c>
      <c r="F1125" t="s">
        <v>532</v>
      </c>
      <c r="G1125" t="s">
        <v>570</v>
      </c>
      <c r="H1125">
        <v>0</v>
      </c>
      <c r="I1125">
        <v>0</v>
      </c>
    </row>
    <row r="1126" spans="1:9" x14ac:dyDescent="0.2">
      <c r="A1126" t="s">
        <v>277</v>
      </c>
      <c r="B1126" t="s">
        <v>363</v>
      </c>
      <c r="C1126" t="s">
        <v>485</v>
      </c>
      <c r="D1126" t="s">
        <v>512</v>
      </c>
      <c r="E1126" t="s">
        <v>485</v>
      </c>
      <c r="F1126" t="s">
        <v>525</v>
      </c>
      <c r="G1126" t="s">
        <v>571</v>
      </c>
      <c r="H1126">
        <v>0</v>
      </c>
      <c r="I1126">
        <v>0</v>
      </c>
    </row>
    <row r="1127" spans="1:9" x14ac:dyDescent="0.2">
      <c r="A1127" t="s">
        <v>267</v>
      </c>
      <c r="B1127" t="s">
        <v>364</v>
      </c>
      <c r="C1127" t="s">
        <v>480</v>
      </c>
      <c r="D1127" t="s">
        <v>507</v>
      </c>
      <c r="E1127" t="s">
        <v>480</v>
      </c>
      <c r="F1127" t="s">
        <v>533</v>
      </c>
      <c r="G1127" t="s">
        <v>572</v>
      </c>
      <c r="H1127">
        <v>0</v>
      </c>
      <c r="I1127">
        <v>0</v>
      </c>
    </row>
    <row r="1128" spans="1:9" x14ac:dyDescent="0.2">
      <c r="A1128" t="s">
        <v>278</v>
      </c>
      <c r="B1128" t="s">
        <v>365</v>
      </c>
      <c r="C1128" t="s">
        <v>486</v>
      </c>
      <c r="D1128" t="s">
        <v>513</v>
      </c>
      <c r="E1128" t="s">
        <v>486</v>
      </c>
      <c r="F1128" t="s">
        <v>534</v>
      </c>
      <c r="G1128" t="s">
        <v>573</v>
      </c>
      <c r="H1128">
        <v>0</v>
      </c>
      <c r="I1128">
        <v>0</v>
      </c>
    </row>
    <row r="1129" spans="1:9" x14ac:dyDescent="0.2">
      <c r="A1129" t="s">
        <v>278</v>
      </c>
      <c r="B1129" t="s">
        <v>366</v>
      </c>
      <c r="C1129" t="s">
        <v>486</v>
      </c>
      <c r="D1129" t="s">
        <v>513</v>
      </c>
      <c r="E1129" t="s">
        <v>486</v>
      </c>
      <c r="F1129" t="s">
        <v>534</v>
      </c>
      <c r="G1129" t="s">
        <v>573</v>
      </c>
      <c r="H1129">
        <v>0</v>
      </c>
      <c r="I1129">
        <v>0</v>
      </c>
    </row>
    <row r="1130" spans="1:9" x14ac:dyDescent="0.2">
      <c r="A1130" t="s">
        <v>279</v>
      </c>
      <c r="B1130" t="s">
        <v>367</v>
      </c>
      <c r="C1130" t="s">
        <v>487</v>
      </c>
      <c r="D1130" t="s">
        <v>514</v>
      </c>
      <c r="E1130" t="s">
        <v>487</v>
      </c>
      <c r="F1130" t="s">
        <v>535</v>
      </c>
      <c r="G1130" t="s">
        <v>573</v>
      </c>
      <c r="H1130">
        <v>0</v>
      </c>
      <c r="I1130">
        <v>0</v>
      </c>
    </row>
    <row r="1131" spans="1:9" x14ac:dyDescent="0.2">
      <c r="A1131" t="s">
        <v>279</v>
      </c>
      <c r="B1131" t="s">
        <v>368</v>
      </c>
      <c r="C1131" t="s">
        <v>487</v>
      </c>
      <c r="D1131" t="s">
        <v>514</v>
      </c>
      <c r="E1131" t="s">
        <v>487</v>
      </c>
      <c r="F1131" t="s">
        <v>527</v>
      </c>
      <c r="G1131" t="s">
        <v>573</v>
      </c>
      <c r="H1131">
        <v>0</v>
      </c>
      <c r="I1131">
        <v>0</v>
      </c>
    </row>
    <row r="1132" spans="1:9" x14ac:dyDescent="0.2">
      <c r="A1132" t="s">
        <v>280</v>
      </c>
      <c r="B1132" t="s">
        <v>369</v>
      </c>
      <c r="C1132" t="s">
        <v>482</v>
      </c>
      <c r="D1132">
        <v>0</v>
      </c>
      <c r="E1132" t="s">
        <v>482</v>
      </c>
      <c r="F1132" t="s">
        <v>526</v>
      </c>
      <c r="G1132" t="s">
        <v>572</v>
      </c>
      <c r="H1132">
        <v>0</v>
      </c>
      <c r="I1132">
        <v>0</v>
      </c>
    </row>
    <row r="1133" spans="1:9" x14ac:dyDescent="0.2">
      <c r="A1133" t="s">
        <v>280</v>
      </c>
      <c r="B1133" t="s">
        <v>370</v>
      </c>
      <c r="C1133" t="s">
        <v>482</v>
      </c>
      <c r="D1133">
        <v>0</v>
      </c>
      <c r="E1133" t="s">
        <v>482</v>
      </c>
      <c r="F1133" t="s">
        <v>527</v>
      </c>
      <c r="G1133" t="s">
        <v>572</v>
      </c>
      <c r="H1133">
        <v>0</v>
      </c>
      <c r="I1133">
        <v>0</v>
      </c>
    </row>
    <row r="1134" spans="1:9" x14ac:dyDescent="0.2">
      <c r="A1134" t="s">
        <v>272</v>
      </c>
      <c r="B1134" t="s">
        <v>371</v>
      </c>
      <c r="C1134" t="s">
        <v>482</v>
      </c>
      <c r="D1134">
        <v>0</v>
      </c>
      <c r="E1134" t="s">
        <v>482</v>
      </c>
      <c r="F1134" t="s">
        <v>527</v>
      </c>
      <c r="G1134" t="s">
        <v>572</v>
      </c>
      <c r="H1134">
        <v>0</v>
      </c>
      <c r="I1134">
        <v>0</v>
      </c>
    </row>
    <row r="1135" spans="1:9" x14ac:dyDescent="0.2">
      <c r="A1135" t="s">
        <v>272</v>
      </c>
      <c r="B1135" t="s">
        <v>372</v>
      </c>
      <c r="C1135" t="s">
        <v>488</v>
      </c>
      <c r="D1135">
        <v>0</v>
      </c>
      <c r="E1135" t="s">
        <v>488</v>
      </c>
      <c r="F1135" t="s">
        <v>528</v>
      </c>
      <c r="G1135" t="s">
        <v>572</v>
      </c>
      <c r="H1135">
        <v>0</v>
      </c>
      <c r="I1135">
        <v>0</v>
      </c>
    </row>
    <row r="1136" spans="1:9" x14ac:dyDescent="0.2">
      <c r="A1136" t="s">
        <v>281</v>
      </c>
      <c r="B1136" t="s">
        <v>373</v>
      </c>
      <c r="C1136" t="s">
        <v>482</v>
      </c>
      <c r="D1136">
        <v>0</v>
      </c>
      <c r="E1136" t="s">
        <v>482</v>
      </c>
      <c r="F1136" t="s">
        <v>527</v>
      </c>
      <c r="G1136" t="s">
        <v>572</v>
      </c>
      <c r="H1136">
        <v>0</v>
      </c>
      <c r="I1136">
        <v>0</v>
      </c>
    </row>
    <row r="1137" spans="1:9" x14ac:dyDescent="0.2">
      <c r="A1137" t="s">
        <v>273</v>
      </c>
      <c r="B1137" t="s">
        <v>374</v>
      </c>
      <c r="C1137" t="s">
        <v>481</v>
      </c>
      <c r="D1137">
        <v>0</v>
      </c>
      <c r="E1137" t="s">
        <v>481</v>
      </c>
      <c r="F1137" t="s">
        <v>526</v>
      </c>
      <c r="G1137" t="s">
        <v>572</v>
      </c>
      <c r="H1137">
        <v>0</v>
      </c>
      <c r="I1137">
        <v>0</v>
      </c>
    </row>
    <row r="1138" spans="1:9" x14ac:dyDescent="0.2">
      <c r="A1138" t="s">
        <v>282</v>
      </c>
      <c r="B1138" t="s">
        <v>375</v>
      </c>
      <c r="C1138" t="s">
        <v>489</v>
      </c>
      <c r="D1138">
        <v>0</v>
      </c>
      <c r="E1138" t="s">
        <v>489</v>
      </c>
      <c r="F1138" t="s">
        <v>526</v>
      </c>
      <c r="G1138" t="s">
        <v>572</v>
      </c>
      <c r="H1138">
        <v>0</v>
      </c>
      <c r="I1138">
        <v>0</v>
      </c>
    </row>
    <row r="1139" spans="1:9" x14ac:dyDescent="0.2">
      <c r="A1139" t="s">
        <v>283</v>
      </c>
      <c r="B1139" t="s">
        <v>376</v>
      </c>
      <c r="C1139" t="s">
        <v>490</v>
      </c>
      <c r="D1139">
        <v>0</v>
      </c>
      <c r="E1139" t="s">
        <v>478</v>
      </c>
      <c r="F1139" t="s">
        <v>536</v>
      </c>
      <c r="G1139" t="s">
        <v>575</v>
      </c>
      <c r="H1139">
        <v>0</v>
      </c>
      <c r="I1139">
        <v>0</v>
      </c>
    </row>
    <row r="1140" spans="1:9" x14ac:dyDescent="0.2">
      <c r="A1140" t="s">
        <v>275</v>
      </c>
      <c r="B1140" t="s">
        <v>377</v>
      </c>
      <c r="C1140" t="s">
        <v>478</v>
      </c>
      <c r="D1140">
        <v>0</v>
      </c>
      <c r="E1140" t="s">
        <v>477</v>
      </c>
      <c r="F1140" t="s">
        <v>537</v>
      </c>
      <c r="G1140" t="s">
        <v>575</v>
      </c>
      <c r="H1140">
        <v>0</v>
      </c>
      <c r="I1140">
        <v>0</v>
      </c>
    </row>
    <row r="1141" spans="1:9" x14ac:dyDescent="0.2">
      <c r="A1141" t="s">
        <v>275</v>
      </c>
      <c r="B1141" t="s">
        <v>378</v>
      </c>
      <c r="C1141" t="s">
        <v>478</v>
      </c>
      <c r="D1141">
        <v>0</v>
      </c>
      <c r="E1141" t="s">
        <v>477</v>
      </c>
      <c r="F1141" t="s">
        <v>538</v>
      </c>
      <c r="G1141" t="s">
        <v>575</v>
      </c>
      <c r="H1141">
        <v>0</v>
      </c>
      <c r="I1141">
        <v>0</v>
      </c>
    </row>
    <row r="1142" spans="1:9" x14ac:dyDescent="0.2">
      <c r="A1142" t="s">
        <v>275</v>
      </c>
      <c r="B1142" t="s">
        <v>379</v>
      </c>
      <c r="C1142" t="s">
        <v>478</v>
      </c>
      <c r="D1142">
        <v>0</v>
      </c>
      <c r="E1142" t="s">
        <v>477</v>
      </c>
      <c r="F1142" t="s">
        <v>538</v>
      </c>
      <c r="G1142" t="s">
        <v>575</v>
      </c>
      <c r="H1142">
        <v>0</v>
      </c>
      <c r="I1142">
        <v>0</v>
      </c>
    </row>
    <row r="1143" spans="1:9" x14ac:dyDescent="0.2">
      <c r="A1143" t="s">
        <v>275</v>
      </c>
      <c r="B1143" t="s">
        <v>380</v>
      </c>
      <c r="C1143" t="s">
        <v>478</v>
      </c>
      <c r="D1143">
        <v>0</v>
      </c>
      <c r="E1143" t="s">
        <v>477</v>
      </c>
      <c r="F1143" t="s">
        <v>530</v>
      </c>
      <c r="G1143" t="s">
        <v>575</v>
      </c>
      <c r="H1143">
        <v>0</v>
      </c>
      <c r="I1143">
        <v>0</v>
      </c>
    </row>
    <row r="1144" spans="1:9" x14ac:dyDescent="0.2">
      <c r="A1144" t="s">
        <v>275</v>
      </c>
      <c r="B1144" t="s">
        <v>381</v>
      </c>
      <c r="C1144" t="s">
        <v>478</v>
      </c>
      <c r="D1144">
        <v>0</v>
      </c>
      <c r="E1144" t="s">
        <v>477</v>
      </c>
      <c r="F1144" t="s">
        <v>530</v>
      </c>
      <c r="G1144" t="s">
        <v>575</v>
      </c>
      <c r="H1144">
        <v>0</v>
      </c>
      <c r="I1144">
        <v>0</v>
      </c>
    </row>
    <row r="1145" spans="1:9" x14ac:dyDescent="0.2">
      <c r="A1145" t="s">
        <v>275</v>
      </c>
      <c r="B1145" t="s">
        <v>382</v>
      </c>
      <c r="C1145" t="s">
        <v>478</v>
      </c>
      <c r="D1145">
        <v>0</v>
      </c>
      <c r="E1145" t="s">
        <v>477</v>
      </c>
      <c r="F1145" t="s">
        <v>530</v>
      </c>
      <c r="G1145" t="s">
        <v>575</v>
      </c>
      <c r="H1145">
        <v>0</v>
      </c>
      <c r="I1145">
        <v>0</v>
      </c>
    </row>
    <row r="1146" spans="1:9" x14ac:dyDescent="0.2">
      <c r="A1146" t="s">
        <v>275</v>
      </c>
      <c r="B1146" t="s">
        <v>383</v>
      </c>
      <c r="C1146" t="s">
        <v>478</v>
      </c>
      <c r="D1146">
        <v>0</v>
      </c>
      <c r="E1146" t="s">
        <v>477</v>
      </c>
      <c r="F1146" t="s">
        <v>530</v>
      </c>
      <c r="G1146" t="s">
        <v>575</v>
      </c>
      <c r="H1146">
        <v>0</v>
      </c>
      <c r="I1146">
        <v>0</v>
      </c>
    </row>
    <row r="1147" spans="1:9" x14ac:dyDescent="0.2">
      <c r="A1147" t="s">
        <v>264</v>
      </c>
      <c r="B1147" t="s">
        <v>384</v>
      </c>
      <c r="C1147" t="s">
        <v>478</v>
      </c>
      <c r="D1147">
        <v>0</v>
      </c>
      <c r="E1147" t="s">
        <v>477</v>
      </c>
      <c r="F1147" t="s">
        <v>516</v>
      </c>
      <c r="G1147" t="s">
        <v>575</v>
      </c>
      <c r="H1147">
        <v>0</v>
      </c>
      <c r="I1147">
        <v>0</v>
      </c>
    </row>
    <row r="1148" spans="1:9" x14ac:dyDescent="0.2">
      <c r="A1148" t="s">
        <v>284</v>
      </c>
      <c r="B1148" t="s">
        <v>385</v>
      </c>
      <c r="C1148" t="s">
        <v>477</v>
      </c>
      <c r="D1148">
        <v>0</v>
      </c>
      <c r="E1148" t="s">
        <v>477</v>
      </c>
      <c r="F1148" t="s">
        <v>539</v>
      </c>
      <c r="G1148" t="s">
        <v>570</v>
      </c>
      <c r="H1148">
        <v>0</v>
      </c>
      <c r="I1148">
        <v>0</v>
      </c>
    </row>
    <row r="1149" spans="1:9" x14ac:dyDescent="0.2">
      <c r="A1149" t="s">
        <v>285</v>
      </c>
      <c r="B1149" t="s">
        <v>386</v>
      </c>
      <c r="C1149" t="s">
        <v>477</v>
      </c>
      <c r="D1149">
        <v>0</v>
      </c>
      <c r="E1149" t="s">
        <v>477</v>
      </c>
      <c r="F1149" t="s">
        <v>531</v>
      </c>
      <c r="G1149" t="s">
        <v>570</v>
      </c>
      <c r="H1149">
        <v>0</v>
      </c>
      <c r="I1149">
        <v>0</v>
      </c>
    </row>
    <row r="1150" spans="1:9" x14ac:dyDescent="0.2">
      <c r="A1150" t="s">
        <v>286</v>
      </c>
      <c r="B1150" t="s">
        <v>387</v>
      </c>
      <c r="C1150" t="s">
        <v>486</v>
      </c>
      <c r="D1150">
        <v>0</v>
      </c>
      <c r="E1150" t="s">
        <v>486</v>
      </c>
      <c r="F1150" t="s">
        <v>540</v>
      </c>
      <c r="G1150" t="s">
        <v>572</v>
      </c>
      <c r="H1150">
        <v>0</v>
      </c>
      <c r="I1150">
        <v>0</v>
      </c>
    </row>
    <row r="1151" spans="1:9" x14ac:dyDescent="0.2">
      <c r="A1151" t="s">
        <v>286</v>
      </c>
      <c r="B1151" t="s">
        <v>388</v>
      </c>
      <c r="C1151" t="s">
        <v>491</v>
      </c>
      <c r="D1151">
        <v>0</v>
      </c>
      <c r="E1151" t="s">
        <v>491</v>
      </c>
      <c r="F1151" t="s">
        <v>524</v>
      </c>
      <c r="G1151" t="s">
        <v>573</v>
      </c>
      <c r="H1151">
        <v>0</v>
      </c>
      <c r="I1151">
        <v>0</v>
      </c>
    </row>
    <row r="1152" spans="1:9" x14ac:dyDescent="0.2">
      <c r="A1152" t="s">
        <v>286</v>
      </c>
      <c r="B1152" t="s">
        <v>389</v>
      </c>
      <c r="C1152" t="s">
        <v>491</v>
      </c>
      <c r="D1152">
        <v>0</v>
      </c>
      <c r="E1152" t="s">
        <v>491</v>
      </c>
      <c r="F1152" t="s">
        <v>524</v>
      </c>
      <c r="G1152" t="s">
        <v>573</v>
      </c>
      <c r="H1152">
        <v>0</v>
      </c>
      <c r="I1152">
        <v>0</v>
      </c>
    </row>
    <row r="1153" spans="1:9" x14ac:dyDescent="0.2">
      <c r="A1153" t="s">
        <v>286</v>
      </c>
      <c r="B1153" t="s">
        <v>390</v>
      </c>
      <c r="C1153" t="s">
        <v>491</v>
      </c>
      <c r="D1153">
        <v>0</v>
      </c>
      <c r="E1153" t="s">
        <v>491</v>
      </c>
      <c r="F1153" t="s">
        <v>524</v>
      </c>
      <c r="G1153" t="s">
        <v>573</v>
      </c>
      <c r="H1153">
        <v>0</v>
      </c>
      <c r="I1153">
        <v>0</v>
      </c>
    </row>
    <row r="1154" spans="1:9" x14ac:dyDescent="0.2">
      <c r="A1154" t="s">
        <v>286</v>
      </c>
      <c r="B1154" t="s">
        <v>391</v>
      </c>
      <c r="C1154" t="s">
        <v>491</v>
      </c>
      <c r="D1154">
        <v>0</v>
      </c>
      <c r="E1154" t="s">
        <v>491</v>
      </c>
      <c r="F1154" t="s">
        <v>524</v>
      </c>
      <c r="G1154" t="s">
        <v>573</v>
      </c>
      <c r="H1154">
        <v>0</v>
      </c>
      <c r="I1154">
        <v>0</v>
      </c>
    </row>
    <row r="1155" spans="1:9" x14ac:dyDescent="0.2">
      <c r="A1155" t="s">
        <v>286</v>
      </c>
      <c r="B1155" t="s">
        <v>392</v>
      </c>
      <c r="C1155" t="s">
        <v>491</v>
      </c>
      <c r="D1155">
        <v>0</v>
      </c>
      <c r="E1155" t="s">
        <v>491</v>
      </c>
      <c r="F1155" t="s">
        <v>524</v>
      </c>
      <c r="G1155" t="s">
        <v>573</v>
      </c>
      <c r="H1155">
        <v>0</v>
      </c>
      <c r="I1155">
        <v>0</v>
      </c>
    </row>
    <row r="1156" spans="1:9" x14ac:dyDescent="0.2">
      <c r="A1156" t="s">
        <v>286</v>
      </c>
      <c r="B1156" t="s">
        <v>393</v>
      </c>
      <c r="C1156" t="s">
        <v>491</v>
      </c>
      <c r="D1156">
        <v>0</v>
      </c>
      <c r="E1156" t="s">
        <v>491</v>
      </c>
      <c r="F1156" t="s">
        <v>524</v>
      </c>
      <c r="G1156" t="s">
        <v>573</v>
      </c>
      <c r="H1156">
        <v>0</v>
      </c>
      <c r="I1156">
        <v>0</v>
      </c>
    </row>
    <row r="1157" spans="1:9" x14ac:dyDescent="0.2">
      <c r="A1157" t="s">
        <v>286</v>
      </c>
      <c r="B1157" t="s">
        <v>394</v>
      </c>
      <c r="C1157" t="s">
        <v>491</v>
      </c>
      <c r="D1157">
        <v>0</v>
      </c>
      <c r="E1157" t="s">
        <v>491</v>
      </c>
      <c r="F1157" t="s">
        <v>524</v>
      </c>
      <c r="G1157" t="s">
        <v>573</v>
      </c>
      <c r="H1157">
        <v>0</v>
      </c>
      <c r="I1157">
        <v>0</v>
      </c>
    </row>
    <row r="1158" spans="1:9" x14ac:dyDescent="0.2">
      <c r="A1158" t="s">
        <v>286</v>
      </c>
      <c r="B1158" t="s">
        <v>394</v>
      </c>
      <c r="C1158" t="s">
        <v>491</v>
      </c>
      <c r="D1158">
        <v>0</v>
      </c>
      <c r="E1158" t="s">
        <v>491</v>
      </c>
      <c r="F1158" t="s">
        <v>524</v>
      </c>
      <c r="G1158" t="s">
        <v>573</v>
      </c>
      <c r="H1158">
        <v>0</v>
      </c>
      <c r="I1158">
        <v>0</v>
      </c>
    </row>
    <row r="1159" spans="1:9" x14ac:dyDescent="0.2">
      <c r="A1159" t="s">
        <v>286</v>
      </c>
      <c r="B1159" t="s">
        <v>395</v>
      </c>
      <c r="C1159" t="s">
        <v>491</v>
      </c>
      <c r="D1159">
        <v>0</v>
      </c>
      <c r="E1159" t="s">
        <v>491</v>
      </c>
      <c r="F1159" t="s">
        <v>524</v>
      </c>
      <c r="G1159" t="s">
        <v>573</v>
      </c>
      <c r="H1159">
        <v>0</v>
      </c>
      <c r="I1159">
        <v>0</v>
      </c>
    </row>
    <row r="1160" spans="1:9" x14ac:dyDescent="0.2">
      <c r="A1160" t="s">
        <v>286</v>
      </c>
      <c r="B1160" t="s">
        <v>396</v>
      </c>
      <c r="C1160" t="s">
        <v>486</v>
      </c>
      <c r="D1160">
        <v>0</v>
      </c>
      <c r="E1160" t="s">
        <v>486</v>
      </c>
      <c r="F1160" t="s">
        <v>541</v>
      </c>
      <c r="G1160" t="s">
        <v>573</v>
      </c>
      <c r="H1160">
        <v>0</v>
      </c>
      <c r="I1160">
        <v>0</v>
      </c>
    </row>
    <row r="1161" spans="1:9" x14ac:dyDescent="0.2">
      <c r="A1161" t="s">
        <v>286</v>
      </c>
      <c r="B1161" t="s">
        <v>397</v>
      </c>
      <c r="C1161" t="s">
        <v>486</v>
      </c>
      <c r="D1161">
        <v>0</v>
      </c>
      <c r="E1161" t="s">
        <v>486</v>
      </c>
      <c r="F1161" t="s">
        <v>541</v>
      </c>
      <c r="G1161" t="s">
        <v>573</v>
      </c>
      <c r="H1161">
        <v>0</v>
      </c>
      <c r="I1161">
        <v>0</v>
      </c>
    </row>
    <row r="1162" spans="1:9" x14ac:dyDescent="0.2">
      <c r="A1162" t="s">
        <v>286</v>
      </c>
      <c r="B1162" t="s">
        <v>398</v>
      </c>
      <c r="C1162" t="s">
        <v>486</v>
      </c>
      <c r="D1162">
        <v>0</v>
      </c>
      <c r="E1162" t="s">
        <v>486</v>
      </c>
      <c r="F1162" t="s">
        <v>541</v>
      </c>
      <c r="G1162" t="s">
        <v>573</v>
      </c>
      <c r="H1162">
        <v>0</v>
      </c>
      <c r="I1162">
        <v>0</v>
      </c>
    </row>
    <row r="1163" spans="1:9" x14ac:dyDescent="0.2">
      <c r="A1163" t="s">
        <v>287</v>
      </c>
      <c r="B1163" t="s">
        <v>399</v>
      </c>
      <c r="C1163" t="s">
        <v>477</v>
      </c>
      <c r="D1163">
        <v>0</v>
      </c>
      <c r="E1163" t="s">
        <v>477</v>
      </c>
      <c r="F1163" t="s">
        <v>542</v>
      </c>
      <c r="G1163" t="s">
        <v>573</v>
      </c>
      <c r="H1163">
        <v>0</v>
      </c>
      <c r="I1163">
        <v>0</v>
      </c>
    </row>
    <row r="1164" spans="1:9" x14ac:dyDescent="0.2">
      <c r="A1164" t="s">
        <v>288</v>
      </c>
      <c r="B1164" t="s">
        <v>400</v>
      </c>
      <c r="C1164" t="s">
        <v>477</v>
      </c>
      <c r="D1164">
        <v>0</v>
      </c>
      <c r="E1164" t="s">
        <v>477</v>
      </c>
      <c r="F1164" t="s">
        <v>543</v>
      </c>
      <c r="G1164" t="s">
        <v>573</v>
      </c>
      <c r="H1164">
        <v>0</v>
      </c>
      <c r="I1164">
        <v>0</v>
      </c>
    </row>
    <row r="1165" spans="1:9" x14ac:dyDescent="0.2">
      <c r="A1165" t="s">
        <v>285</v>
      </c>
      <c r="B1165" t="s">
        <v>401</v>
      </c>
      <c r="C1165" t="s">
        <v>477</v>
      </c>
      <c r="D1165">
        <v>0</v>
      </c>
      <c r="E1165" t="s">
        <v>477</v>
      </c>
      <c r="F1165" t="s">
        <v>529</v>
      </c>
      <c r="G1165" t="s">
        <v>570</v>
      </c>
      <c r="H1165">
        <v>0</v>
      </c>
      <c r="I1165">
        <v>0</v>
      </c>
    </row>
    <row r="1166" spans="1:9" x14ac:dyDescent="0.2">
      <c r="A1166" t="s">
        <v>289</v>
      </c>
      <c r="B1166" t="s">
        <v>402</v>
      </c>
      <c r="C1166" t="s">
        <v>492</v>
      </c>
      <c r="D1166">
        <v>0</v>
      </c>
      <c r="E1166" t="s">
        <v>492</v>
      </c>
      <c r="F1166" t="s">
        <v>529</v>
      </c>
      <c r="G1166" t="s">
        <v>572</v>
      </c>
      <c r="H1166">
        <v>0</v>
      </c>
      <c r="I1166">
        <v>0</v>
      </c>
    </row>
    <row r="1167" spans="1:9" x14ac:dyDescent="0.2">
      <c r="A1167" t="s">
        <v>289</v>
      </c>
      <c r="B1167" t="s">
        <v>403</v>
      </c>
      <c r="C1167" t="s">
        <v>492</v>
      </c>
      <c r="D1167">
        <v>0</v>
      </c>
      <c r="E1167" t="s">
        <v>492</v>
      </c>
      <c r="F1167" t="s">
        <v>543</v>
      </c>
      <c r="G1167" t="s">
        <v>572</v>
      </c>
      <c r="H1167">
        <v>0</v>
      </c>
      <c r="I1167">
        <v>0</v>
      </c>
    </row>
    <row r="1168" spans="1:9" x14ac:dyDescent="0.2">
      <c r="A1168" t="s">
        <v>289</v>
      </c>
      <c r="B1168" t="s">
        <v>404</v>
      </c>
      <c r="C1168" t="s">
        <v>492</v>
      </c>
      <c r="D1168">
        <v>0</v>
      </c>
      <c r="E1168" t="s">
        <v>492</v>
      </c>
      <c r="F1168" t="s">
        <v>529</v>
      </c>
      <c r="G1168" t="s">
        <v>572</v>
      </c>
      <c r="H1168">
        <v>0</v>
      </c>
      <c r="I1168">
        <v>0</v>
      </c>
    </row>
    <row r="1169" spans="1:9" x14ac:dyDescent="0.2">
      <c r="A1169" t="s">
        <v>286</v>
      </c>
      <c r="B1169" t="s">
        <v>405</v>
      </c>
      <c r="C1169" t="s">
        <v>486</v>
      </c>
      <c r="D1169">
        <v>0</v>
      </c>
      <c r="E1169" t="s">
        <v>486</v>
      </c>
      <c r="F1169" t="s">
        <v>540</v>
      </c>
      <c r="G1169" t="s">
        <v>572</v>
      </c>
      <c r="H1169">
        <v>0</v>
      </c>
      <c r="I1169">
        <v>0</v>
      </c>
    </row>
    <row r="1170" spans="1:9" x14ac:dyDescent="0.2">
      <c r="A1170" t="s">
        <v>286</v>
      </c>
      <c r="B1170" t="s">
        <v>406</v>
      </c>
      <c r="C1170" t="s">
        <v>486</v>
      </c>
      <c r="D1170">
        <v>0</v>
      </c>
      <c r="E1170" t="s">
        <v>486</v>
      </c>
      <c r="F1170" t="s">
        <v>536</v>
      </c>
      <c r="G1170" t="s">
        <v>572</v>
      </c>
      <c r="H1170">
        <v>0</v>
      </c>
      <c r="I1170">
        <v>0</v>
      </c>
    </row>
    <row r="1171" spans="1:9" x14ac:dyDescent="0.2">
      <c r="A1171" t="s">
        <v>290</v>
      </c>
      <c r="B1171" t="s">
        <v>407</v>
      </c>
      <c r="C1171" t="s">
        <v>478</v>
      </c>
      <c r="D1171">
        <v>0</v>
      </c>
      <c r="E1171" t="s">
        <v>478</v>
      </c>
      <c r="F1171" t="s">
        <v>544</v>
      </c>
      <c r="G1171" t="s">
        <v>569</v>
      </c>
      <c r="H1171">
        <v>0</v>
      </c>
      <c r="I1171">
        <v>0</v>
      </c>
    </row>
    <row r="1172" spans="1:9" x14ac:dyDescent="0.2">
      <c r="A1172" t="s">
        <v>291</v>
      </c>
      <c r="B1172" t="s">
        <v>408</v>
      </c>
      <c r="C1172" t="s">
        <v>478</v>
      </c>
      <c r="D1172">
        <v>0</v>
      </c>
      <c r="E1172" t="s">
        <v>478</v>
      </c>
      <c r="F1172" t="s">
        <v>545</v>
      </c>
      <c r="G1172" t="s">
        <v>576</v>
      </c>
      <c r="H1172">
        <v>0</v>
      </c>
      <c r="I1172">
        <v>0</v>
      </c>
    </row>
    <row r="1173" spans="1:9" x14ac:dyDescent="0.2">
      <c r="A1173" t="s">
        <v>292</v>
      </c>
      <c r="B1173" t="s">
        <v>409</v>
      </c>
      <c r="C1173" t="s">
        <v>478</v>
      </c>
      <c r="D1173">
        <v>0</v>
      </c>
      <c r="E1173" t="s">
        <v>478</v>
      </c>
      <c r="F1173" t="s">
        <v>546</v>
      </c>
      <c r="G1173" t="s">
        <v>576</v>
      </c>
      <c r="H1173">
        <v>0</v>
      </c>
      <c r="I1173">
        <v>0</v>
      </c>
    </row>
    <row r="1174" spans="1:9" x14ac:dyDescent="0.2">
      <c r="A1174" t="s">
        <v>292</v>
      </c>
      <c r="B1174" t="s">
        <v>410</v>
      </c>
      <c r="C1174" t="s">
        <v>478</v>
      </c>
      <c r="D1174">
        <v>0</v>
      </c>
      <c r="E1174" t="s">
        <v>478</v>
      </c>
      <c r="F1174" t="s">
        <v>547</v>
      </c>
      <c r="G1174" t="s">
        <v>576</v>
      </c>
      <c r="H1174">
        <v>0</v>
      </c>
      <c r="I1174">
        <v>0</v>
      </c>
    </row>
    <row r="1175" spans="1:9" x14ac:dyDescent="0.2">
      <c r="A1175" t="s">
        <v>268</v>
      </c>
      <c r="B1175" t="s">
        <v>411</v>
      </c>
      <c r="C1175" t="s">
        <v>478</v>
      </c>
      <c r="D1175">
        <v>0</v>
      </c>
      <c r="E1175" t="s">
        <v>478</v>
      </c>
      <c r="F1175" t="s">
        <v>520</v>
      </c>
      <c r="G1175" t="s">
        <v>576</v>
      </c>
      <c r="H1175">
        <v>0</v>
      </c>
      <c r="I1175">
        <v>0</v>
      </c>
    </row>
    <row r="1176" spans="1:9" x14ac:dyDescent="0.2">
      <c r="A1176" t="s">
        <v>293</v>
      </c>
      <c r="B1176" t="s">
        <v>412</v>
      </c>
      <c r="C1176" t="s">
        <v>478</v>
      </c>
      <c r="D1176">
        <v>0</v>
      </c>
      <c r="E1176" t="s">
        <v>478</v>
      </c>
      <c r="F1176" t="s">
        <v>536</v>
      </c>
      <c r="G1176" t="s">
        <v>571</v>
      </c>
      <c r="H1176">
        <v>0</v>
      </c>
      <c r="I1176">
        <v>0</v>
      </c>
    </row>
    <row r="1177" spans="1:9" x14ac:dyDescent="0.2">
      <c r="A1177" t="s">
        <v>294</v>
      </c>
      <c r="B1177" t="s">
        <v>413</v>
      </c>
      <c r="C1177" t="s">
        <v>493</v>
      </c>
      <c r="D1177">
        <v>0</v>
      </c>
      <c r="E1177" t="s">
        <v>493</v>
      </c>
      <c r="F1177" t="s">
        <v>548</v>
      </c>
      <c r="G1177" t="s">
        <v>577</v>
      </c>
      <c r="H1177">
        <v>0</v>
      </c>
      <c r="I1177">
        <v>0</v>
      </c>
    </row>
    <row r="1178" spans="1:9" x14ac:dyDescent="0.2">
      <c r="A1178" t="s">
        <v>295</v>
      </c>
      <c r="B1178" t="s">
        <v>414</v>
      </c>
      <c r="C1178" t="s">
        <v>494</v>
      </c>
      <c r="D1178">
        <v>0</v>
      </c>
      <c r="E1178" t="s">
        <v>494</v>
      </c>
      <c r="F1178" t="s">
        <v>549</v>
      </c>
      <c r="G1178" t="s">
        <v>577</v>
      </c>
      <c r="H1178">
        <v>0</v>
      </c>
      <c r="I1178">
        <v>0</v>
      </c>
    </row>
    <row r="1179" spans="1:9" x14ac:dyDescent="0.2">
      <c r="A1179" t="s">
        <v>296</v>
      </c>
      <c r="B1179" t="s">
        <v>415</v>
      </c>
      <c r="C1179" t="s">
        <v>494</v>
      </c>
      <c r="D1179">
        <v>0</v>
      </c>
      <c r="E1179" t="s">
        <v>494</v>
      </c>
      <c r="F1179" t="s">
        <v>550</v>
      </c>
      <c r="G1179" t="s">
        <v>577</v>
      </c>
      <c r="H1179">
        <v>0</v>
      </c>
      <c r="I1179">
        <v>0</v>
      </c>
    </row>
    <row r="1180" spans="1:9" x14ac:dyDescent="0.2">
      <c r="A1180" t="s">
        <v>297</v>
      </c>
      <c r="B1180" t="s">
        <v>416</v>
      </c>
      <c r="C1180" t="s">
        <v>488</v>
      </c>
      <c r="D1180">
        <v>0</v>
      </c>
      <c r="E1180" t="s">
        <v>488</v>
      </c>
      <c r="F1180" t="s">
        <v>551</v>
      </c>
      <c r="G1180" t="s">
        <v>577</v>
      </c>
      <c r="H1180">
        <v>0</v>
      </c>
      <c r="I1180">
        <v>0</v>
      </c>
    </row>
    <row r="1181" spans="1:9" x14ac:dyDescent="0.2">
      <c r="A1181" t="s">
        <v>298</v>
      </c>
      <c r="B1181" t="s">
        <v>417</v>
      </c>
      <c r="C1181" t="s">
        <v>495</v>
      </c>
      <c r="D1181">
        <v>0</v>
      </c>
      <c r="E1181" t="s">
        <v>495</v>
      </c>
      <c r="F1181" t="s">
        <v>552</v>
      </c>
      <c r="G1181" t="s">
        <v>577</v>
      </c>
      <c r="H1181">
        <v>0</v>
      </c>
      <c r="I1181">
        <v>0</v>
      </c>
    </row>
    <row r="1182" spans="1:9" x14ac:dyDescent="0.2">
      <c r="A1182" t="s">
        <v>299</v>
      </c>
      <c r="B1182" t="s">
        <v>418</v>
      </c>
      <c r="C1182" t="s">
        <v>496</v>
      </c>
      <c r="D1182">
        <v>0</v>
      </c>
      <c r="E1182" t="s">
        <v>496</v>
      </c>
      <c r="F1182" t="s">
        <v>516</v>
      </c>
      <c r="G1182" t="s">
        <v>577</v>
      </c>
      <c r="H1182">
        <v>0</v>
      </c>
      <c r="I1182">
        <v>0</v>
      </c>
    </row>
    <row r="1183" spans="1:9" x14ac:dyDescent="0.2">
      <c r="A1183" t="s">
        <v>300</v>
      </c>
      <c r="B1183" t="s">
        <v>419</v>
      </c>
      <c r="C1183" t="s">
        <v>497</v>
      </c>
      <c r="D1183">
        <v>0</v>
      </c>
      <c r="E1183" t="s">
        <v>497</v>
      </c>
      <c r="F1183" t="s">
        <v>553</v>
      </c>
      <c r="G1183" t="s">
        <v>577</v>
      </c>
      <c r="H1183">
        <v>0</v>
      </c>
      <c r="I1183">
        <v>0</v>
      </c>
    </row>
    <row r="1184" spans="1:9" x14ac:dyDescent="0.2">
      <c r="A1184" t="s">
        <v>301</v>
      </c>
      <c r="B1184" t="s">
        <v>420</v>
      </c>
      <c r="C1184" t="s">
        <v>478</v>
      </c>
      <c r="D1184">
        <v>0</v>
      </c>
      <c r="E1184" t="s">
        <v>478</v>
      </c>
      <c r="F1184" t="s">
        <v>516</v>
      </c>
      <c r="G1184" t="s">
        <v>576</v>
      </c>
      <c r="H1184">
        <v>0</v>
      </c>
      <c r="I1184">
        <v>0</v>
      </c>
    </row>
    <row r="1185" spans="1:9" x14ac:dyDescent="0.2">
      <c r="A1185" t="s">
        <v>283</v>
      </c>
      <c r="B1185" t="s">
        <v>421</v>
      </c>
      <c r="C1185" t="s">
        <v>477</v>
      </c>
      <c r="D1185">
        <v>0</v>
      </c>
      <c r="E1185" t="s">
        <v>477</v>
      </c>
      <c r="F1185" t="s">
        <v>540</v>
      </c>
      <c r="G1185" t="s">
        <v>578</v>
      </c>
      <c r="H1185">
        <v>0</v>
      </c>
      <c r="I1185">
        <v>0</v>
      </c>
    </row>
    <row r="1186" spans="1:9" x14ac:dyDescent="0.2">
      <c r="A1186" t="s">
        <v>264</v>
      </c>
      <c r="B1186" t="s">
        <v>422</v>
      </c>
      <c r="C1186" t="s">
        <v>477</v>
      </c>
      <c r="D1186">
        <v>0</v>
      </c>
      <c r="E1186" t="s">
        <v>477</v>
      </c>
      <c r="F1186" t="s">
        <v>541</v>
      </c>
      <c r="G1186" t="s">
        <v>578</v>
      </c>
      <c r="H1186">
        <v>0</v>
      </c>
      <c r="I1186">
        <v>0</v>
      </c>
    </row>
    <row r="1187" spans="1:9" x14ac:dyDescent="0.2">
      <c r="A1187" t="s">
        <v>264</v>
      </c>
      <c r="B1187" t="s">
        <v>423</v>
      </c>
      <c r="C1187" t="s">
        <v>478</v>
      </c>
      <c r="D1187">
        <v>0</v>
      </c>
      <c r="E1187" t="s">
        <v>478</v>
      </c>
      <c r="F1187" t="s">
        <v>516</v>
      </c>
      <c r="G1187" t="s">
        <v>578</v>
      </c>
      <c r="H1187">
        <v>0</v>
      </c>
      <c r="I1187">
        <v>0</v>
      </c>
    </row>
    <row r="1188" spans="1:9" x14ac:dyDescent="0.2">
      <c r="A1188" t="s">
        <v>301</v>
      </c>
      <c r="B1188" t="s">
        <v>424</v>
      </c>
      <c r="C1188" t="s">
        <v>478</v>
      </c>
      <c r="D1188">
        <v>0</v>
      </c>
      <c r="E1188" t="s">
        <v>478</v>
      </c>
      <c r="F1188" t="s">
        <v>537</v>
      </c>
      <c r="G1188" t="s">
        <v>576</v>
      </c>
      <c r="H1188">
        <v>0</v>
      </c>
      <c r="I1188">
        <v>0</v>
      </c>
    </row>
    <row r="1189" spans="1:9" x14ac:dyDescent="0.2">
      <c r="A1189" t="s">
        <v>283</v>
      </c>
      <c r="B1189" t="s">
        <v>425</v>
      </c>
      <c r="C1189" t="s">
        <v>498</v>
      </c>
      <c r="D1189">
        <v>0</v>
      </c>
      <c r="E1189" t="s">
        <v>498</v>
      </c>
      <c r="F1189" t="s">
        <v>529</v>
      </c>
      <c r="G1189" t="s">
        <v>578</v>
      </c>
      <c r="H1189">
        <v>0</v>
      </c>
      <c r="I1189">
        <v>0</v>
      </c>
    </row>
    <row r="1190" spans="1:9" x14ac:dyDescent="0.2">
      <c r="A1190" t="s">
        <v>302</v>
      </c>
      <c r="B1190" t="s">
        <v>426</v>
      </c>
      <c r="C1190" t="s">
        <v>478</v>
      </c>
      <c r="D1190">
        <v>0</v>
      </c>
      <c r="E1190" t="s">
        <v>478</v>
      </c>
      <c r="F1190" t="s">
        <v>529</v>
      </c>
      <c r="G1190" t="s">
        <v>579</v>
      </c>
      <c r="H1190">
        <v>0</v>
      </c>
      <c r="I1190">
        <v>0</v>
      </c>
    </row>
    <row r="1191" spans="1:9" x14ac:dyDescent="0.2">
      <c r="A1191" t="s">
        <v>285</v>
      </c>
      <c r="B1191" t="s">
        <v>427</v>
      </c>
      <c r="C1191" t="s">
        <v>499</v>
      </c>
      <c r="D1191">
        <v>0</v>
      </c>
      <c r="E1191" t="s">
        <v>499</v>
      </c>
      <c r="F1191" t="s">
        <v>542</v>
      </c>
      <c r="G1191" t="s">
        <v>577</v>
      </c>
      <c r="H1191">
        <v>0</v>
      </c>
      <c r="I1191">
        <v>0</v>
      </c>
    </row>
    <row r="1192" spans="1:9" x14ac:dyDescent="0.2">
      <c r="A1192" t="s">
        <v>303</v>
      </c>
      <c r="B1192" t="s">
        <v>428</v>
      </c>
      <c r="C1192" t="s">
        <v>500</v>
      </c>
      <c r="D1192">
        <v>0</v>
      </c>
      <c r="E1192" t="s">
        <v>500</v>
      </c>
      <c r="F1192" t="s">
        <v>546</v>
      </c>
      <c r="G1192" t="s">
        <v>577</v>
      </c>
      <c r="H1192">
        <v>0</v>
      </c>
      <c r="I1192">
        <v>0</v>
      </c>
    </row>
    <row r="1193" spans="1:9" x14ac:dyDescent="0.2">
      <c r="A1193" t="s">
        <v>304</v>
      </c>
      <c r="B1193" t="s">
        <v>429</v>
      </c>
      <c r="C1193" t="s">
        <v>478</v>
      </c>
      <c r="D1193">
        <v>0</v>
      </c>
      <c r="E1193" t="s">
        <v>478</v>
      </c>
      <c r="F1193" t="s">
        <v>554</v>
      </c>
      <c r="G1193" t="s">
        <v>569</v>
      </c>
      <c r="H1193">
        <v>0</v>
      </c>
      <c r="I1193">
        <v>0</v>
      </c>
    </row>
    <row r="1194" spans="1:9" x14ac:dyDescent="0.2">
      <c r="A1194" t="s">
        <v>277</v>
      </c>
      <c r="B1194" t="s">
        <v>430</v>
      </c>
      <c r="C1194" t="s">
        <v>478</v>
      </c>
      <c r="D1194">
        <v>0</v>
      </c>
      <c r="E1194" t="s">
        <v>478</v>
      </c>
      <c r="F1194" t="s">
        <v>539</v>
      </c>
      <c r="G1194" t="s">
        <v>571</v>
      </c>
      <c r="H1194">
        <v>0</v>
      </c>
      <c r="I1194">
        <v>0</v>
      </c>
    </row>
    <row r="1195" spans="1:9" x14ac:dyDescent="0.2">
      <c r="A1195" t="s">
        <v>277</v>
      </c>
      <c r="B1195" t="s">
        <v>431</v>
      </c>
      <c r="C1195" t="s">
        <v>478</v>
      </c>
      <c r="D1195">
        <v>0</v>
      </c>
      <c r="E1195" t="s">
        <v>478</v>
      </c>
      <c r="F1195" t="s">
        <v>534</v>
      </c>
      <c r="G1195" t="s">
        <v>571</v>
      </c>
      <c r="H1195">
        <v>0</v>
      </c>
      <c r="I1195">
        <v>0</v>
      </c>
    </row>
    <row r="1196" spans="1:9" x14ac:dyDescent="0.2">
      <c r="A1196" t="s">
        <v>277</v>
      </c>
      <c r="B1196" t="s">
        <v>432</v>
      </c>
      <c r="C1196" t="s">
        <v>501</v>
      </c>
      <c r="D1196">
        <v>0</v>
      </c>
      <c r="E1196" t="s">
        <v>501</v>
      </c>
      <c r="F1196" t="s">
        <v>555</v>
      </c>
      <c r="G1196" t="s">
        <v>571</v>
      </c>
      <c r="H1196">
        <v>0</v>
      </c>
      <c r="I1196">
        <v>0</v>
      </c>
    </row>
    <row r="1197" spans="1:9" x14ac:dyDescent="0.2">
      <c r="A1197" t="s">
        <v>263</v>
      </c>
      <c r="B1197" t="s">
        <v>433</v>
      </c>
      <c r="C1197" t="s">
        <v>502</v>
      </c>
      <c r="D1197">
        <v>0</v>
      </c>
      <c r="E1197" t="s">
        <v>502</v>
      </c>
      <c r="F1197" t="s">
        <v>556</v>
      </c>
      <c r="G1197" t="s">
        <v>580</v>
      </c>
      <c r="H1197">
        <v>0</v>
      </c>
      <c r="I1197">
        <v>0</v>
      </c>
    </row>
    <row r="1198" spans="1:9" x14ac:dyDescent="0.2">
      <c r="A1198" t="s">
        <v>268</v>
      </c>
      <c r="B1198" t="s">
        <v>434</v>
      </c>
      <c r="C1198" t="s">
        <v>478</v>
      </c>
      <c r="D1198">
        <v>0</v>
      </c>
      <c r="E1198" t="s">
        <v>478</v>
      </c>
      <c r="F1198" t="s">
        <v>520</v>
      </c>
      <c r="G1198" t="s">
        <v>571</v>
      </c>
      <c r="H1198">
        <v>0</v>
      </c>
      <c r="I1198">
        <v>0</v>
      </c>
    </row>
    <row r="1199" spans="1:9" x14ac:dyDescent="0.2">
      <c r="A1199" t="s">
        <v>305</v>
      </c>
      <c r="B1199" t="s">
        <v>435</v>
      </c>
      <c r="C1199" t="s">
        <v>478</v>
      </c>
      <c r="D1199">
        <v>0</v>
      </c>
      <c r="E1199" t="s">
        <v>478</v>
      </c>
      <c r="F1199" t="s">
        <v>557</v>
      </c>
      <c r="G1199" t="s">
        <v>569</v>
      </c>
      <c r="H1199">
        <v>0</v>
      </c>
      <c r="I1199">
        <v>0</v>
      </c>
    </row>
    <row r="1200" spans="1:9" x14ac:dyDescent="0.2">
      <c r="A1200" t="s">
        <v>306</v>
      </c>
      <c r="B1200" t="s">
        <v>436</v>
      </c>
      <c r="C1200" t="s">
        <v>478</v>
      </c>
      <c r="D1200">
        <v>0</v>
      </c>
      <c r="E1200" t="s">
        <v>478</v>
      </c>
      <c r="F1200" t="s">
        <v>558</v>
      </c>
      <c r="G1200" t="s">
        <v>569</v>
      </c>
      <c r="H1200">
        <v>0</v>
      </c>
      <c r="I1200">
        <v>0</v>
      </c>
    </row>
    <row r="1201" spans="1:9" x14ac:dyDescent="0.2">
      <c r="A1201" t="s">
        <v>307</v>
      </c>
      <c r="B1201" t="s">
        <v>437</v>
      </c>
      <c r="C1201" t="s">
        <v>478</v>
      </c>
      <c r="D1201">
        <v>0</v>
      </c>
      <c r="E1201" t="s">
        <v>478</v>
      </c>
      <c r="F1201" t="s">
        <v>559</v>
      </c>
      <c r="G1201" t="s">
        <v>574</v>
      </c>
      <c r="H1201">
        <v>0</v>
      </c>
      <c r="I1201">
        <v>0</v>
      </c>
    </row>
    <row r="1202" spans="1:9" x14ac:dyDescent="0.2">
      <c r="A1202" t="s">
        <v>308</v>
      </c>
      <c r="B1202" t="s">
        <v>438</v>
      </c>
      <c r="C1202" t="s">
        <v>478</v>
      </c>
      <c r="D1202">
        <v>0</v>
      </c>
      <c r="E1202" t="s">
        <v>478</v>
      </c>
      <c r="F1202" t="s">
        <v>560</v>
      </c>
      <c r="G1202" t="s">
        <v>569</v>
      </c>
      <c r="H1202">
        <v>0</v>
      </c>
      <c r="I1202">
        <v>0</v>
      </c>
    </row>
    <row r="1203" spans="1:9" x14ac:dyDescent="0.2">
      <c r="A1203" t="s">
        <v>309</v>
      </c>
      <c r="B1203" t="s">
        <v>439</v>
      </c>
      <c r="C1203" t="s">
        <v>478</v>
      </c>
      <c r="D1203">
        <v>0</v>
      </c>
      <c r="E1203" t="s">
        <v>478</v>
      </c>
      <c r="F1203" t="s">
        <v>558</v>
      </c>
      <c r="G1203" t="s">
        <v>574</v>
      </c>
      <c r="H1203">
        <v>0</v>
      </c>
      <c r="I1203">
        <v>0</v>
      </c>
    </row>
    <row r="1204" spans="1:9" x14ac:dyDescent="0.2">
      <c r="A1204" t="s">
        <v>310</v>
      </c>
      <c r="B1204" t="s">
        <v>440</v>
      </c>
      <c r="C1204" t="s">
        <v>478</v>
      </c>
      <c r="D1204">
        <v>0</v>
      </c>
      <c r="E1204" t="s">
        <v>478</v>
      </c>
      <c r="F1204" t="s">
        <v>561</v>
      </c>
      <c r="G1204" t="s">
        <v>569</v>
      </c>
      <c r="H1204">
        <v>0</v>
      </c>
      <c r="I1204">
        <v>0</v>
      </c>
    </row>
    <row r="1205" spans="1:9" x14ac:dyDescent="0.2">
      <c r="A1205" t="s">
        <v>311</v>
      </c>
      <c r="B1205" t="s">
        <v>441</v>
      </c>
      <c r="C1205" t="s">
        <v>481</v>
      </c>
      <c r="D1205">
        <v>0</v>
      </c>
      <c r="E1205" t="s">
        <v>481</v>
      </c>
      <c r="F1205" t="s">
        <v>527</v>
      </c>
      <c r="G1205" t="s">
        <v>580</v>
      </c>
      <c r="H1205">
        <v>0</v>
      </c>
      <c r="I1205">
        <v>0</v>
      </c>
    </row>
    <row r="1206" spans="1:9" x14ac:dyDescent="0.2">
      <c r="A1206" t="s">
        <v>311</v>
      </c>
      <c r="B1206" t="s">
        <v>442</v>
      </c>
      <c r="C1206" t="s">
        <v>482</v>
      </c>
      <c r="D1206">
        <v>0</v>
      </c>
      <c r="E1206" t="s">
        <v>482</v>
      </c>
      <c r="F1206" t="s">
        <v>562</v>
      </c>
      <c r="G1206" t="s">
        <v>580</v>
      </c>
      <c r="H1206">
        <v>0</v>
      </c>
      <c r="I1206">
        <v>0</v>
      </c>
    </row>
    <row r="1207" spans="1:9" x14ac:dyDescent="0.2">
      <c r="A1207" t="s">
        <v>311</v>
      </c>
      <c r="B1207" t="s">
        <v>443</v>
      </c>
      <c r="C1207" t="s">
        <v>481</v>
      </c>
      <c r="D1207">
        <v>0</v>
      </c>
      <c r="E1207" t="s">
        <v>481</v>
      </c>
      <c r="F1207" t="s">
        <v>563</v>
      </c>
      <c r="G1207" t="s">
        <v>580</v>
      </c>
      <c r="H1207">
        <v>0</v>
      </c>
      <c r="I1207">
        <v>0</v>
      </c>
    </row>
    <row r="1208" spans="1:9" x14ac:dyDescent="0.2">
      <c r="A1208" t="s">
        <v>312</v>
      </c>
      <c r="B1208" t="s">
        <v>444</v>
      </c>
      <c r="C1208" t="s">
        <v>481</v>
      </c>
      <c r="D1208">
        <v>0</v>
      </c>
      <c r="E1208" t="s">
        <v>481</v>
      </c>
      <c r="F1208" t="s">
        <v>526</v>
      </c>
      <c r="G1208" t="s">
        <v>580</v>
      </c>
      <c r="H1208">
        <v>0</v>
      </c>
      <c r="I1208">
        <v>0</v>
      </c>
    </row>
    <row r="1209" spans="1:9" x14ac:dyDescent="0.2">
      <c r="A1209" t="s">
        <v>286</v>
      </c>
      <c r="B1209" t="s">
        <v>445</v>
      </c>
      <c r="C1209" t="s">
        <v>486</v>
      </c>
      <c r="D1209">
        <v>0</v>
      </c>
      <c r="E1209" t="s">
        <v>486</v>
      </c>
      <c r="F1209" t="s">
        <v>542</v>
      </c>
      <c r="G1209" t="s">
        <v>580</v>
      </c>
      <c r="H1209">
        <v>0</v>
      </c>
      <c r="I1209">
        <v>0</v>
      </c>
    </row>
    <row r="1210" spans="1:9" x14ac:dyDescent="0.2">
      <c r="A1210" t="s">
        <v>286</v>
      </c>
      <c r="B1210" t="s">
        <v>446</v>
      </c>
      <c r="C1210" t="s">
        <v>486</v>
      </c>
      <c r="D1210">
        <v>0</v>
      </c>
      <c r="E1210" t="s">
        <v>486</v>
      </c>
      <c r="F1210" t="s">
        <v>541</v>
      </c>
      <c r="G1210" t="s">
        <v>580</v>
      </c>
      <c r="H1210">
        <v>0</v>
      </c>
      <c r="I1210">
        <v>0</v>
      </c>
    </row>
    <row r="1211" spans="1:9" x14ac:dyDescent="0.2">
      <c r="A1211" t="s">
        <v>313</v>
      </c>
      <c r="B1211" t="s">
        <v>447</v>
      </c>
      <c r="C1211" t="s">
        <v>478</v>
      </c>
      <c r="D1211">
        <v>0</v>
      </c>
      <c r="E1211" t="s">
        <v>478</v>
      </c>
      <c r="F1211" t="s">
        <v>516</v>
      </c>
      <c r="G1211" t="s">
        <v>569</v>
      </c>
      <c r="H1211">
        <v>0</v>
      </c>
      <c r="I1211">
        <v>0</v>
      </c>
    </row>
    <row r="1212" spans="1:9" x14ac:dyDescent="0.2">
      <c r="A1212" t="s">
        <v>314</v>
      </c>
      <c r="B1212" t="s">
        <v>448</v>
      </c>
      <c r="C1212" t="s">
        <v>478</v>
      </c>
      <c r="D1212">
        <v>0</v>
      </c>
      <c r="E1212" t="s">
        <v>478</v>
      </c>
      <c r="F1212" t="s">
        <v>516</v>
      </c>
      <c r="G1212" t="s">
        <v>569</v>
      </c>
      <c r="H1212">
        <v>0</v>
      </c>
      <c r="I1212">
        <v>0</v>
      </c>
    </row>
    <row r="1213" spans="1:9" x14ac:dyDescent="0.2">
      <c r="A1213" t="s">
        <v>315</v>
      </c>
      <c r="B1213" t="s">
        <v>449</v>
      </c>
      <c r="C1213" t="s">
        <v>478</v>
      </c>
      <c r="D1213">
        <v>0</v>
      </c>
      <c r="E1213" t="s">
        <v>478</v>
      </c>
      <c r="F1213" t="s">
        <v>530</v>
      </c>
      <c r="G1213" t="s">
        <v>569</v>
      </c>
      <c r="H1213">
        <v>0</v>
      </c>
      <c r="I1213">
        <v>0</v>
      </c>
    </row>
    <row r="1214" spans="1:9" x14ac:dyDescent="0.2">
      <c r="A1214" t="s">
        <v>315</v>
      </c>
      <c r="B1214" t="s">
        <v>450</v>
      </c>
      <c r="C1214" t="s">
        <v>478</v>
      </c>
      <c r="D1214">
        <v>0</v>
      </c>
      <c r="E1214" t="s">
        <v>478</v>
      </c>
      <c r="F1214" t="s">
        <v>530</v>
      </c>
      <c r="G1214" t="s">
        <v>569</v>
      </c>
      <c r="H1214">
        <v>0</v>
      </c>
      <c r="I1214">
        <v>0</v>
      </c>
    </row>
    <row r="1215" spans="1:9" x14ac:dyDescent="0.2">
      <c r="A1215" t="s">
        <v>315</v>
      </c>
      <c r="B1215" t="s">
        <v>451</v>
      </c>
      <c r="C1215" t="s">
        <v>478</v>
      </c>
      <c r="D1215">
        <v>0</v>
      </c>
      <c r="E1215" t="s">
        <v>478</v>
      </c>
      <c r="F1215" t="s">
        <v>530</v>
      </c>
      <c r="G1215" t="s">
        <v>569</v>
      </c>
      <c r="H1215">
        <v>0</v>
      </c>
      <c r="I1215">
        <v>0</v>
      </c>
    </row>
    <row r="1216" spans="1:9" x14ac:dyDescent="0.2">
      <c r="A1216" t="s">
        <v>313</v>
      </c>
      <c r="B1216" t="s">
        <v>452</v>
      </c>
      <c r="C1216" t="s">
        <v>478</v>
      </c>
      <c r="D1216">
        <v>0</v>
      </c>
      <c r="E1216" t="s">
        <v>478</v>
      </c>
      <c r="F1216" t="s">
        <v>524</v>
      </c>
      <c r="G1216" t="s">
        <v>569</v>
      </c>
      <c r="H1216">
        <v>0</v>
      </c>
      <c r="I1216">
        <v>0</v>
      </c>
    </row>
    <row r="1217" spans="1:9" x14ac:dyDescent="0.2">
      <c r="A1217" t="s">
        <v>314</v>
      </c>
      <c r="B1217" t="s">
        <v>453</v>
      </c>
      <c r="C1217" t="s">
        <v>478</v>
      </c>
      <c r="D1217">
        <v>0</v>
      </c>
      <c r="E1217" t="s">
        <v>478</v>
      </c>
      <c r="F1217" t="s">
        <v>538</v>
      </c>
      <c r="G1217" t="s">
        <v>569</v>
      </c>
      <c r="H1217">
        <v>0</v>
      </c>
      <c r="I1217">
        <v>0</v>
      </c>
    </row>
    <row r="1218" spans="1:9" x14ac:dyDescent="0.2">
      <c r="A1218" t="s">
        <v>314</v>
      </c>
      <c r="B1218" t="s">
        <v>454</v>
      </c>
      <c r="C1218" t="s">
        <v>478</v>
      </c>
      <c r="D1218">
        <v>0</v>
      </c>
      <c r="E1218" t="s">
        <v>478</v>
      </c>
      <c r="F1218" t="s">
        <v>530</v>
      </c>
      <c r="G1218" t="s">
        <v>569</v>
      </c>
      <c r="H1218">
        <v>0</v>
      </c>
      <c r="I1218">
        <v>0</v>
      </c>
    </row>
    <row r="1219" spans="1:9" x14ac:dyDescent="0.2">
      <c r="A1219" t="s">
        <v>314</v>
      </c>
      <c r="B1219" t="s">
        <v>455</v>
      </c>
      <c r="C1219" t="s">
        <v>478</v>
      </c>
      <c r="D1219">
        <v>0</v>
      </c>
      <c r="E1219" t="s">
        <v>478</v>
      </c>
      <c r="F1219" t="s">
        <v>538</v>
      </c>
      <c r="G1219" t="s">
        <v>569</v>
      </c>
      <c r="H1219">
        <v>0</v>
      </c>
      <c r="I1219">
        <v>0</v>
      </c>
    </row>
    <row r="1220" spans="1:9" x14ac:dyDescent="0.2">
      <c r="A1220" t="s">
        <v>314</v>
      </c>
      <c r="B1220" t="s">
        <v>456</v>
      </c>
      <c r="C1220" t="s">
        <v>478</v>
      </c>
      <c r="D1220">
        <v>0</v>
      </c>
      <c r="E1220" t="s">
        <v>478</v>
      </c>
      <c r="F1220" t="s">
        <v>530</v>
      </c>
      <c r="G1220" t="s">
        <v>569</v>
      </c>
      <c r="H1220">
        <v>0</v>
      </c>
      <c r="I1220">
        <v>0</v>
      </c>
    </row>
    <row r="1221" spans="1:9" x14ac:dyDescent="0.2">
      <c r="A1221" t="s">
        <v>277</v>
      </c>
      <c r="B1221" t="s">
        <v>457</v>
      </c>
      <c r="C1221" t="s">
        <v>501</v>
      </c>
      <c r="D1221">
        <v>0</v>
      </c>
      <c r="E1221" t="s">
        <v>501</v>
      </c>
      <c r="F1221" t="s">
        <v>564</v>
      </c>
      <c r="G1221" t="s">
        <v>571</v>
      </c>
      <c r="H1221">
        <v>0</v>
      </c>
      <c r="I1221">
        <v>0</v>
      </c>
    </row>
    <row r="1222" spans="1:9" x14ac:dyDescent="0.2">
      <c r="A1222" t="s">
        <v>263</v>
      </c>
      <c r="B1222" t="s">
        <v>458</v>
      </c>
      <c r="C1222" t="s">
        <v>476</v>
      </c>
      <c r="D1222">
        <v>0</v>
      </c>
      <c r="E1222" t="s">
        <v>476</v>
      </c>
      <c r="F1222" t="s">
        <v>565</v>
      </c>
      <c r="G1222" t="s">
        <v>580</v>
      </c>
      <c r="H1222">
        <v>0</v>
      </c>
      <c r="I1222">
        <v>0</v>
      </c>
    </row>
    <row r="1223" spans="1:9" x14ac:dyDescent="0.2">
      <c r="A1223" t="s">
        <v>316</v>
      </c>
      <c r="B1223" t="s">
        <v>459</v>
      </c>
      <c r="C1223" t="s">
        <v>478</v>
      </c>
      <c r="D1223">
        <v>0</v>
      </c>
      <c r="E1223" t="s">
        <v>478</v>
      </c>
      <c r="F1223" t="s">
        <v>557</v>
      </c>
      <c r="G1223" t="s">
        <v>569</v>
      </c>
      <c r="H1223">
        <v>0</v>
      </c>
      <c r="I1223">
        <v>0</v>
      </c>
    </row>
    <row r="1224" spans="1:9" x14ac:dyDescent="0.2">
      <c r="A1224" t="s">
        <v>317</v>
      </c>
      <c r="B1224" t="s">
        <v>460</v>
      </c>
      <c r="C1224" t="s">
        <v>478</v>
      </c>
      <c r="D1224">
        <v>0</v>
      </c>
      <c r="E1224" t="s">
        <v>478</v>
      </c>
      <c r="F1224" t="s">
        <v>560</v>
      </c>
      <c r="G1224" t="s">
        <v>569</v>
      </c>
      <c r="H1224">
        <v>0</v>
      </c>
      <c r="I1224">
        <v>0</v>
      </c>
    </row>
    <row r="1225" spans="1:9" x14ac:dyDescent="0.2">
      <c r="A1225" t="s">
        <v>318</v>
      </c>
      <c r="B1225" t="s">
        <v>461</v>
      </c>
      <c r="C1225" t="s">
        <v>478</v>
      </c>
      <c r="D1225">
        <v>0</v>
      </c>
      <c r="E1225" t="s">
        <v>478</v>
      </c>
      <c r="F1225" t="s">
        <v>561</v>
      </c>
      <c r="G1225" t="s">
        <v>574</v>
      </c>
      <c r="H1225">
        <v>0</v>
      </c>
      <c r="I1225">
        <v>0</v>
      </c>
    </row>
    <row r="1226" spans="1:9" x14ac:dyDescent="0.2">
      <c r="A1226" t="s">
        <v>319</v>
      </c>
      <c r="B1226" t="s">
        <v>462</v>
      </c>
      <c r="C1226" t="s">
        <v>482</v>
      </c>
      <c r="D1226">
        <v>0</v>
      </c>
      <c r="E1226" t="s">
        <v>482</v>
      </c>
      <c r="F1226" t="s">
        <v>526</v>
      </c>
      <c r="G1226" t="s">
        <v>580</v>
      </c>
      <c r="H1226">
        <v>0</v>
      </c>
      <c r="I1226">
        <v>0</v>
      </c>
    </row>
    <row r="1227" spans="1:9" x14ac:dyDescent="0.2">
      <c r="A1227" t="s">
        <v>320</v>
      </c>
      <c r="B1227" t="s">
        <v>463</v>
      </c>
      <c r="C1227" t="s">
        <v>488</v>
      </c>
      <c r="D1227">
        <v>0</v>
      </c>
      <c r="E1227" t="s">
        <v>488</v>
      </c>
      <c r="F1227" t="s">
        <v>562</v>
      </c>
      <c r="G1227" t="s">
        <v>580</v>
      </c>
      <c r="H1227">
        <v>0</v>
      </c>
      <c r="I1227">
        <v>0</v>
      </c>
    </row>
    <row r="1228" spans="1:9" x14ac:dyDescent="0.2">
      <c r="A1228" t="s">
        <v>319</v>
      </c>
      <c r="B1228" t="s">
        <v>464</v>
      </c>
      <c r="C1228" t="s">
        <v>482</v>
      </c>
      <c r="D1228">
        <v>0</v>
      </c>
      <c r="E1228" t="s">
        <v>482</v>
      </c>
      <c r="F1228" t="s">
        <v>563</v>
      </c>
      <c r="G1228" t="s">
        <v>580</v>
      </c>
      <c r="H1228">
        <v>0</v>
      </c>
      <c r="I1228">
        <v>0</v>
      </c>
    </row>
    <row r="1229" spans="1:9" x14ac:dyDescent="0.2">
      <c r="A1229" t="s">
        <v>319</v>
      </c>
      <c r="B1229" t="s">
        <v>465</v>
      </c>
      <c r="C1229" t="s">
        <v>481</v>
      </c>
      <c r="D1229">
        <v>0</v>
      </c>
      <c r="E1229" t="s">
        <v>481</v>
      </c>
      <c r="F1229" t="s">
        <v>526</v>
      </c>
      <c r="G1229" t="s">
        <v>580</v>
      </c>
      <c r="H1229">
        <v>0</v>
      </c>
      <c r="I1229">
        <v>0</v>
      </c>
    </row>
    <row r="1230" spans="1:9" x14ac:dyDescent="0.2">
      <c r="A1230" t="s">
        <v>321</v>
      </c>
      <c r="B1230" t="s">
        <v>466</v>
      </c>
      <c r="C1230" t="s">
        <v>488</v>
      </c>
      <c r="D1230">
        <v>0</v>
      </c>
      <c r="E1230" t="s">
        <v>488</v>
      </c>
      <c r="F1230" t="s">
        <v>547</v>
      </c>
      <c r="G1230" t="s">
        <v>574</v>
      </c>
      <c r="H1230">
        <v>0</v>
      </c>
      <c r="I1230">
        <v>0</v>
      </c>
    </row>
    <row r="1231" spans="1:9" x14ac:dyDescent="0.2">
      <c r="A1231" t="s">
        <v>322</v>
      </c>
      <c r="B1231" t="s">
        <v>467</v>
      </c>
      <c r="C1231" t="s">
        <v>482</v>
      </c>
      <c r="D1231">
        <v>0</v>
      </c>
      <c r="E1231" t="s">
        <v>482</v>
      </c>
      <c r="F1231" t="s">
        <v>566</v>
      </c>
      <c r="G1231" t="s">
        <v>574</v>
      </c>
      <c r="H1231">
        <v>0</v>
      </c>
      <c r="I1231">
        <v>0</v>
      </c>
    </row>
    <row r="1232" spans="1:9" x14ac:dyDescent="0.2">
      <c r="A1232" t="s">
        <v>283</v>
      </c>
      <c r="B1232" t="s">
        <v>468</v>
      </c>
      <c r="C1232" t="s">
        <v>478</v>
      </c>
      <c r="D1232">
        <v>0</v>
      </c>
      <c r="E1232" t="s">
        <v>478</v>
      </c>
      <c r="F1232" t="s">
        <v>524</v>
      </c>
      <c r="G1232" t="s">
        <v>581</v>
      </c>
      <c r="H1232">
        <v>0</v>
      </c>
      <c r="I1232">
        <v>0</v>
      </c>
    </row>
    <row r="1233" spans="1:9" x14ac:dyDescent="0.2">
      <c r="A1233" t="s">
        <v>275</v>
      </c>
      <c r="B1233" t="s">
        <v>469</v>
      </c>
      <c r="C1233" t="s">
        <v>478</v>
      </c>
      <c r="D1233">
        <v>0</v>
      </c>
      <c r="E1233" t="s">
        <v>478</v>
      </c>
      <c r="F1233" t="s">
        <v>530</v>
      </c>
      <c r="G1233" t="s">
        <v>581</v>
      </c>
      <c r="H1233">
        <v>0</v>
      </c>
      <c r="I1233">
        <v>0</v>
      </c>
    </row>
    <row r="1234" spans="1:9" x14ac:dyDescent="0.2">
      <c r="A1234" t="s">
        <v>275</v>
      </c>
      <c r="B1234" t="s">
        <v>470</v>
      </c>
      <c r="C1234" t="s">
        <v>478</v>
      </c>
      <c r="D1234">
        <v>0</v>
      </c>
      <c r="E1234" t="s">
        <v>478</v>
      </c>
      <c r="F1234" t="s">
        <v>530</v>
      </c>
      <c r="G1234" t="s">
        <v>581</v>
      </c>
      <c r="H1234">
        <v>0</v>
      </c>
      <c r="I1234">
        <v>0</v>
      </c>
    </row>
    <row r="1235" spans="1:9" x14ac:dyDescent="0.2">
      <c r="A1235" t="s">
        <v>275</v>
      </c>
      <c r="B1235" t="s">
        <v>471</v>
      </c>
      <c r="C1235" t="s">
        <v>478</v>
      </c>
      <c r="D1235">
        <v>0</v>
      </c>
      <c r="E1235" t="s">
        <v>478</v>
      </c>
      <c r="F1235" t="s">
        <v>530</v>
      </c>
      <c r="G1235" t="s">
        <v>581</v>
      </c>
      <c r="H1235">
        <v>0</v>
      </c>
      <c r="I1235">
        <v>0</v>
      </c>
    </row>
    <row r="1236" spans="1:9" x14ac:dyDescent="0.2">
      <c r="A1236" t="s">
        <v>275</v>
      </c>
      <c r="B1236" t="s">
        <v>472</v>
      </c>
      <c r="C1236" t="s">
        <v>478</v>
      </c>
      <c r="D1236">
        <v>0</v>
      </c>
      <c r="E1236" t="s">
        <v>478</v>
      </c>
      <c r="F1236" t="s">
        <v>530</v>
      </c>
      <c r="G1236" t="s">
        <v>581</v>
      </c>
      <c r="H1236">
        <v>0</v>
      </c>
      <c r="I1236">
        <v>0</v>
      </c>
    </row>
    <row r="1237" spans="1:9" x14ac:dyDescent="0.2">
      <c r="A1237" t="s">
        <v>286</v>
      </c>
      <c r="B1237" t="s">
        <v>473</v>
      </c>
      <c r="C1237" t="s">
        <v>486</v>
      </c>
      <c r="D1237">
        <v>0</v>
      </c>
      <c r="E1237" t="s">
        <v>486</v>
      </c>
      <c r="F1237" t="s">
        <v>542</v>
      </c>
      <c r="G1237" t="s">
        <v>580</v>
      </c>
      <c r="H1237">
        <v>0</v>
      </c>
      <c r="I1237">
        <v>0</v>
      </c>
    </row>
    <row r="1238" spans="1:9" x14ac:dyDescent="0.2">
      <c r="A1238" t="s">
        <v>286</v>
      </c>
      <c r="B1238" t="s">
        <v>474</v>
      </c>
      <c r="C1238" t="s">
        <v>486</v>
      </c>
      <c r="D1238">
        <v>0</v>
      </c>
      <c r="E1238" t="s">
        <v>486</v>
      </c>
      <c r="F1238" t="s">
        <v>542</v>
      </c>
      <c r="G1238" t="s">
        <v>580</v>
      </c>
      <c r="H1238">
        <v>0</v>
      </c>
      <c r="I1238">
        <v>0</v>
      </c>
    </row>
    <row r="1239" spans="1:9" x14ac:dyDescent="0.2">
      <c r="A1239" t="s">
        <v>289</v>
      </c>
      <c r="B1239" t="s">
        <v>475</v>
      </c>
      <c r="C1239" t="s">
        <v>478</v>
      </c>
      <c r="D1239">
        <v>0</v>
      </c>
      <c r="E1239" t="s">
        <v>478</v>
      </c>
      <c r="F1239" t="s">
        <v>559</v>
      </c>
      <c r="G1239" t="s">
        <v>574</v>
      </c>
      <c r="H1239">
        <v>0</v>
      </c>
      <c r="I1239">
        <v>0</v>
      </c>
    </row>
    <row r="1240" spans="1:9" x14ac:dyDescent="0.2">
      <c r="A1240" t="s">
        <v>302</v>
      </c>
      <c r="B1240" t="s">
        <v>302</v>
      </c>
      <c r="C1240" t="s">
        <v>478</v>
      </c>
      <c r="D1240">
        <v>0</v>
      </c>
      <c r="E1240" t="s">
        <v>478</v>
      </c>
      <c r="F1240" t="s">
        <v>567</v>
      </c>
      <c r="G1240" t="s">
        <v>579</v>
      </c>
      <c r="H1240">
        <v>0</v>
      </c>
      <c r="I1240">
        <v>0</v>
      </c>
    </row>
    <row r="1241" spans="1:9" x14ac:dyDescent="0.2">
      <c r="A1241" t="s">
        <v>323</v>
      </c>
      <c r="B1241" t="s">
        <v>302</v>
      </c>
      <c r="C1241" t="s">
        <v>478</v>
      </c>
      <c r="D1241">
        <v>0</v>
      </c>
      <c r="E1241" t="s">
        <v>478</v>
      </c>
      <c r="F1241" t="s">
        <v>568</v>
      </c>
      <c r="G1241" t="s">
        <v>569</v>
      </c>
      <c r="H1241">
        <v>0</v>
      </c>
      <c r="I1241">
        <v>0</v>
      </c>
    </row>
    <row r="1242" spans="1:9" x14ac:dyDescent="0.2">
      <c r="A1242" t="s">
        <v>263</v>
      </c>
      <c r="B1242" t="s">
        <v>324</v>
      </c>
      <c r="C1242" t="s">
        <v>476</v>
      </c>
      <c r="D1242" t="s">
        <v>503</v>
      </c>
      <c r="E1242" t="s">
        <v>478</v>
      </c>
      <c r="F1242" t="s">
        <v>515</v>
      </c>
      <c r="G1242" t="s">
        <v>319</v>
      </c>
      <c r="H1242">
        <v>512.20168843859256</v>
      </c>
      <c r="I1242">
        <v>550</v>
      </c>
    </row>
    <row r="1243" spans="1:9" x14ac:dyDescent="0.2">
      <c r="A1243" t="s">
        <v>264</v>
      </c>
      <c r="B1243" t="s">
        <v>325</v>
      </c>
      <c r="C1243" t="s">
        <v>477</v>
      </c>
      <c r="D1243" t="s">
        <v>504</v>
      </c>
      <c r="E1243" t="s">
        <v>477</v>
      </c>
      <c r="F1243" t="s">
        <v>516</v>
      </c>
      <c r="G1243" t="s">
        <v>569</v>
      </c>
      <c r="H1243">
        <v>137.34523897192631</v>
      </c>
      <c r="I1243">
        <v>150</v>
      </c>
    </row>
    <row r="1244" spans="1:9" x14ac:dyDescent="0.2">
      <c r="A1244" t="s">
        <v>265</v>
      </c>
      <c r="B1244" t="s">
        <v>326</v>
      </c>
      <c r="C1244" t="s">
        <v>478</v>
      </c>
      <c r="D1244" t="s">
        <v>505</v>
      </c>
      <c r="E1244" t="s">
        <v>478</v>
      </c>
      <c r="F1244" t="s">
        <v>517</v>
      </c>
      <c r="G1244" t="s">
        <v>570</v>
      </c>
      <c r="H1244">
        <v>0</v>
      </c>
      <c r="I1244">
        <v>0</v>
      </c>
    </row>
    <row r="1245" spans="1:9" x14ac:dyDescent="0.2">
      <c r="A1245" t="s">
        <v>266</v>
      </c>
      <c r="B1245" t="s">
        <v>327</v>
      </c>
      <c r="C1245" t="s">
        <v>479</v>
      </c>
      <c r="D1245" t="s">
        <v>506</v>
      </c>
      <c r="E1245" t="s">
        <v>479</v>
      </c>
      <c r="F1245" t="s">
        <v>518</v>
      </c>
      <c r="G1245" t="s">
        <v>571</v>
      </c>
      <c r="H1245">
        <v>437.1338624340375</v>
      </c>
      <c r="I1245">
        <v>450</v>
      </c>
    </row>
    <row r="1246" spans="1:9" x14ac:dyDescent="0.2">
      <c r="A1246" t="s">
        <v>267</v>
      </c>
      <c r="B1246" t="s">
        <v>328</v>
      </c>
      <c r="C1246" t="s">
        <v>480</v>
      </c>
      <c r="D1246" t="s">
        <v>507</v>
      </c>
      <c r="E1246" t="s">
        <v>480</v>
      </c>
      <c r="F1246" t="s">
        <v>519</v>
      </c>
      <c r="G1246" t="s">
        <v>572</v>
      </c>
      <c r="H1246">
        <v>0</v>
      </c>
      <c r="I1246">
        <v>0</v>
      </c>
    </row>
    <row r="1247" spans="1:9" x14ac:dyDescent="0.2">
      <c r="A1247" t="s">
        <v>268</v>
      </c>
      <c r="B1247" t="s">
        <v>329</v>
      </c>
      <c r="C1247" t="s">
        <v>478</v>
      </c>
      <c r="D1247" t="s">
        <v>505</v>
      </c>
      <c r="E1247" t="s">
        <v>478</v>
      </c>
      <c r="F1247" t="s">
        <v>520</v>
      </c>
      <c r="G1247" t="s">
        <v>571</v>
      </c>
      <c r="H1247">
        <v>0</v>
      </c>
      <c r="I1247">
        <v>0</v>
      </c>
    </row>
    <row r="1248" spans="1:9" x14ac:dyDescent="0.2">
      <c r="A1248" t="s">
        <v>268</v>
      </c>
      <c r="B1248" t="s">
        <v>330</v>
      </c>
      <c r="C1248" t="s">
        <v>478</v>
      </c>
      <c r="D1248" t="s">
        <v>505</v>
      </c>
      <c r="E1248" t="s">
        <v>478</v>
      </c>
      <c r="F1248" t="s">
        <v>516</v>
      </c>
      <c r="G1248" t="s">
        <v>571</v>
      </c>
      <c r="H1248">
        <v>0</v>
      </c>
      <c r="I1248">
        <v>0</v>
      </c>
    </row>
    <row r="1249" spans="1:9" x14ac:dyDescent="0.2">
      <c r="A1249" t="s">
        <v>268</v>
      </c>
      <c r="B1249" t="s">
        <v>331</v>
      </c>
      <c r="C1249" t="s">
        <v>478</v>
      </c>
      <c r="D1249" t="s">
        <v>505</v>
      </c>
      <c r="E1249" t="s">
        <v>478</v>
      </c>
      <c r="F1249" t="s">
        <v>520</v>
      </c>
      <c r="G1249" t="s">
        <v>571</v>
      </c>
      <c r="H1249">
        <v>0</v>
      </c>
      <c r="I1249">
        <v>0</v>
      </c>
    </row>
    <row r="1250" spans="1:9" x14ac:dyDescent="0.2">
      <c r="A1250" t="s">
        <v>269</v>
      </c>
      <c r="B1250" t="s">
        <v>332</v>
      </c>
      <c r="C1250" t="s">
        <v>481</v>
      </c>
      <c r="D1250" t="s">
        <v>508</v>
      </c>
      <c r="E1250" t="s">
        <v>481</v>
      </c>
      <c r="F1250" t="s">
        <v>521</v>
      </c>
      <c r="G1250" t="s">
        <v>573</v>
      </c>
      <c r="H1250">
        <v>0</v>
      </c>
      <c r="I1250">
        <v>0</v>
      </c>
    </row>
    <row r="1251" spans="1:9" x14ac:dyDescent="0.2">
      <c r="A1251" t="s">
        <v>270</v>
      </c>
      <c r="B1251" t="s">
        <v>333</v>
      </c>
      <c r="C1251" t="s">
        <v>481</v>
      </c>
      <c r="D1251" t="s">
        <v>508</v>
      </c>
      <c r="E1251" t="s">
        <v>481</v>
      </c>
      <c r="F1251" t="s">
        <v>522</v>
      </c>
      <c r="G1251" t="s">
        <v>573</v>
      </c>
      <c r="H1251">
        <v>0</v>
      </c>
      <c r="I1251">
        <v>0</v>
      </c>
    </row>
    <row r="1252" spans="1:9" x14ac:dyDescent="0.2">
      <c r="A1252" t="s">
        <v>270</v>
      </c>
      <c r="B1252" t="s">
        <v>334</v>
      </c>
      <c r="C1252" t="s">
        <v>481</v>
      </c>
      <c r="D1252" t="s">
        <v>508</v>
      </c>
      <c r="E1252" t="s">
        <v>481</v>
      </c>
      <c r="F1252" t="s">
        <v>523</v>
      </c>
      <c r="G1252" t="s">
        <v>573</v>
      </c>
      <c r="H1252">
        <v>0</v>
      </c>
      <c r="I1252">
        <v>0</v>
      </c>
    </row>
    <row r="1253" spans="1:9" x14ac:dyDescent="0.2">
      <c r="A1253" t="s">
        <v>271</v>
      </c>
      <c r="B1253" t="s">
        <v>335</v>
      </c>
      <c r="C1253" t="s">
        <v>478</v>
      </c>
      <c r="D1253" t="s">
        <v>505</v>
      </c>
      <c r="E1253" t="s">
        <v>478</v>
      </c>
      <c r="F1253" t="s">
        <v>524</v>
      </c>
      <c r="G1253" t="s">
        <v>574</v>
      </c>
      <c r="H1253">
        <v>0</v>
      </c>
      <c r="I1253">
        <v>0</v>
      </c>
    </row>
    <row r="1254" spans="1:9" x14ac:dyDescent="0.2">
      <c r="A1254" t="s">
        <v>269</v>
      </c>
      <c r="B1254" t="s">
        <v>336</v>
      </c>
      <c r="C1254" t="s">
        <v>481</v>
      </c>
      <c r="D1254" t="s">
        <v>508</v>
      </c>
      <c r="E1254" t="s">
        <v>481</v>
      </c>
      <c r="F1254" t="s">
        <v>525</v>
      </c>
      <c r="G1254" t="s">
        <v>573</v>
      </c>
      <c r="H1254">
        <v>0</v>
      </c>
      <c r="I1254">
        <v>0</v>
      </c>
    </row>
    <row r="1255" spans="1:9" x14ac:dyDescent="0.2">
      <c r="A1255" t="s">
        <v>272</v>
      </c>
      <c r="B1255" t="s">
        <v>337</v>
      </c>
      <c r="C1255" t="s">
        <v>481</v>
      </c>
      <c r="D1255" t="s">
        <v>508</v>
      </c>
      <c r="E1255" t="s">
        <v>481</v>
      </c>
      <c r="F1255" t="s">
        <v>526</v>
      </c>
      <c r="G1255" t="s">
        <v>572</v>
      </c>
      <c r="H1255">
        <v>0</v>
      </c>
      <c r="I1255">
        <v>0</v>
      </c>
    </row>
    <row r="1256" spans="1:9" x14ac:dyDescent="0.2">
      <c r="A1256" t="s">
        <v>272</v>
      </c>
      <c r="B1256" t="s">
        <v>338</v>
      </c>
      <c r="C1256" t="s">
        <v>481</v>
      </c>
      <c r="D1256" t="s">
        <v>508</v>
      </c>
      <c r="E1256" t="s">
        <v>481</v>
      </c>
      <c r="F1256" t="s">
        <v>527</v>
      </c>
      <c r="G1256" t="s">
        <v>572</v>
      </c>
      <c r="H1256">
        <v>0</v>
      </c>
      <c r="I1256">
        <v>0</v>
      </c>
    </row>
    <row r="1257" spans="1:9" x14ac:dyDescent="0.2">
      <c r="A1257" t="s">
        <v>273</v>
      </c>
      <c r="B1257" t="s">
        <v>339</v>
      </c>
      <c r="C1257" t="s">
        <v>481</v>
      </c>
      <c r="D1257" t="s">
        <v>508</v>
      </c>
      <c r="E1257" t="s">
        <v>481</v>
      </c>
      <c r="F1257" t="s">
        <v>527</v>
      </c>
      <c r="G1257" t="s">
        <v>572</v>
      </c>
      <c r="H1257">
        <v>0</v>
      </c>
      <c r="I1257">
        <v>0</v>
      </c>
    </row>
    <row r="1258" spans="1:9" x14ac:dyDescent="0.2">
      <c r="A1258" t="s">
        <v>273</v>
      </c>
      <c r="B1258" t="s">
        <v>340</v>
      </c>
      <c r="C1258" t="s">
        <v>482</v>
      </c>
      <c r="D1258" t="s">
        <v>509</v>
      </c>
      <c r="E1258" t="s">
        <v>482</v>
      </c>
      <c r="F1258" t="s">
        <v>528</v>
      </c>
      <c r="G1258" t="s">
        <v>572</v>
      </c>
      <c r="H1258">
        <v>0</v>
      </c>
      <c r="I1258">
        <v>0</v>
      </c>
    </row>
    <row r="1259" spans="1:9" x14ac:dyDescent="0.2">
      <c r="A1259" t="s">
        <v>273</v>
      </c>
      <c r="B1259" t="s">
        <v>341</v>
      </c>
      <c r="C1259" t="s">
        <v>481</v>
      </c>
      <c r="D1259" t="s">
        <v>508</v>
      </c>
      <c r="E1259" t="s">
        <v>481</v>
      </c>
      <c r="F1259" t="s">
        <v>527</v>
      </c>
      <c r="G1259" t="s">
        <v>572</v>
      </c>
      <c r="H1259">
        <v>0</v>
      </c>
      <c r="I1259">
        <v>0</v>
      </c>
    </row>
    <row r="1260" spans="1:9" x14ac:dyDescent="0.2">
      <c r="A1260" t="s">
        <v>273</v>
      </c>
      <c r="B1260" t="s">
        <v>342</v>
      </c>
      <c r="C1260" t="s">
        <v>481</v>
      </c>
      <c r="D1260" t="s">
        <v>508</v>
      </c>
      <c r="E1260" t="s">
        <v>481</v>
      </c>
      <c r="F1260" t="s">
        <v>526</v>
      </c>
      <c r="G1260" t="s">
        <v>572</v>
      </c>
      <c r="H1260">
        <v>0</v>
      </c>
      <c r="I1260">
        <v>0</v>
      </c>
    </row>
    <row r="1261" spans="1:9" x14ac:dyDescent="0.2">
      <c r="A1261" t="s">
        <v>274</v>
      </c>
      <c r="B1261" t="s">
        <v>343</v>
      </c>
      <c r="C1261" t="s">
        <v>483</v>
      </c>
      <c r="D1261" t="s">
        <v>510</v>
      </c>
      <c r="E1261" t="s">
        <v>483</v>
      </c>
      <c r="F1261" t="s">
        <v>529</v>
      </c>
      <c r="G1261" t="s">
        <v>575</v>
      </c>
      <c r="H1261">
        <v>0</v>
      </c>
      <c r="I1261">
        <v>0</v>
      </c>
    </row>
    <row r="1262" spans="1:9" x14ac:dyDescent="0.2">
      <c r="A1262" t="s">
        <v>275</v>
      </c>
      <c r="B1262" t="s">
        <v>344</v>
      </c>
      <c r="C1262" t="s">
        <v>478</v>
      </c>
      <c r="D1262" t="s">
        <v>505</v>
      </c>
      <c r="E1262" t="s">
        <v>477</v>
      </c>
      <c r="F1262" t="s">
        <v>530</v>
      </c>
      <c r="G1262" t="s">
        <v>575</v>
      </c>
      <c r="H1262">
        <v>0</v>
      </c>
      <c r="I1262">
        <v>0</v>
      </c>
    </row>
    <row r="1263" spans="1:9" x14ac:dyDescent="0.2">
      <c r="A1263" t="s">
        <v>275</v>
      </c>
      <c r="B1263" t="s">
        <v>345</v>
      </c>
      <c r="C1263" t="s">
        <v>478</v>
      </c>
      <c r="D1263" t="s">
        <v>505</v>
      </c>
      <c r="E1263" t="s">
        <v>477</v>
      </c>
      <c r="F1263" t="s">
        <v>530</v>
      </c>
      <c r="G1263" t="s">
        <v>575</v>
      </c>
      <c r="H1263">
        <v>0</v>
      </c>
      <c r="I1263">
        <v>0</v>
      </c>
    </row>
    <row r="1264" spans="1:9" x14ac:dyDescent="0.2">
      <c r="A1264" t="s">
        <v>275</v>
      </c>
      <c r="B1264" t="s">
        <v>346</v>
      </c>
      <c r="C1264" t="s">
        <v>478</v>
      </c>
      <c r="D1264" t="s">
        <v>505</v>
      </c>
      <c r="E1264" t="s">
        <v>477</v>
      </c>
      <c r="F1264" t="s">
        <v>530</v>
      </c>
      <c r="G1264" t="s">
        <v>575</v>
      </c>
      <c r="H1264">
        <v>0</v>
      </c>
      <c r="I1264">
        <v>0</v>
      </c>
    </row>
    <row r="1265" spans="1:9" x14ac:dyDescent="0.2">
      <c r="A1265" t="s">
        <v>275</v>
      </c>
      <c r="B1265" t="s">
        <v>347</v>
      </c>
      <c r="C1265" t="s">
        <v>478</v>
      </c>
      <c r="D1265" t="s">
        <v>505</v>
      </c>
      <c r="E1265" t="s">
        <v>477</v>
      </c>
      <c r="F1265" t="s">
        <v>530</v>
      </c>
      <c r="G1265" t="s">
        <v>575</v>
      </c>
      <c r="H1265">
        <v>0</v>
      </c>
      <c r="I1265">
        <v>0</v>
      </c>
    </row>
    <row r="1266" spans="1:9" x14ac:dyDescent="0.2">
      <c r="A1266" t="s">
        <v>275</v>
      </c>
      <c r="B1266" t="s">
        <v>348</v>
      </c>
      <c r="C1266" t="s">
        <v>478</v>
      </c>
      <c r="D1266" t="s">
        <v>505</v>
      </c>
      <c r="E1266" t="s">
        <v>477</v>
      </c>
      <c r="F1266" t="s">
        <v>530</v>
      </c>
      <c r="G1266" t="s">
        <v>575</v>
      </c>
      <c r="H1266">
        <v>0</v>
      </c>
      <c r="I1266">
        <v>0</v>
      </c>
    </row>
    <row r="1267" spans="1:9" x14ac:dyDescent="0.2">
      <c r="A1267" t="s">
        <v>275</v>
      </c>
      <c r="B1267" t="s">
        <v>349</v>
      </c>
      <c r="C1267" t="s">
        <v>478</v>
      </c>
      <c r="D1267" t="s">
        <v>505</v>
      </c>
      <c r="E1267" t="s">
        <v>477</v>
      </c>
      <c r="F1267" t="s">
        <v>530</v>
      </c>
      <c r="G1267" t="s">
        <v>575</v>
      </c>
      <c r="H1267">
        <v>0</v>
      </c>
      <c r="I1267">
        <v>0</v>
      </c>
    </row>
    <row r="1268" spans="1:9" x14ac:dyDescent="0.2">
      <c r="A1268" t="s">
        <v>275</v>
      </c>
      <c r="B1268" t="s">
        <v>350</v>
      </c>
      <c r="C1268" t="s">
        <v>478</v>
      </c>
      <c r="D1268" t="s">
        <v>505</v>
      </c>
      <c r="E1268" t="s">
        <v>477</v>
      </c>
      <c r="F1268" t="s">
        <v>530</v>
      </c>
      <c r="G1268" t="s">
        <v>575</v>
      </c>
      <c r="H1268">
        <v>0</v>
      </c>
      <c r="I1268">
        <v>0</v>
      </c>
    </row>
    <row r="1269" spans="1:9" x14ac:dyDescent="0.2">
      <c r="A1269" t="s">
        <v>275</v>
      </c>
      <c r="B1269" t="s">
        <v>351</v>
      </c>
      <c r="C1269" t="s">
        <v>478</v>
      </c>
      <c r="D1269" t="s">
        <v>505</v>
      </c>
      <c r="E1269" t="s">
        <v>477</v>
      </c>
      <c r="F1269" t="s">
        <v>530</v>
      </c>
      <c r="G1269" t="s">
        <v>575</v>
      </c>
      <c r="H1269">
        <v>0</v>
      </c>
      <c r="I1269">
        <v>0</v>
      </c>
    </row>
    <row r="1270" spans="1:9" x14ac:dyDescent="0.2">
      <c r="A1270" t="s">
        <v>275</v>
      </c>
      <c r="B1270" t="s">
        <v>352</v>
      </c>
      <c r="C1270" t="s">
        <v>478</v>
      </c>
      <c r="D1270" t="s">
        <v>505</v>
      </c>
      <c r="E1270" t="s">
        <v>477</v>
      </c>
      <c r="F1270" t="s">
        <v>530</v>
      </c>
      <c r="G1270" t="s">
        <v>575</v>
      </c>
      <c r="H1270">
        <v>0</v>
      </c>
      <c r="I1270">
        <v>0</v>
      </c>
    </row>
    <row r="1271" spans="1:9" x14ac:dyDescent="0.2">
      <c r="A1271" t="s">
        <v>264</v>
      </c>
      <c r="B1271" t="s">
        <v>353</v>
      </c>
      <c r="C1271" t="s">
        <v>478</v>
      </c>
      <c r="D1271" t="s">
        <v>505</v>
      </c>
      <c r="E1271" t="s">
        <v>477</v>
      </c>
      <c r="F1271" t="s">
        <v>516</v>
      </c>
      <c r="G1271" t="s">
        <v>575</v>
      </c>
      <c r="H1271">
        <v>0</v>
      </c>
      <c r="I1271">
        <v>0</v>
      </c>
    </row>
    <row r="1272" spans="1:9" x14ac:dyDescent="0.2">
      <c r="A1272" t="s">
        <v>276</v>
      </c>
      <c r="B1272" t="s">
        <v>354</v>
      </c>
      <c r="C1272" t="s">
        <v>484</v>
      </c>
      <c r="D1272" t="s">
        <v>511</v>
      </c>
      <c r="E1272" t="s">
        <v>484</v>
      </c>
      <c r="F1272" t="s">
        <v>531</v>
      </c>
      <c r="G1272" t="s">
        <v>575</v>
      </c>
      <c r="H1272">
        <v>0</v>
      </c>
      <c r="I1272">
        <v>0</v>
      </c>
    </row>
    <row r="1273" spans="1:9" x14ac:dyDescent="0.2">
      <c r="A1273" t="s">
        <v>275</v>
      </c>
      <c r="B1273" t="s">
        <v>355</v>
      </c>
      <c r="C1273" t="s">
        <v>478</v>
      </c>
      <c r="D1273" t="s">
        <v>505</v>
      </c>
      <c r="E1273" t="s">
        <v>477</v>
      </c>
      <c r="F1273" t="s">
        <v>530</v>
      </c>
      <c r="G1273" t="s">
        <v>575</v>
      </c>
      <c r="H1273">
        <v>0</v>
      </c>
      <c r="I1273">
        <v>0</v>
      </c>
    </row>
    <row r="1274" spans="1:9" x14ac:dyDescent="0.2">
      <c r="A1274" t="s">
        <v>275</v>
      </c>
      <c r="B1274" t="s">
        <v>356</v>
      </c>
      <c r="C1274" t="s">
        <v>478</v>
      </c>
      <c r="D1274" t="s">
        <v>505</v>
      </c>
      <c r="E1274" t="s">
        <v>477</v>
      </c>
      <c r="F1274" t="s">
        <v>530</v>
      </c>
      <c r="G1274" t="s">
        <v>575</v>
      </c>
      <c r="H1274">
        <v>0</v>
      </c>
      <c r="I1274">
        <v>0</v>
      </c>
    </row>
    <row r="1275" spans="1:9" x14ac:dyDescent="0.2">
      <c r="A1275" t="s">
        <v>275</v>
      </c>
      <c r="B1275" t="s">
        <v>357</v>
      </c>
      <c r="C1275" t="s">
        <v>478</v>
      </c>
      <c r="D1275" t="s">
        <v>505</v>
      </c>
      <c r="E1275" t="s">
        <v>477</v>
      </c>
      <c r="F1275" t="s">
        <v>530</v>
      </c>
      <c r="G1275" t="s">
        <v>575</v>
      </c>
      <c r="H1275">
        <v>0</v>
      </c>
      <c r="I1275">
        <v>0</v>
      </c>
    </row>
    <row r="1276" spans="1:9" x14ac:dyDescent="0.2">
      <c r="A1276" t="s">
        <v>275</v>
      </c>
      <c r="B1276" t="s">
        <v>358</v>
      </c>
      <c r="C1276" t="s">
        <v>478</v>
      </c>
      <c r="D1276" t="s">
        <v>505</v>
      </c>
      <c r="E1276" t="s">
        <v>477</v>
      </c>
      <c r="F1276" t="s">
        <v>530</v>
      </c>
      <c r="G1276" t="s">
        <v>575</v>
      </c>
      <c r="H1276">
        <v>0</v>
      </c>
      <c r="I1276">
        <v>0</v>
      </c>
    </row>
    <row r="1277" spans="1:9" x14ac:dyDescent="0.2">
      <c r="A1277" t="s">
        <v>275</v>
      </c>
      <c r="B1277" t="s">
        <v>359</v>
      </c>
      <c r="C1277" t="s">
        <v>478</v>
      </c>
      <c r="D1277" t="s">
        <v>505</v>
      </c>
      <c r="E1277" t="s">
        <v>477</v>
      </c>
      <c r="F1277" t="s">
        <v>530</v>
      </c>
      <c r="G1277" t="s">
        <v>575</v>
      </c>
      <c r="H1277">
        <v>0</v>
      </c>
      <c r="I1277">
        <v>0</v>
      </c>
    </row>
    <row r="1278" spans="1:9" x14ac:dyDescent="0.2">
      <c r="A1278" t="s">
        <v>275</v>
      </c>
      <c r="B1278" t="s">
        <v>360</v>
      </c>
      <c r="C1278" t="s">
        <v>478</v>
      </c>
      <c r="D1278" t="s">
        <v>505</v>
      </c>
      <c r="E1278" t="s">
        <v>477</v>
      </c>
      <c r="F1278" t="s">
        <v>530</v>
      </c>
      <c r="G1278" t="s">
        <v>575</v>
      </c>
      <c r="H1278">
        <v>0</v>
      </c>
      <c r="I1278">
        <v>0</v>
      </c>
    </row>
    <row r="1279" spans="1:9" x14ac:dyDescent="0.2">
      <c r="A1279" t="s">
        <v>264</v>
      </c>
      <c r="B1279" t="s">
        <v>361</v>
      </c>
      <c r="C1279" t="s">
        <v>478</v>
      </c>
      <c r="D1279" t="s">
        <v>505</v>
      </c>
      <c r="E1279" t="s">
        <v>477</v>
      </c>
      <c r="F1279" t="s">
        <v>516</v>
      </c>
      <c r="G1279" t="s">
        <v>575</v>
      </c>
      <c r="H1279">
        <v>0</v>
      </c>
      <c r="I1279">
        <v>0</v>
      </c>
    </row>
    <row r="1280" spans="1:9" x14ac:dyDescent="0.2">
      <c r="A1280" t="s">
        <v>265</v>
      </c>
      <c r="B1280" t="s">
        <v>362</v>
      </c>
      <c r="C1280" t="s">
        <v>478</v>
      </c>
      <c r="D1280" t="s">
        <v>505</v>
      </c>
      <c r="E1280" t="s">
        <v>491</v>
      </c>
      <c r="F1280" t="s">
        <v>532</v>
      </c>
      <c r="G1280" t="s">
        <v>570</v>
      </c>
      <c r="H1280">
        <v>0</v>
      </c>
      <c r="I1280">
        <v>0</v>
      </c>
    </row>
    <row r="1281" spans="1:9" x14ac:dyDescent="0.2">
      <c r="A1281" t="s">
        <v>277</v>
      </c>
      <c r="B1281" t="s">
        <v>363</v>
      </c>
      <c r="C1281" t="s">
        <v>485</v>
      </c>
      <c r="D1281" t="s">
        <v>512</v>
      </c>
      <c r="E1281" t="s">
        <v>485</v>
      </c>
      <c r="F1281" t="s">
        <v>525</v>
      </c>
      <c r="G1281" t="s">
        <v>571</v>
      </c>
      <c r="H1281">
        <v>0</v>
      </c>
      <c r="I1281">
        <v>0</v>
      </c>
    </row>
    <row r="1282" spans="1:9" x14ac:dyDescent="0.2">
      <c r="A1282" t="s">
        <v>267</v>
      </c>
      <c r="B1282" t="s">
        <v>364</v>
      </c>
      <c r="C1282" t="s">
        <v>480</v>
      </c>
      <c r="D1282" t="s">
        <v>507</v>
      </c>
      <c r="E1282" t="s">
        <v>480</v>
      </c>
      <c r="F1282" t="s">
        <v>533</v>
      </c>
      <c r="G1282" t="s">
        <v>572</v>
      </c>
      <c r="H1282">
        <v>0</v>
      </c>
      <c r="I1282">
        <v>0</v>
      </c>
    </row>
    <row r="1283" spans="1:9" x14ac:dyDescent="0.2">
      <c r="A1283" t="s">
        <v>278</v>
      </c>
      <c r="B1283" t="s">
        <v>365</v>
      </c>
      <c r="C1283" t="s">
        <v>486</v>
      </c>
      <c r="D1283" t="s">
        <v>513</v>
      </c>
      <c r="E1283" t="s">
        <v>486</v>
      </c>
      <c r="F1283" t="s">
        <v>534</v>
      </c>
      <c r="G1283" t="s">
        <v>573</v>
      </c>
      <c r="H1283">
        <v>0</v>
      </c>
      <c r="I1283">
        <v>0</v>
      </c>
    </row>
    <row r="1284" spans="1:9" x14ac:dyDescent="0.2">
      <c r="A1284" t="s">
        <v>278</v>
      </c>
      <c r="B1284" t="s">
        <v>366</v>
      </c>
      <c r="C1284" t="s">
        <v>486</v>
      </c>
      <c r="D1284" t="s">
        <v>513</v>
      </c>
      <c r="E1284" t="s">
        <v>486</v>
      </c>
      <c r="F1284" t="s">
        <v>534</v>
      </c>
      <c r="G1284" t="s">
        <v>573</v>
      </c>
      <c r="H1284">
        <v>0</v>
      </c>
      <c r="I1284">
        <v>0</v>
      </c>
    </row>
    <row r="1285" spans="1:9" x14ac:dyDescent="0.2">
      <c r="A1285" t="s">
        <v>279</v>
      </c>
      <c r="B1285" t="s">
        <v>367</v>
      </c>
      <c r="C1285" t="s">
        <v>487</v>
      </c>
      <c r="D1285" t="s">
        <v>514</v>
      </c>
      <c r="E1285" t="s">
        <v>487</v>
      </c>
      <c r="F1285" t="s">
        <v>535</v>
      </c>
      <c r="G1285" t="s">
        <v>573</v>
      </c>
      <c r="H1285">
        <v>0</v>
      </c>
      <c r="I1285">
        <v>0</v>
      </c>
    </row>
    <row r="1286" spans="1:9" x14ac:dyDescent="0.2">
      <c r="A1286" t="s">
        <v>279</v>
      </c>
      <c r="B1286" t="s">
        <v>368</v>
      </c>
      <c r="C1286" t="s">
        <v>487</v>
      </c>
      <c r="D1286" t="s">
        <v>514</v>
      </c>
      <c r="E1286" t="s">
        <v>487</v>
      </c>
      <c r="F1286" t="s">
        <v>527</v>
      </c>
      <c r="G1286" t="s">
        <v>573</v>
      </c>
      <c r="H1286">
        <v>0</v>
      </c>
      <c r="I1286">
        <v>0</v>
      </c>
    </row>
    <row r="1287" spans="1:9" x14ac:dyDescent="0.2">
      <c r="A1287" t="s">
        <v>280</v>
      </c>
      <c r="B1287" t="s">
        <v>369</v>
      </c>
      <c r="C1287" t="s">
        <v>482</v>
      </c>
      <c r="D1287">
        <v>0</v>
      </c>
      <c r="E1287" t="s">
        <v>482</v>
      </c>
      <c r="F1287" t="s">
        <v>526</v>
      </c>
      <c r="G1287" t="s">
        <v>572</v>
      </c>
      <c r="H1287">
        <v>0</v>
      </c>
      <c r="I1287">
        <v>0</v>
      </c>
    </row>
    <row r="1288" spans="1:9" x14ac:dyDescent="0.2">
      <c r="A1288" t="s">
        <v>280</v>
      </c>
      <c r="B1288" t="s">
        <v>370</v>
      </c>
      <c r="C1288" t="s">
        <v>482</v>
      </c>
      <c r="D1288">
        <v>0</v>
      </c>
      <c r="E1288" t="s">
        <v>482</v>
      </c>
      <c r="F1288" t="s">
        <v>527</v>
      </c>
      <c r="G1288" t="s">
        <v>572</v>
      </c>
      <c r="H1288">
        <v>0</v>
      </c>
      <c r="I1288">
        <v>0</v>
      </c>
    </row>
    <row r="1289" spans="1:9" x14ac:dyDescent="0.2">
      <c r="A1289" t="s">
        <v>272</v>
      </c>
      <c r="B1289" t="s">
        <v>371</v>
      </c>
      <c r="C1289" t="s">
        <v>482</v>
      </c>
      <c r="D1289">
        <v>0</v>
      </c>
      <c r="E1289" t="s">
        <v>482</v>
      </c>
      <c r="F1289" t="s">
        <v>527</v>
      </c>
      <c r="G1289" t="s">
        <v>572</v>
      </c>
      <c r="H1289">
        <v>0</v>
      </c>
      <c r="I1289">
        <v>0</v>
      </c>
    </row>
    <row r="1290" spans="1:9" x14ac:dyDescent="0.2">
      <c r="A1290" t="s">
        <v>272</v>
      </c>
      <c r="B1290" t="s">
        <v>372</v>
      </c>
      <c r="C1290" t="s">
        <v>488</v>
      </c>
      <c r="D1290">
        <v>0</v>
      </c>
      <c r="E1290" t="s">
        <v>488</v>
      </c>
      <c r="F1290" t="s">
        <v>528</v>
      </c>
      <c r="G1290" t="s">
        <v>572</v>
      </c>
      <c r="H1290">
        <v>0</v>
      </c>
      <c r="I1290">
        <v>0</v>
      </c>
    </row>
    <row r="1291" spans="1:9" x14ac:dyDescent="0.2">
      <c r="A1291" t="s">
        <v>281</v>
      </c>
      <c r="B1291" t="s">
        <v>373</v>
      </c>
      <c r="C1291" t="s">
        <v>482</v>
      </c>
      <c r="D1291">
        <v>0</v>
      </c>
      <c r="E1291" t="s">
        <v>482</v>
      </c>
      <c r="F1291" t="s">
        <v>527</v>
      </c>
      <c r="G1291" t="s">
        <v>572</v>
      </c>
      <c r="H1291">
        <v>0</v>
      </c>
      <c r="I1291">
        <v>0</v>
      </c>
    </row>
    <row r="1292" spans="1:9" x14ac:dyDescent="0.2">
      <c r="A1292" t="s">
        <v>273</v>
      </c>
      <c r="B1292" t="s">
        <v>374</v>
      </c>
      <c r="C1292" t="s">
        <v>481</v>
      </c>
      <c r="D1292">
        <v>0</v>
      </c>
      <c r="E1292" t="s">
        <v>481</v>
      </c>
      <c r="F1292" t="s">
        <v>526</v>
      </c>
      <c r="G1292" t="s">
        <v>572</v>
      </c>
      <c r="H1292">
        <v>0</v>
      </c>
      <c r="I1292">
        <v>0</v>
      </c>
    </row>
    <row r="1293" spans="1:9" x14ac:dyDescent="0.2">
      <c r="A1293" t="s">
        <v>282</v>
      </c>
      <c r="B1293" t="s">
        <v>375</v>
      </c>
      <c r="C1293" t="s">
        <v>489</v>
      </c>
      <c r="D1293">
        <v>0</v>
      </c>
      <c r="E1293" t="s">
        <v>489</v>
      </c>
      <c r="F1293" t="s">
        <v>526</v>
      </c>
      <c r="G1293" t="s">
        <v>572</v>
      </c>
      <c r="H1293">
        <v>0</v>
      </c>
      <c r="I1293">
        <v>0</v>
      </c>
    </row>
    <row r="1294" spans="1:9" x14ac:dyDescent="0.2">
      <c r="A1294" t="s">
        <v>283</v>
      </c>
      <c r="B1294" t="s">
        <v>376</v>
      </c>
      <c r="C1294" t="s">
        <v>490</v>
      </c>
      <c r="D1294">
        <v>0</v>
      </c>
      <c r="E1294" t="s">
        <v>478</v>
      </c>
      <c r="F1294" t="s">
        <v>536</v>
      </c>
      <c r="G1294" t="s">
        <v>575</v>
      </c>
      <c r="H1294">
        <v>0</v>
      </c>
      <c r="I1294">
        <v>0</v>
      </c>
    </row>
    <row r="1295" spans="1:9" x14ac:dyDescent="0.2">
      <c r="A1295" t="s">
        <v>275</v>
      </c>
      <c r="B1295" t="s">
        <v>377</v>
      </c>
      <c r="C1295" t="s">
        <v>478</v>
      </c>
      <c r="D1295">
        <v>0</v>
      </c>
      <c r="E1295" t="s">
        <v>477</v>
      </c>
      <c r="F1295" t="s">
        <v>537</v>
      </c>
      <c r="G1295" t="s">
        <v>575</v>
      </c>
      <c r="H1295">
        <v>0</v>
      </c>
      <c r="I1295">
        <v>0</v>
      </c>
    </row>
    <row r="1296" spans="1:9" x14ac:dyDescent="0.2">
      <c r="A1296" t="s">
        <v>275</v>
      </c>
      <c r="B1296" t="s">
        <v>378</v>
      </c>
      <c r="C1296" t="s">
        <v>478</v>
      </c>
      <c r="D1296">
        <v>0</v>
      </c>
      <c r="E1296" t="s">
        <v>477</v>
      </c>
      <c r="F1296" t="s">
        <v>538</v>
      </c>
      <c r="G1296" t="s">
        <v>575</v>
      </c>
      <c r="H1296">
        <v>0</v>
      </c>
      <c r="I1296">
        <v>0</v>
      </c>
    </row>
    <row r="1297" spans="1:9" x14ac:dyDescent="0.2">
      <c r="A1297" t="s">
        <v>275</v>
      </c>
      <c r="B1297" t="s">
        <v>379</v>
      </c>
      <c r="C1297" t="s">
        <v>478</v>
      </c>
      <c r="D1297">
        <v>0</v>
      </c>
      <c r="E1297" t="s">
        <v>477</v>
      </c>
      <c r="F1297" t="s">
        <v>538</v>
      </c>
      <c r="G1297" t="s">
        <v>575</v>
      </c>
      <c r="H1297">
        <v>0</v>
      </c>
      <c r="I1297">
        <v>0</v>
      </c>
    </row>
    <row r="1298" spans="1:9" x14ac:dyDescent="0.2">
      <c r="A1298" t="s">
        <v>275</v>
      </c>
      <c r="B1298" t="s">
        <v>380</v>
      </c>
      <c r="C1298" t="s">
        <v>478</v>
      </c>
      <c r="D1298">
        <v>0</v>
      </c>
      <c r="E1298" t="s">
        <v>477</v>
      </c>
      <c r="F1298" t="s">
        <v>530</v>
      </c>
      <c r="G1298" t="s">
        <v>575</v>
      </c>
      <c r="H1298">
        <v>0</v>
      </c>
      <c r="I1298">
        <v>0</v>
      </c>
    </row>
    <row r="1299" spans="1:9" x14ac:dyDescent="0.2">
      <c r="A1299" t="s">
        <v>275</v>
      </c>
      <c r="B1299" t="s">
        <v>381</v>
      </c>
      <c r="C1299" t="s">
        <v>478</v>
      </c>
      <c r="D1299">
        <v>0</v>
      </c>
      <c r="E1299" t="s">
        <v>477</v>
      </c>
      <c r="F1299" t="s">
        <v>530</v>
      </c>
      <c r="G1299" t="s">
        <v>575</v>
      </c>
      <c r="H1299">
        <v>0</v>
      </c>
      <c r="I1299">
        <v>0</v>
      </c>
    </row>
    <row r="1300" spans="1:9" x14ac:dyDescent="0.2">
      <c r="A1300" t="s">
        <v>275</v>
      </c>
      <c r="B1300" t="s">
        <v>382</v>
      </c>
      <c r="C1300" t="s">
        <v>478</v>
      </c>
      <c r="D1300">
        <v>0</v>
      </c>
      <c r="E1300" t="s">
        <v>477</v>
      </c>
      <c r="F1300" t="s">
        <v>530</v>
      </c>
      <c r="G1300" t="s">
        <v>575</v>
      </c>
      <c r="H1300">
        <v>0</v>
      </c>
      <c r="I1300">
        <v>0</v>
      </c>
    </row>
    <row r="1301" spans="1:9" x14ac:dyDescent="0.2">
      <c r="A1301" t="s">
        <v>275</v>
      </c>
      <c r="B1301" t="s">
        <v>383</v>
      </c>
      <c r="C1301" t="s">
        <v>478</v>
      </c>
      <c r="D1301">
        <v>0</v>
      </c>
      <c r="E1301" t="s">
        <v>477</v>
      </c>
      <c r="F1301" t="s">
        <v>530</v>
      </c>
      <c r="G1301" t="s">
        <v>575</v>
      </c>
      <c r="H1301">
        <v>0</v>
      </c>
      <c r="I1301">
        <v>0</v>
      </c>
    </row>
    <row r="1302" spans="1:9" x14ac:dyDescent="0.2">
      <c r="A1302" t="s">
        <v>264</v>
      </c>
      <c r="B1302" t="s">
        <v>384</v>
      </c>
      <c r="C1302" t="s">
        <v>478</v>
      </c>
      <c r="D1302">
        <v>0</v>
      </c>
      <c r="E1302" t="s">
        <v>477</v>
      </c>
      <c r="F1302" t="s">
        <v>516</v>
      </c>
      <c r="G1302" t="s">
        <v>575</v>
      </c>
      <c r="H1302">
        <v>0</v>
      </c>
      <c r="I1302">
        <v>0</v>
      </c>
    </row>
    <row r="1303" spans="1:9" x14ac:dyDescent="0.2">
      <c r="A1303" t="s">
        <v>284</v>
      </c>
      <c r="B1303" t="s">
        <v>385</v>
      </c>
      <c r="C1303" t="s">
        <v>477</v>
      </c>
      <c r="D1303">
        <v>0</v>
      </c>
      <c r="E1303" t="s">
        <v>477</v>
      </c>
      <c r="F1303" t="s">
        <v>539</v>
      </c>
      <c r="G1303" t="s">
        <v>570</v>
      </c>
      <c r="H1303">
        <v>0</v>
      </c>
      <c r="I1303">
        <v>0</v>
      </c>
    </row>
    <row r="1304" spans="1:9" x14ac:dyDescent="0.2">
      <c r="A1304" t="s">
        <v>285</v>
      </c>
      <c r="B1304" t="s">
        <v>386</v>
      </c>
      <c r="C1304" t="s">
        <v>477</v>
      </c>
      <c r="D1304">
        <v>0</v>
      </c>
      <c r="E1304" t="s">
        <v>477</v>
      </c>
      <c r="F1304" t="s">
        <v>531</v>
      </c>
      <c r="G1304" t="s">
        <v>570</v>
      </c>
      <c r="H1304">
        <v>0</v>
      </c>
      <c r="I1304">
        <v>0</v>
      </c>
    </row>
    <row r="1305" spans="1:9" x14ac:dyDescent="0.2">
      <c r="A1305" t="s">
        <v>286</v>
      </c>
      <c r="B1305" t="s">
        <v>387</v>
      </c>
      <c r="C1305" t="s">
        <v>486</v>
      </c>
      <c r="D1305">
        <v>0</v>
      </c>
      <c r="E1305" t="s">
        <v>486</v>
      </c>
      <c r="F1305" t="s">
        <v>540</v>
      </c>
      <c r="G1305" t="s">
        <v>572</v>
      </c>
      <c r="H1305">
        <v>0</v>
      </c>
      <c r="I1305">
        <v>0</v>
      </c>
    </row>
    <row r="1306" spans="1:9" x14ac:dyDescent="0.2">
      <c r="A1306" t="s">
        <v>286</v>
      </c>
      <c r="B1306" t="s">
        <v>388</v>
      </c>
      <c r="C1306" t="s">
        <v>491</v>
      </c>
      <c r="D1306">
        <v>0</v>
      </c>
      <c r="E1306" t="s">
        <v>491</v>
      </c>
      <c r="F1306" t="s">
        <v>524</v>
      </c>
      <c r="G1306" t="s">
        <v>573</v>
      </c>
      <c r="H1306">
        <v>0</v>
      </c>
      <c r="I1306">
        <v>0</v>
      </c>
    </row>
    <row r="1307" spans="1:9" x14ac:dyDescent="0.2">
      <c r="A1307" t="s">
        <v>286</v>
      </c>
      <c r="B1307" t="s">
        <v>389</v>
      </c>
      <c r="C1307" t="s">
        <v>491</v>
      </c>
      <c r="D1307">
        <v>0</v>
      </c>
      <c r="E1307" t="s">
        <v>491</v>
      </c>
      <c r="F1307" t="s">
        <v>524</v>
      </c>
      <c r="G1307" t="s">
        <v>573</v>
      </c>
      <c r="H1307">
        <v>0</v>
      </c>
      <c r="I1307">
        <v>0</v>
      </c>
    </row>
    <row r="1308" spans="1:9" x14ac:dyDescent="0.2">
      <c r="A1308" t="s">
        <v>286</v>
      </c>
      <c r="B1308" t="s">
        <v>390</v>
      </c>
      <c r="C1308" t="s">
        <v>491</v>
      </c>
      <c r="D1308">
        <v>0</v>
      </c>
      <c r="E1308" t="s">
        <v>491</v>
      </c>
      <c r="F1308" t="s">
        <v>524</v>
      </c>
      <c r="G1308" t="s">
        <v>573</v>
      </c>
      <c r="H1308">
        <v>0</v>
      </c>
      <c r="I1308">
        <v>0</v>
      </c>
    </row>
    <row r="1309" spans="1:9" x14ac:dyDescent="0.2">
      <c r="A1309" t="s">
        <v>286</v>
      </c>
      <c r="B1309" t="s">
        <v>391</v>
      </c>
      <c r="C1309" t="s">
        <v>491</v>
      </c>
      <c r="D1309">
        <v>0</v>
      </c>
      <c r="E1309" t="s">
        <v>491</v>
      </c>
      <c r="F1309" t="s">
        <v>524</v>
      </c>
      <c r="G1309" t="s">
        <v>573</v>
      </c>
      <c r="H1309">
        <v>0</v>
      </c>
      <c r="I1309">
        <v>0</v>
      </c>
    </row>
    <row r="1310" spans="1:9" x14ac:dyDescent="0.2">
      <c r="A1310" t="s">
        <v>286</v>
      </c>
      <c r="B1310" t="s">
        <v>392</v>
      </c>
      <c r="C1310" t="s">
        <v>491</v>
      </c>
      <c r="D1310">
        <v>0</v>
      </c>
      <c r="E1310" t="s">
        <v>491</v>
      </c>
      <c r="F1310" t="s">
        <v>524</v>
      </c>
      <c r="G1310" t="s">
        <v>573</v>
      </c>
      <c r="H1310">
        <v>0</v>
      </c>
      <c r="I1310">
        <v>0</v>
      </c>
    </row>
    <row r="1311" spans="1:9" x14ac:dyDescent="0.2">
      <c r="A1311" t="s">
        <v>286</v>
      </c>
      <c r="B1311" t="s">
        <v>393</v>
      </c>
      <c r="C1311" t="s">
        <v>491</v>
      </c>
      <c r="D1311">
        <v>0</v>
      </c>
      <c r="E1311" t="s">
        <v>491</v>
      </c>
      <c r="F1311" t="s">
        <v>524</v>
      </c>
      <c r="G1311" t="s">
        <v>573</v>
      </c>
      <c r="H1311">
        <v>0</v>
      </c>
      <c r="I1311">
        <v>0</v>
      </c>
    </row>
    <row r="1312" spans="1:9" x14ac:dyDescent="0.2">
      <c r="A1312" t="s">
        <v>286</v>
      </c>
      <c r="B1312" t="s">
        <v>394</v>
      </c>
      <c r="C1312" t="s">
        <v>491</v>
      </c>
      <c r="D1312">
        <v>0</v>
      </c>
      <c r="E1312" t="s">
        <v>491</v>
      </c>
      <c r="F1312" t="s">
        <v>524</v>
      </c>
      <c r="G1312" t="s">
        <v>573</v>
      </c>
      <c r="H1312">
        <v>0</v>
      </c>
      <c r="I1312">
        <v>0</v>
      </c>
    </row>
    <row r="1313" spans="1:9" x14ac:dyDescent="0.2">
      <c r="A1313" t="s">
        <v>286</v>
      </c>
      <c r="B1313" t="s">
        <v>394</v>
      </c>
      <c r="C1313" t="s">
        <v>491</v>
      </c>
      <c r="D1313">
        <v>0</v>
      </c>
      <c r="E1313" t="s">
        <v>491</v>
      </c>
      <c r="F1313" t="s">
        <v>524</v>
      </c>
      <c r="G1313" t="s">
        <v>573</v>
      </c>
      <c r="H1313">
        <v>0</v>
      </c>
      <c r="I1313">
        <v>0</v>
      </c>
    </row>
    <row r="1314" spans="1:9" x14ac:dyDescent="0.2">
      <c r="A1314" t="s">
        <v>286</v>
      </c>
      <c r="B1314" t="s">
        <v>395</v>
      </c>
      <c r="C1314" t="s">
        <v>491</v>
      </c>
      <c r="D1314">
        <v>0</v>
      </c>
      <c r="E1314" t="s">
        <v>491</v>
      </c>
      <c r="F1314" t="s">
        <v>524</v>
      </c>
      <c r="G1314" t="s">
        <v>573</v>
      </c>
      <c r="H1314">
        <v>0</v>
      </c>
      <c r="I1314">
        <v>0</v>
      </c>
    </row>
    <row r="1315" spans="1:9" x14ac:dyDescent="0.2">
      <c r="A1315" t="s">
        <v>286</v>
      </c>
      <c r="B1315" t="s">
        <v>396</v>
      </c>
      <c r="C1315" t="s">
        <v>486</v>
      </c>
      <c r="D1315">
        <v>0</v>
      </c>
      <c r="E1315" t="s">
        <v>486</v>
      </c>
      <c r="F1315" t="s">
        <v>541</v>
      </c>
      <c r="G1315" t="s">
        <v>573</v>
      </c>
      <c r="H1315">
        <v>0</v>
      </c>
      <c r="I1315">
        <v>0</v>
      </c>
    </row>
    <row r="1316" spans="1:9" x14ac:dyDescent="0.2">
      <c r="A1316" t="s">
        <v>286</v>
      </c>
      <c r="B1316" t="s">
        <v>397</v>
      </c>
      <c r="C1316" t="s">
        <v>486</v>
      </c>
      <c r="D1316">
        <v>0</v>
      </c>
      <c r="E1316" t="s">
        <v>486</v>
      </c>
      <c r="F1316" t="s">
        <v>541</v>
      </c>
      <c r="G1316" t="s">
        <v>573</v>
      </c>
      <c r="H1316">
        <v>0</v>
      </c>
      <c r="I1316">
        <v>0</v>
      </c>
    </row>
    <row r="1317" spans="1:9" x14ac:dyDescent="0.2">
      <c r="A1317" t="s">
        <v>286</v>
      </c>
      <c r="B1317" t="s">
        <v>398</v>
      </c>
      <c r="C1317" t="s">
        <v>486</v>
      </c>
      <c r="D1317">
        <v>0</v>
      </c>
      <c r="E1317" t="s">
        <v>486</v>
      </c>
      <c r="F1317" t="s">
        <v>541</v>
      </c>
      <c r="G1317" t="s">
        <v>573</v>
      </c>
      <c r="H1317">
        <v>0</v>
      </c>
      <c r="I1317">
        <v>0</v>
      </c>
    </row>
    <row r="1318" spans="1:9" x14ac:dyDescent="0.2">
      <c r="A1318" t="s">
        <v>287</v>
      </c>
      <c r="B1318" t="s">
        <v>399</v>
      </c>
      <c r="C1318" t="s">
        <v>477</v>
      </c>
      <c r="D1318">
        <v>0</v>
      </c>
      <c r="E1318" t="s">
        <v>477</v>
      </c>
      <c r="F1318" t="s">
        <v>542</v>
      </c>
      <c r="G1318" t="s">
        <v>573</v>
      </c>
      <c r="H1318">
        <v>0</v>
      </c>
      <c r="I1318">
        <v>0</v>
      </c>
    </row>
    <row r="1319" spans="1:9" x14ac:dyDescent="0.2">
      <c r="A1319" t="s">
        <v>288</v>
      </c>
      <c r="B1319" t="s">
        <v>400</v>
      </c>
      <c r="C1319" t="s">
        <v>477</v>
      </c>
      <c r="D1319">
        <v>0</v>
      </c>
      <c r="E1319" t="s">
        <v>477</v>
      </c>
      <c r="F1319" t="s">
        <v>543</v>
      </c>
      <c r="G1319" t="s">
        <v>573</v>
      </c>
      <c r="H1319">
        <v>0</v>
      </c>
      <c r="I1319">
        <v>0</v>
      </c>
    </row>
    <row r="1320" spans="1:9" x14ac:dyDescent="0.2">
      <c r="A1320" t="s">
        <v>285</v>
      </c>
      <c r="B1320" t="s">
        <v>401</v>
      </c>
      <c r="C1320" t="s">
        <v>477</v>
      </c>
      <c r="D1320">
        <v>0</v>
      </c>
      <c r="E1320" t="s">
        <v>477</v>
      </c>
      <c r="F1320" t="s">
        <v>529</v>
      </c>
      <c r="G1320" t="s">
        <v>570</v>
      </c>
      <c r="H1320">
        <v>0</v>
      </c>
      <c r="I1320">
        <v>0</v>
      </c>
    </row>
    <row r="1321" spans="1:9" x14ac:dyDescent="0.2">
      <c r="A1321" t="s">
        <v>289</v>
      </c>
      <c r="B1321" t="s">
        <v>402</v>
      </c>
      <c r="C1321" t="s">
        <v>492</v>
      </c>
      <c r="D1321">
        <v>0</v>
      </c>
      <c r="E1321" t="s">
        <v>492</v>
      </c>
      <c r="F1321" t="s">
        <v>529</v>
      </c>
      <c r="G1321" t="s">
        <v>572</v>
      </c>
      <c r="H1321">
        <v>0</v>
      </c>
      <c r="I1321">
        <v>0</v>
      </c>
    </row>
    <row r="1322" spans="1:9" x14ac:dyDescent="0.2">
      <c r="A1322" t="s">
        <v>289</v>
      </c>
      <c r="B1322" t="s">
        <v>403</v>
      </c>
      <c r="C1322" t="s">
        <v>492</v>
      </c>
      <c r="D1322">
        <v>0</v>
      </c>
      <c r="E1322" t="s">
        <v>492</v>
      </c>
      <c r="F1322" t="s">
        <v>543</v>
      </c>
      <c r="G1322" t="s">
        <v>572</v>
      </c>
      <c r="H1322">
        <v>0</v>
      </c>
      <c r="I1322">
        <v>0</v>
      </c>
    </row>
    <row r="1323" spans="1:9" x14ac:dyDescent="0.2">
      <c r="A1323" t="s">
        <v>289</v>
      </c>
      <c r="B1323" t="s">
        <v>404</v>
      </c>
      <c r="C1323" t="s">
        <v>492</v>
      </c>
      <c r="D1323">
        <v>0</v>
      </c>
      <c r="E1323" t="s">
        <v>492</v>
      </c>
      <c r="F1323" t="s">
        <v>529</v>
      </c>
      <c r="G1323" t="s">
        <v>572</v>
      </c>
      <c r="H1323">
        <v>0</v>
      </c>
      <c r="I1323">
        <v>0</v>
      </c>
    </row>
    <row r="1324" spans="1:9" x14ac:dyDescent="0.2">
      <c r="A1324" t="s">
        <v>286</v>
      </c>
      <c r="B1324" t="s">
        <v>405</v>
      </c>
      <c r="C1324" t="s">
        <v>486</v>
      </c>
      <c r="D1324">
        <v>0</v>
      </c>
      <c r="E1324" t="s">
        <v>486</v>
      </c>
      <c r="F1324" t="s">
        <v>540</v>
      </c>
      <c r="G1324" t="s">
        <v>572</v>
      </c>
      <c r="H1324">
        <v>0</v>
      </c>
      <c r="I1324">
        <v>0</v>
      </c>
    </row>
    <row r="1325" spans="1:9" x14ac:dyDescent="0.2">
      <c r="A1325" t="s">
        <v>286</v>
      </c>
      <c r="B1325" t="s">
        <v>406</v>
      </c>
      <c r="C1325" t="s">
        <v>486</v>
      </c>
      <c r="D1325">
        <v>0</v>
      </c>
      <c r="E1325" t="s">
        <v>486</v>
      </c>
      <c r="F1325" t="s">
        <v>536</v>
      </c>
      <c r="G1325" t="s">
        <v>572</v>
      </c>
      <c r="H1325">
        <v>0</v>
      </c>
      <c r="I1325">
        <v>0</v>
      </c>
    </row>
    <row r="1326" spans="1:9" x14ac:dyDescent="0.2">
      <c r="A1326" t="s">
        <v>290</v>
      </c>
      <c r="B1326" t="s">
        <v>407</v>
      </c>
      <c r="C1326" t="s">
        <v>478</v>
      </c>
      <c r="D1326">
        <v>0</v>
      </c>
      <c r="E1326" t="s">
        <v>478</v>
      </c>
      <c r="F1326" t="s">
        <v>544</v>
      </c>
      <c r="G1326" t="s">
        <v>569</v>
      </c>
      <c r="H1326">
        <v>0</v>
      </c>
      <c r="I1326">
        <v>0</v>
      </c>
    </row>
    <row r="1327" spans="1:9" x14ac:dyDescent="0.2">
      <c r="A1327" t="s">
        <v>291</v>
      </c>
      <c r="B1327" t="s">
        <v>408</v>
      </c>
      <c r="C1327" t="s">
        <v>478</v>
      </c>
      <c r="D1327">
        <v>0</v>
      </c>
      <c r="E1327" t="s">
        <v>478</v>
      </c>
      <c r="F1327" t="s">
        <v>545</v>
      </c>
      <c r="G1327" t="s">
        <v>576</v>
      </c>
      <c r="H1327">
        <v>0</v>
      </c>
      <c r="I1327">
        <v>0</v>
      </c>
    </row>
    <row r="1328" spans="1:9" x14ac:dyDescent="0.2">
      <c r="A1328" t="s">
        <v>292</v>
      </c>
      <c r="B1328" t="s">
        <v>409</v>
      </c>
      <c r="C1328" t="s">
        <v>478</v>
      </c>
      <c r="D1328">
        <v>0</v>
      </c>
      <c r="E1328" t="s">
        <v>478</v>
      </c>
      <c r="F1328" t="s">
        <v>546</v>
      </c>
      <c r="G1328" t="s">
        <v>576</v>
      </c>
      <c r="H1328">
        <v>0</v>
      </c>
      <c r="I1328">
        <v>0</v>
      </c>
    </row>
    <row r="1329" spans="1:9" x14ac:dyDescent="0.2">
      <c r="A1329" t="s">
        <v>292</v>
      </c>
      <c r="B1329" t="s">
        <v>410</v>
      </c>
      <c r="C1329" t="s">
        <v>478</v>
      </c>
      <c r="D1329">
        <v>0</v>
      </c>
      <c r="E1329" t="s">
        <v>478</v>
      </c>
      <c r="F1329" t="s">
        <v>547</v>
      </c>
      <c r="G1329" t="s">
        <v>576</v>
      </c>
      <c r="H1329">
        <v>0</v>
      </c>
      <c r="I1329">
        <v>0</v>
      </c>
    </row>
    <row r="1330" spans="1:9" x14ac:dyDescent="0.2">
      <c r="A1330" t="s">
        <v>268</v>
      </c>
      <c r="B1330" t="s">
        <v>411</v>
      </c>
      <c r="C1330" t="s">
        <v>478</v>
      </c>
      <c r="D1330">
        <v>0</v>
      </c>
      <c r="E1330" t="s">
        <v>478</v>
      </c>
      <c r="F1330" t="s">
        <v>520</v>
      </c>
      <c r="G1330" t="s">
        <v>576</v>
      </c>
      <c r="H1330">
        <v>0</v>
      </c>
      <c r="I1330">
        <v>0</v>
      </c>
    </row>
    <row r="1331" spans="1:9" x14ac:dyDescent="0.2">
      <c r="A1331" t="s">
        <v>293</v>
      </c>
      <c r="B1331" t="s">
        <v>412</v>
      </c>
      <c r="C1331" t="s">
        <v>478</v>
      </c>
      <c r="D1331">
        <v>0</v>
      </c>
      <c r="E1331" t="s">
        <v>478</v>
      </c>
      <c r="F1331" t="s">
        <v>536</v>
      </c>
      <c r="G1331" t="s">
        <v>571</v>
      </c>
      <c r="H1331">
        <v>0</v>
      </c>
      <c r="I1331">
        <v>0</v>
      </c>
    </row>
    <row r="1332" spans="1:9" x14ac:dyDescent="0.2">
      <c r="A1332" t="s">
        <v>294</v>
      </c>
      <c r="B1332" t="s">
        <v>413</v>
      </c>
      <c r="C1332" t="s">
        <v>493</v>
      </c>
      <c r="D1332">
        <v>0</v>
      </c>
      <c r="E1332" t="s">
        <v>493</v>
      </c>
      <c r="F1332" t="s">
        <v>548</v>
      </c>
      <c r="G1332" t="s">
        <v>577</v>
      </c>
      <c r="H1332">
        <v>0</v>
      </c>
      <c r="I1332">
        <v>0</v>
      </c>
    </row>
    <row r="1333" spans="1:9" x14ac:dyDescent="0.2">
      <c r="A1333" t="s">
        <v>295</v>
      </c>
      <c r="B1333" t="s">
        <v>414</v>
      </c>
      <c r="C1333" t="s">
        <v>494</v>
      </c>
      <c r="D1333">
        <v>0</v>
      </c>
      <c r="E1333" t="s">
        <v>494</v>
      </c>
      <c r="F1333" t="s">
        <v>549</v>
      </c>
      <c r="G1333" t="s">
        <v>577</v>
      </c>
      <c r="H1333">
        <v>0</v>
      </c>
      <c r="I1333">
        <v>0</v>
      </c>
    </row>
    <row r="1334" spans="1:9" x14ac:dyDescent="0.2">
      <c r="A1334" t="s">
        <v>296</v>
      </c>
      <c r="B1334" t="s">
        <v>415</v>
      </c>
      <c r="C1334" t="s">
        <v>494</v>
      </c>
      <c r="D1334">
        <v>0</v>
      </c>
      <c r="E1334" t="s">
        <v>494</v>
      </c>
      <c r="F1334" t="s">
        <v>550</v>
      </c>
      <c r="G1334" t="s">
        <v>577</v>
      </c>
      <c r="H1334">
        <v>0</v>
      </c>
      <c r="I1334">
        <v>0</v>
      </c>
    </row>
    <row r="1335" spans="1:9" x14ac:dyDescent="0.2">
      <c r="A1335" t="s">
        <v>297</v>
      </c>
      <c r="B1335" t="s">
        <v>416</v>
      </c>
      <c r="C1335" t="s">
        <v>488</v>
      </c>
      <c r="D1335">
        <v>0</v>
      </c>
      <c r="E1335" t="s">
        <v>488</v>
      </c>
      <c r="F1335" t="s">
        <v>551</v>
      </c>
      <c r="G1335" t="s">
        <v>577</v>
      </c>
      <c r="H1335">
        <v>0</v>
      </c>
      <c r="I1335">
        <v>0</v>
      </c>
    </row>
    <row r="1336" spans="1:9" x14ac:dyDescent="0.2">
      <c r="A1336" t="s">
        <v>298</v>
      </c>
      <c r="B1336" t="s">
        <v>417</v>
      </c>
      <c r="C1336" t="s">
        <v>495</v>
      </c>
      <c r="D1336">
        <v>0</v>
      </c>
      <c r="E1336" t="s">
        <v>495</v>
      </c>
      <c r="F1336" t="s">
        <v>552</v>
      </c>
      <c r="G1336" t="s">
        <v>577</v>
      </c>
      <c r="H1336">
        <v>0</v>
      </c>
      <c r="I1336">
        <v>0</v>
      </c>
    </row>
    <row r="1337" spans="1:9" x14ac:dyDescent="0.2">
      <c r="A1337" t="s">
        <v>299</v>
      </c>
      <c r="B1337" t="s">
        <v>418</v>
      </c>
      <c r="C1337" t="s">
        <v>496</v>
      </c>
      <c r="D1337">
        <v>0</v>
      </c>
      <c r="E1337" t="s">
        <v>496</v>
      </c>
      <c r="F1337" t="s">
        <v>516</v>
      </c>
      <c r="G1337" t="s">
        <v>577</v>
      </c>
      <c r="H1337">
        <v>0</v>
      </c>
      <c r="I1337">
        <v>0</v>
      </c>
    </row>
    <row r="1338" spans="1:9" x14ac:dyDescent="0.2">
      <c r="A1338" t="s">
        <v>300</v>
      </c>
      <c r="B1338" t="s">
        <v>419</v>
      </c>
      <c r="C1338" t="s">
        <v>497</v>
      </c>
      <c r="D1338">
        <v>0</v>
      </c>
      <c r="E1338" t="s">
        <v>497</v>
      </c>
      <c r="F1338" t="s">
        <v>553</v>
      </c>
      <c r="G1338" t="s">
        <v>577</v>
      </c>
      <c r="H1338">
        <v>0</v>
      </c>
      <c r="I1338">
        <v>0</v>
      </c>
    </row>
    <row r="1339" spans="1:9" x14ac:dyDescent="0.2">
      <c r="A1339" t="s">
        <v>301</v>
      </c>
      <c r="B1339" t="s">
        <v>420</v>
      </c>
      <c r="C1339" t="s">
        <v>478</v>
      </c>
      <c r="D1339">
        <v>0</v>
      </c>
      <c r="E1339" t="s">
        <v>478</v>
      </c>
      <c r="F1339" t="s">
        <v>516</v>
      </c>
      <c r="G1339" t="s">
        <v>576</v>
      </c>
      <c r="H1339">
        <v>0</v>
      </c>
      <c r="I1339">
        <v>0</v>
      </c>
    </row>
    <row r="1340" spans="1:9" x14ac:dyDescent="0.2">
      <c r="A1340" t="s">
        <v>283</v>
      </c>
      <c r="B1340" t="s">
        <v>421</v>
      </c>
      <c r="C1340" t="s">
        <v>477</v>
      </c>
      <c r="D1340">
        <v>0</v>
      </c>
      <c r="E1340" t="s">
        <v>477</v>
      </c>
      <c r="F1340" t="s">
        <v>540</v>
      </c>
      <c r="G1340" t="s">
        <v>578</v>
      </c>
      <c r="H1340">
        <v>0</v>
      </c>
      <c r="I1340">
        <v>0</v>
      </c>
    </row>
    <row r="1341" spans="1:9" x14ac:dyDescent="0.2">
      <c r="A1341" t="s">
        <v>264</v>
      </c>
      <c r="B1341" t="s">
        <v>422</v>
      </c>
      <c r="C1341" t="s">
        <v>477</v>
      </c>
      <c r="D1341">
        <v>0</v>
      </c>
      <c r="E1341" t="s">
        <v>477</v>
      </c>
      <c r="F1341" t="s">
        <v>541</v>
      </c>
      <c r="G1341" t="s">
        <v>578</v>
      </c>
      <c r="H1341">
        <v>0</v>
      </c>
      <c r="I1341">
        <v>0</v>
      </c>
    </row>
    <row r="1342" spans="1:9" x14ac:dyDescent="0.2">
      <c r="A1342" t="s">
        <v>264</v>
      </c>
      <c r="B1342" t="s">
        <v>423</v>
      </c>
      <c r="C1342" t="s">
        <v>478</v>
      </c>
      <c r="D1342">
        <v>0</v>
      </c>
      <c r="E1342" t="s">
        <v>478</v>
      </c>
      <c r="F1342" t="s">
        <v>516</v>
      </c>
      <c r="G1342" t="s">
        <v>578</v>
      </c>
      <c r="H1342">
        <v>0</v>
      </c>
      <c r="I1342">
        <v>0</v>
      </c>
    </row>
    <row r="1343" spans="1:9" x14ac:dyDescent="0.2">
      <c r="A1343" t="s">
        <v>301</v>
      </c>
      <c r="B1343" t="s">
        <v>424</v>
      </c>
      <c r="C1343" t="s">
        <v>478</v>
      </c>
      <c r="D1343">
        <v>0</v>
      </c>
      <c r="E1343" t="s">
        <v>478</v>
      </c>
      <c r="F1343" t="s">
        <v>537</v>
      </c>
      <c r="G1343" t="s">
        <v>576</v>
      </c>
      <c r="H1343">
        <v>0</v>
      </c>
      <c r="I1343">
        <v>0</v>
      </c>
    </row>
    <row r="1344" spans="1:9" x14ac:dyDescent="0.2">
      <c r="A1344" t="s">
        <v>283</v>
      </c>
      <c r="B1344" t="s">
        <v>425</v>
      </c>
      <c r="C1344" t="s">
        <v>498</v>
      </c>
      <c r="D1344">
        <v>0</v>
      </c>
      <c r="E1344" t="s">
        <v>498</v>
      </c>
      <c r="F1344" t="s">
        <v>529</v>
      </c>
      <c r="G1344" t="s">
        <v>578</v>
      </c>
      <c r="H1344">
        <v>0</v>
      </c>
      <c r="I1344">
        <v>0</v>
      </c>
    </row>
    <row r="1345" spans="1:9" x14ac:dyDescent="0.2">
      <c r="A1345" t="s">
        <v>302</v>
      </c>
      <c r="B1345" t="s">
        <v>426</v>
      </c>
      <c r="C1345" t="s">
        <v>478</v>
      </c>
      <c r="D1345">
        <v>0</v>
      </c>
      <c r="E1345" t="s">
        <v>478</v>
      </c>
      <c r="F1345" t="s">
        <v>529</v>
      </c>
      <c r="G1345" t="s">
        <v>579</v>
      </c>
      <c r="H1345">
        <v>0</v>
      </c>
      <c r="I1345">
        <v>0</v>
      </c>
    </row>
    <row r="1346" spans="1:9" x14ac:dyDescent="0.2">
      <c r="A1346" t="s">
        <v>285</v>
      </c>
      <c r="B1346" t="s">
        <v>427</v>
      </c>
      <c r="C1346" t="s">
        <v>499</v>
      </c>
      <c r="D1346">
        <v>0</v>
      </c>
      <c r="E1346" t="s">
        <v>499</v>
      </c>
      <c r="F1346" t="s">
        <v>542</v>
      </c>
      <c r="G1346" t="s">
        <v>577</v>
      </c>
      <c r="H1346">
        <v>0</v>
      </c>
      <c r="I1346">
        <v>0</v>
      </c>
    </row>
    <row r="1347" spans="1:9" x14ac:dyDescent="0.2">
      <c r="A1347" t="s">
        <v>303</v>
      </c>
      <c r="B1347" t="s">
        <v>428</v>
      </c>
      <c r="C1347" t="s">
        <v>500</v>
      </c>
      <c r="D1347">
        <v>0</v>
      </c>
      <c r="E1347" t="s">
        <v>500</v>
      </c>
      <c r="F1347" t="s">
        <v>546</v>
      </c>
      <c r="G1347" t="s">
        <v>577</v>
      </c>
      <c r="H1347">
        <v>0</v>
      </c>
      <c r="I1347">
        <v>0</v>
      </c>
    </row>
    <row r="1348" spans="1:9" x14ac:dyDescent="0.2">
      <c r="A1348" t="s">
        <v>304</v>
      </c>
      <c r="B1348" t="s">
        <v>429</v>
      </c>
      <c r="C1348" t="s">
        <v>478</v>
      </c>
      <c r="D1348">
        <v>0</v>
      </c>
      <c r="E1348" t="s">
        <v>478</v>
      </c>
      <c r="F1348" t="s">
        <v>554</v>
      </c>
      <c r="G1348" t="s">
        <v>569</v>
      </c>
      <c r="H1348">
        <v>0</v>
      </c>
      <c r="I1348">
        <v>0</v>
      </c>
    </row>
    <row r="1349" spans="1:9" x14ac:dyDescent="0.2">
      <c r="A1349" t="s">
        <v>277</v>
      </c>
      <c r="B1349" t="s">
        <v>430</v>
      </c>
      <c r="C1349" t="s">
        <v>478</v>
      </c>
      <c r="D1349">
        <v>0</v>
      </c>
      <c r="E1349" t="s">
        <v>478</v>
      </c>
      <c r="F1349" t="s">
        <v>539</v>
      </c>
      <c r="G1349" t="s">
        <v>571</v>
      </c>
      <c r="H1349">
        <v>0</v>
      </c>
      <c r="I1349">
        <v>0</v>
      </c>
    </row>
    <row r="1350" spans="1:9" x14ac:dyDescent="0.2">
      <c r="A1350" t="s">
        <v>277</v>
      </c>
      <c r="B1350" t="s">
        <v>431</v>
      </c>
      <c r="C1350" t="s">
        <v>478</v>
      </c>
      <c r="D1350">
        <v>0</v>
      </c>
      <c r="E1350" t="s">
        <v>478</v>
      </c>
      <c r="F1350" t="s">
        <v>534</v>
      </c>
      <c r="G1350" t="s">
        <v>571</v>
      </c>
      <c r="H1350">
        <v>0</v>
      </c>
      <c r="I1350">
        <v>0</v>
      </c>
    </row>
    <row r="1351" spans="1:9" x14ac:dyDescent="0.2">
      <c r="A1351" t="s">
        <v>277</v>
      </c>
      <c r="B1351" t="s">
        <v>432</v>
      </c>
      <c r="C1351" t="s">
        <v>501</v>
      </c>
      <c r="D1351">
        <v>0</v>
      </c>
      <c r="E1351" t="s">
        <v>501</v>
      </c>
      <c r="F1351" t="s">
        <v>555</v>
      </c>
      <c r="G1351" t="s">
        <v>571</v>
      </c>
      <c r="H1351">
        <v>0</v>
      </c>
      <c r="I1351">
        <v>0</v>
      </c>
    </row>
    <row r="1352" spans="1:9" x14ac:dyDescent="0.2">
      <c r="A1352" t="s">
        <v>263</v>
      </c>
      <c r="B1352" t="s">
        <v>433</v>
      </c>
      <c r="C1352" t="s">
        <v>502</v>
      </c>
      <c r="D1352">
        <v>0</v>
      </c>
      <c r="E1352" t="s">
        <v>502</v>
      </c>
      <c r="F1352" t="s">
        <v>556</v>
      </c>
      <c r="G1352" t="s">
        <v>580</v>
      </c>
      <c r="H1352">
        <v>0</v>
      </c>
      <c r="I1352">
        <v>0</v>
      </c>
    </row>
    <row r="1353" spans="1:9" x14ac:dyDescent="0.2">
      <c r="A1353" t="s">
        <v>268</v>
      </c>
      <c r="B1353" t="s">
        <v>434</v>
      </c>
      <c r="C1353" t="s">
        <v>478</v>
      </c>
      <c r="D1353">
        <v>0</v>
      </c>
      <c r="E1353" t="s">
        <v>478</v>
      </c>
      <c r="F1353" t="s">
        <v>520</v>
      </c>
      <c r="G1353" t="s">
        <v>571</v>
      </c>
      <c r="H1353">
        <v>0</v>
      </c>
      <c r="I1353">
        <v>0</v>
      </c>
    </row>
    <row r="1354" spans="1:9" x14ac:dyDescent="0.2">
      <c r="A1354" t="s">
        <v>305</v>
      </c>
      <c r="B1354" t="s">
        <v>435</v>
      </c>
      <c r="C1354" t="s">
        <v>478</v>
      </c>
      <c r="D1354">
        <v>0</v>
      </c>
      <c r="E1354" t="s">
        <v>478</v>
      </c>
      <c r="F1354" t="s">
        <v>557</v>
      </c>
      <c r="G1354" t="s">
        <v>569</v>
      </c>
      <c r="H1354">
        <v>0</v>
      </c>
      <c r="I1354">
        <v>0</v>
      </c>
    </row>
    <row r="1355" spans="1:9" x14ac:dyDescent="0.2">
      <c r="A1355" t="s">
        <v>306</v>
      </c>
      <c r="B1355" t="s">
        <v>436</v>
      </c>
      <c r="C1355" t="s">
        <v>478</v>
      </c>
      <c r="D1355">
        <v>0</v>
      </c>
      <c r="E1355" t="s">
        <v>478</v>
      </c>
      <c r="F1355" t="s">
        <v>558</v>
      </c>
      <c r="G1355" t="s">
        <v>569</v>
      </c>
      <c r="H1355">
        <v>0</v>
      </c>
      <c r="I1355">
        <v>0</v>
      </c>
    </row>
    <row r="1356" spans="1:9" x14ac:dyDescent="0.2">
      <c r="A1356" t="s">
        <v>307</v>
      </c>
      <c r="B1356" t="s">
        <v>437</v>
      </c>
      <c r="C1356" t="s">
        <v>478</v>
      </c>
      <c r="D1356">
        <v>0</v>
      </c>
      <c r="E1356" t="s">
        <v>478</v>
      </c>
      <c r="F1356" t="s">
        <v>559</v>
      </c>
      <c r="G1356" t="s">
        <v>574</v>
      </c>
      <c r="H1356">
        <v>0</v>
      </c>
      <c r="I1356">
        <v>0</v>
      </c>
    </row>
    <row r="1357" spans="1:9" x14ac:dyDescent="0.2">
      <c r="A1357" t="s">
        <v>308</v>
      </c>
      <c r="B1357" t="s">
        <v>438</v>
      </c>
      <c r="C1357" t="s">
        <v>478</v>
      </c>
      <c r="D1357">
        <v>0</v>
      </c>
      <c r="E1357" t="s">
        <v>478</v>
      </c>
      <c r="F1357" t="s">
        <v>560</v>
      </c>
      <c r="G1357" t="s">
        <v>569</v>
      </c>
      <c r="H1357">
        <v>0</v>
      </c>
      <c r="I1357">
        <v>0</v>
      </c>
    </row>
    <row r="1358" spans="1:9" x14ac:dyDescent="0.2">
      <c r="A1358" t="s">
        <v>309</v>
      </c>
      <c r="B1358" t="s">
        <v>439</v>
      </c>
      <c r="C1358" t="s">
        <v>478</v>
      </c>
      <c r="D1358">
        <v>0</v>
      </c>
      <c r="E1358" t="s">
        <v>478</v>
      </c>
      <c r="F1358" t="s">
        <v>558</v>
      </c>
      <c r="G1358" t="s">
        <v>574</v>
      </c>
      <c r="H1358">
        <v>0</v>
      </c>
      <c r="I1358">
        <v>0</v>
      </c>
    </row>
    <row r="1359" spans="1:9" x14ac:dyDescent="0.2">
      <c r="A1359" t="s">
        <v>310</v>
      </c>
      <c r="B1359" t="s">
        <v>440</v>
      </c>
      <c r="C1359" t="s">
        <v>478</v>
      </c>
      <c r="D1359">
        <v>0</v>
      </c>
      <c r="E1359" t="s">
        <v>478</v>
      </c>
      <c r="F1359" t="s">
        <v>561</v>
      </c>
      <c r="G1359" t="s">
        <v>569</v>
      </c>
      <c r="H1359">
        <v>0</v>
      </c>
      <c r="I1359">
        <v>0</v>
      </c>
    </row>
    <row r="1360" spans="1:9" x14ac:dyDescent="0.2">
      <c r="A1360" t="s">
        <v>311</v>
      </c>
      <c r="B1360" t="s">
        <v>441</v>
      </c>
      <c r="C1360" t="s">
        <v>481</v>
      </c>
      <c r="D1360">
        <v>0</v>
      </c>
      <c r="E1360" t="s">
        <v>481</v>
      </c>
      <c r="F1360" t="s">
        <v>527</v>
      </c>
      <c r="G1360" t="s">
        <v>580</v>
      </c>
      <c r="H1360">
        <v>0</v>
      </c>
      <c r="I1360">
        <v>0</v>
      </c>
    </row>
    <row r="1361" spans="1:9" x14ac:dyDescent="0.2">
      <c r="A1361" t="s">
        <v>311</v>
      </c>
      <c r="B1361" t="s">
        <v>442</v>
      </c>
      <c r="C1361" t="s">
        <v>482</v>
      </c>
      <c r="D1361">
        <v>0</v>
      </c>
      <c r="E1361" t="s">
        <v>482</v>
      </c>
      <c r="F1361" t="s">
        <v>562</v>
      </c>
      <c r="G1361" t="s">
        <v>580</v>
      </c>
      <c r="H1361">
        <v>0</v>
      </c>
      <c r="I1361">
        <v>0</v>
      </c>
    </row>
    <row r="1362" spans="1:9" x14ac:dyDescent="0.2">
      <c r="A1362" t="s">
        <v>311</v>
      </c>
      <c r="B1362" t="s">
        <v>443</v>
      </c>
      <c r="C1362" t="s">
        <v>481</v>
      </c>
      <c r="D1362">
        <v>0</v>
      </c>
      <c r="E1362" t="s">
        <v>481</v>
      </c>
      <c r="F1362" t="s">
        <v>563</v>
      </c>
      <c r="G1362" t="s">
        <v>580</v>
      </c>
      <c r="H1362">
        <v>0</v>
      </c>
      <c r="I1362">
        <v>0</v>
      </c>
    </row>
    <row r="1363" spans="1:9" x14ac:dyDescent="0.2">
      <c r="A1363" t="s">
        <v>312</v>
      </c>
      <c r="B1363" t="s">
        <v>444</v>
      </c>
      <c r="C1363" t="s">
        <v>481</v>
      </c>
      <c r="D1363">
        <v>0</v>
      </c>
      <c r="E1363" t="s">
        <v>481</v>
      </c>
      <c r="F1363" t="s">
        <v>526</v>
      </c>
      <c r="G1363" t="s">
        <v>580</v>
      </c>
      <c r="H1363">
        <v>0</v>
      </c>
      <c r="I1363">
        <v>0</v>
      </c>
    </row>
    <row r="1364" spans="1:9" x14ac:dyDescent="0.2">
      <c r="A1364" t="s">
        <v>286</v>
      </c>
      <c r="B1364" t="s">
        <v>445</v>
      </c>
      <c r="C1364" t="s">
        <v>486</v>
      </c>
      <c r="D1364">
        <v>0</v>
      </c>
      <c r="E1364" t="s">
        <v>486</v>
      </c>
      <c r="F1364" t="s">
        <v>542</v>
      </c>
      <c r="G1364" t="s">
        <v>580</v>
      </c>
      <c r="H1364">
        <v>0</v>
      </c>
      <c r="I1364">
        <v>0</v>
      </c>
    </row>
    <row r="1365" spans="1:9" x14ac:dyDescent="0.2">
      <c r="A1365" t="s">
        <v>286</v>
      </c>
      <c r="B1365" t="s">
        <v>446</v>
      </c>
      <c r="C1365" t="s">
        <v>486</v>
      </c>
      <c r="D1365">
        <v>0</v>
      </c>
      <c r="E1365" t="s">
        <v>486</v>
      </c>
      <c r="F1365" t="s">
        <v>541</v>
      </c>
      <c r="G1365" t="s">
        <v>580</v>
      </c>
      <c r="H1365">
        <v>0</v>
      </c>
      <c r="I1365">
        <v>0</v>
      </c>
    </row>
    <row r="1366" spans="1:9" x14ac:dyDescent="0.2">
      <c r="A1366" t="s">
        <v>313</v>
      </c>
      <c r="B1366" t="s">
        <v>447</v>
      </c>
      <c r="C1366" t="s">
        <v>478</v>
      </c>
      <c r="D1366">
        <v>0</v>
      </c>
      <c r="E1366" t="s">
        <v>478</v>
      </c>
      <c r="F1366" t="s">
        <v>516</v>
      </c>
      <c r="G1366" t="s">
        <v>569</v>
      </c>
      <c r="H1366">
        <v>0</v>
      </c>
      <c r="I1366">
        <v>0</v>
      </c>
    </row>
    <row r="1367" spans="1:9" x14ac:dyDescent="0.2">
      <c r="A1367" t="s">
        <v>314</v>
      </c>
      <c r="B1367" t="s">
        <v>448</v>
      </c>
      <c r="C1367" t="s">
        <v>478</v>
      </c>
      <c r="D1367">
        <v>0</v>
      </c>
      <c r="E1367" t="s">
        <v>478</v>
      </c>
      <c r="F1367" t="s">
        <v>516</v>
      </c>
      <c r="G1367" t="s">
        <v>569</v>
      </c>
      <c r="H1367">
        <v>0</v>
      </c>
      <c r="I1367">
        <v>0</v>
      </c>
    </row>
    <row r="1368" spans="1:9" x14ac:dyDescent="0.2">
      <c r="A1368" t="s">
        <v>315</v>
      </c>
      <c r="B1368" t="s">
        <v>449</v>
      </c>
      <c r="C1368" t="s">
        <v>478</v>
      </c>
      <c r="D1368">
        <v>0</v>
      </c>
      <c r="E1368" t="s">
        <v>478</v>
      </c>
      <c r="F1368" t="s">
        <v>530</v>
      </c>
      <c r="G1368" t="s">
        <v>569</v>
      </c>
      <c r="H1368">
        <v>0</v>
      </c>
      <c r="I1368">
        <v>0</v>
      </c>
    </row>
    <row r="1369" spans="1:9" x14ac:dyDescent="0.2">
      <c r="A1369" t="s">
        <v>315</v>
      </c>
      <c r="B1369" t="s">
        <v>450</v>
      </c>
      <c r="C1369" t="s">
        <v>478</v>
      </c>
      <c r="D1369">
        <v>0</v>
      </c>
      <c r="E1369" t="s">
        <v>478</v>
      </c>
      <c r="F1369" t="s">
        <v>530</v>
      </c>
      <c r="G1369" t="s">
        <v>569</v>
      </c>
      <c r="H1369">
        <v>0</v>
      </c>
      <c r="I1369">
        <v>0</v>
      </c>
    </row>
    <row r="1370" spans="1:9" x14ac:dyDescent="0.2">
      <c r="A1370" t="s">
        <v>315</v>
      </c>
      <c r="B1370" t="s">
        <v>451</v>
      </c>
      <c r="C1370" t="s">
        <v>478</v>
      </c>
      <c r="D1370">
        <v>0</v>
      </c>
      <c r="E1370" t="s">
        <v>478</v>
      </c>
      <c r="F1370" t="s">
        <v>530</v>
      </c>
      <c r="G1370" t="s">
        <v>569</v>
      </c>
      <c r="H1370">
        <v>0</v>
      </c>
      <c r="I1370">
        <v>0</v>
      </c>
    </row>
    <row r="1371" spans="1:9" x14ac:dyDescent="0.2">
      <c r="A1371" t="s">
        <v>313</v>
      </c>
      <c r="B1371" t="s">
        <v>452</v>
      </c>
      <c r="C1371" t="s">
        <v>478</v>
      </c>
      <c r="D1371">
        <v>0</v>
      </c>
      <c r="E1371" t="s">
        <v>478</v>
      </c>
      <c r="F1371" t="s">
        <v>524</v>
      </c>
      <c r="G1371" t="s">
        <v>569</v>
      </c>
      <c r="H1371">
        <v>0</v>
      </c>
      <c r="I1371">
        <v>0</v>
      </c>
    </row>
    <row r="1372" spans="1:9" x14ac:dyDescent="0.2">
      <c r="A1372" t="s">
        <v>314</v>
      </c>
      <c r="B1372" t="s">
        <v>453</v>
      </c>
      <c r="C1372" t="s">
        <v>478</v>
      </c>
      <c r="D1372">
        <v>0</v>
      </c>
      <c r="E1372" t="s">
        <v>478</v>
      </c>
      <c r="F1372" t="s">
        <v>538</v>
      </c>
      <c r="G1372" t="s">
        <v>569</v>
      </c>
      <c r="H1372">
        <v>0</v>
      </c>
      <c r="I1372">
        <v>0</v>
      </c>
    </row>
    <row r="1373" spans="1:9" x14ac:dyDescent="0.2">
      <c r="A1373" t="s">
        <v>314</v>
      </c>
      <c r="B1373" t="s">
        <v>454</v>
      </c>
      <c r="C1373" t="s">
        <v>478</v>
      </c>
      <c r="D1373">
        <v>0</v>
      </c>
      <c r="E1373" t="s">
        <v>478</v>
      </c>
      <c r="F1373" t="s">
        <v>530</v>
      </c>
      <c r="G1373" t="s">
        <v>569</v>
      </c>
      <c r="H1373">
        <v>0</v>
      </c>
      <c r="I1373">
        <v>0</v>
      </c>
    </row>
    <row r="1374" spans="1:9" x14ac:dyDescent="0.2">
      <c r="A1374" t="s">
        <v>314</v>
      </c>
      <c r="B1374" t="s">
        <v>455</v>
      </c>
      <c r="C1374" t="s">
        <v>478</v>
      </c>
      <c r="D1374">
        <v>0</v>
      </c>
      <c r="E1374" t="s">
        <v>478</v>
      </c>
      <c r="F1374" t="s">
        <v>538</v>
      </c>
      <c r="G1374" t="s">
        <v>569</v>
      </c>
      <c r="H1374">
        <v>0</v>
      </c>
      <c r="I1374">
        <v>0</v>
      </c>
    </row>
    <row r="1375" spans="1:9" x14ac:dyDescent="0.2">
      <c r="A1375" t="s">
        <v>314</v>
      </c>
      <c r="B1375" t="s">
        <v>456</v>
      </c>
      <c r="C1375" t="s">
        <v>478</v>
      </c>
      <c r="D1375">
        <v>0</v>
      </c>
      <c r="E1375" t="s">
        <v>478</v>
      </c>
      <c r="F1375" t="s">
        <v>530</v>
      </c>
      <c r="G1375" t="s">
        <v>569</v>
      </c>
      <c r="H1375">
        <v>0</v>
      </c>
      <c r="I1375">
        <v>0</v>
      </c>
    </row>
    <row r="1376" spans="1:9" x14ac:dyDescent="0.2">
      <c r="A1376" t="s">
        <v>277</v>
      </c>
      <c r="B1376" t="s">
        <v>457</v>
      </c>
      <c r="C1376" t="s">
        <v>501</v>
      </c>
      <c r="D1376">
        <v>0</v>
      </c>
      <c r="E1376" t="s">
        <v>501</v>
      </c>
      <c r="F1376" t="s">
        <v>564</v>
      </c>
      <c r="G1376" t="s">
        <v>571</v>
      </c>
      <c r="H1376">
        <v>0</v>
      </c>
      <c r="I1376">
        <v>0</v>
      </c>
    </row>
    <row r="1377" spans="1:9" x14ac:dyDescent="0.2">
      <c r="A1377" t="s">
        <v>263</v>
      </c>
      <c r="B1377" t="s">
        <v>458</v>
      </c>
      <c r="C1377" t="s">
        <v>476</v>
      </c>
      <c r="D1377">
        <v>0</v>
      </c>
      <c r="E1377" t="s">
        <v>476</v>
      </c>
      <c r="F1377" t="s">
        <v>565</v>
      </c>
      <c r="G1377" t="s">
        <v>580</v>
      </c>
      <c r="H1377">
        <v>0</v>
      </c>
      <c r="I1377">
        <v>0</v>
      </c>
    </row>
    <row r="1378" spans="1:9" x14ac:dyDescent="0.2">
      <c r="A1378" t="s">
        <v>316</v>
      </c>
      <c r="B1378" t="s">
        <v>459</v>
      </c>
      <c r="C1378" t="s">
        <v>478</v>
      </c>
      <c r="D1378">
        <v>0</v>
      </c>
      <c r="E1378" t="s">
        <v>478</v>
      </c>
      <c r="F1378" t="s">
        <v>557</v>
      </c>
      <c r="G1378" t="s">
        <v>569</v>
      </c>
      <c r="H1378">
        <v>0</v>
      </c>
      <c r="I1378">
        <v>0</v>
      </c>
    </row>
    <row r="1379" spans="1:9" x14ac:dyDescent="0.2">
      <c r="A1379" t="s">
        <v>317</v>
      </c>
      <c r="B1379" t="s">
        <v>460</v>
      </c>
      <c r="C1379" t="s">
        <v>478</v>
      </c>
      <c r="D1379">
        <v>0</v>
      </c>
      <c r="E1379" t="s">
        <v>478</v>
      </c>
      <c r="F1379" t="s">
        <v>560</v>
      </c>
      <c r="G1379" t="s">
        <v>569</v>
      </c>
      <c r="H1379">
        <v>0</v>
      </c>
      <c r="I1379">
        <v>0</v>
      </c>
    </row>
    <row r="1380" spans="1:9" x14ac:dyDescent="0.2">
      <c r="A1380" t="s">
        <v>318</v>
      </c>
      <c r="B1380" t="s">
        <v>461</v>
      </c>
      <c r="C1380" t="s">
        <v>478</v>
      </c>
      <c r="D1380">
        <v>0</v>
      </c>
      <c r="E1380" t="s">
        <v>478</v>
      </c>
      <c r="F1380" t="s">
        <v>561</v>
      </c>
      <c r="G1380" t="s">
        <v>574</v>
      </c>
      <c r="H1380">
        <v>0</v>
      </c>
      <c r="I1380">
        <v>0</v>
      </c>
    </row>
    <row r="1381" spans="1:9" x14ac:dyDescent="0.2">
      <c r="A1381" t="s">
        <v>319</v>
      </c>
      <c r="B1381" t="s">
        <v>462</v>
      </c>
      <c r="C1381" t="s">
        <v>482</v>
      </c>
      <c r="D1381">
        <v>0</v>
      </c>
      <c r="E1381" t="s">
        <v>482</v>
      </c>
      <c r="F1381" t="s">
        <v>526</v>
      </c>
      <c r="G1381" t="s">
        <v>580</v>
      </c>
      <c r="H1381">
        <v>0</v>
      </c>
      <c r="I1381">
        <v>0</v>
      </c>
    </row>
    <row r="1382" spans="1:9" x14ac:dyDescent="0.2">
      <c r="A1382" t="s">
        <v>320</v>
      </c>
      <c r="B1382" t="s">
        <v>463</v>
      </c>
      <c r="C1382" t="s">
        <v>488</v>
      </c>
      <c r="D1382">
        <v>0</v>
      </c>
      <c r="E1382" t="s">
        <v>488</v>
      </c>
      <c r="F1382" t="s">
        <v>562</v>
      </c>
      <c r="G1382" t="s">
        <v>580</v>
      </c>
      <c r="H1382">
        <v>0</v>
      </c>
      <c r="I1382">
        <v>0</v>
      </c>
    </row>
    <row r="1383" spans="1:9" x14ac:dyDescent="0.2">
      <c r="A1383" t="s">
        <v>319</v>
      </c>
      <c r="B1383" t="s">
        <v>464</v>
      </c>
      <c r="C1383" t="s">
        <v>482</v>
      </c>
      <c r="D1383">
        <v>0</v>
      </c>
      <c r="E1383" t="s">
        <v>482</v>
      </c>
      <c r="F1383" t="s">
        <v>563</v>
      </c>
      <c r="G1383" t="s">
        <v>580</v>
      </c>
      <c r="H1383">
        <v>0</v>
      </c>
      <c r="I1383">
        <v>0</v>
      </c>
    </row>
    <row r="1384" spans="1:9" x14ac:dyDescent="0.2">
      <c r="A1384" t="s">
        <v>319</v>
      </c>
      <c r="B1384" t="s">
        <v>465</v>
      </c>
      <c r="C1384" t="s">
        <v>481</v>
      </c>
      <c r="D1384">
        <v>0</v>
      </c>
      <c r="E1384" t="s">
        <v>481</v>
      </c>
      <c r="F1384" t="s">
        <v>526</v>
      </c>
      <c r="G1384" t="s">
        <v>580</v>
      </c>
      <c r="H1384">
        <v>0</v>
      </c>
      <c r="I1384">
        <v>0</v>
      </c>
    </row>
    <row r="1385" spans="1:9" x14ac:dyDescent="0.2">
      <c r="A1385" t="s">
        <v>321</v>
      </c>
      <c r="B1385" t="s">
        <v>466</v>
      </c>
      <c r="C1385" t="s">
        <v>488</v>
      </c>
      <c r="D1385">
        <v>0</v>
      </c>
      <c r="E1385" t="s">
        <v>488</v>
      </c>
      <c r="F1385" t="s">
        <v>547</v>
      </c>
      <c r="G1385" t="s">
        <v>574</v>
      </c>
      <c r="H1385">
        <v>0</v>
      </c>
      <c r="I1385">
        <v>0</v>
      </c>
    </row>
    <row r="1386" spans="1:9" x14ac:dyDescent="0.2">
      <c r="A1386" t="s">
        <v>322</v>
      </c>
      <c r="B1386" t="s">
        <v>467</v>
      </c>
      <c r="C1386" t="s">
        <v>482</v>
      </c>
      <c r="D1386">
        <v>0</v>
      </c>
      <c r="E1386" t="s">
        <v>482</v>
      </c>
      <c r="F1386" t="s">
        <v>566</v>
      </c>
      <c r="G1386" t="s">
        <v>574</v>
      </c>
      <c r="H1386">
        <v>0</v>
      </c>
      <c r="I1386">
        <v>0</v>
      </c>
    </row>
    <row r="1387" spans="1:9" x14ac:dyDescent="0.2">
      <c r="A1387" t="s">
        <v>283</v>
      </c>
      <c r="B1387" t="s">
        <v>468</v>
      </c>
      <c r="C1387" t="s">
        <v>478</v>
      </c>
      <c r="D1387">
        <v>0</v>
      </c>
      <c r="E1387" t="s">
        <v>478</v>
      </c>
      <c r="F1387" t="s">
        <v>524</v>
      </c>
      <c r="G1387" t="s">
        <v>581</v>
      </c>
      <c r="H1387">
        <v>0</v>
      </c>
      <c r="I1387">
        <v>0</v>
      </c>
    </row>
    <row r="1388" spans="1:9" x14ac:dyDescent="0.2">
      <c r="A1388" t="s">
        <v>275</v>
      </c>
      <c r="B1388" t="s">
        <v>469</v>
      </c>
      <c r="C1388" t="s">
        <v>478</v>
      </c>
      <c r="D1388">
        <v>0</v>
      </c>
      <c r="E1388" t="s">
        <v>478</v>
      </c>
      <c r="F1388" t="s">
        <v>530</v>
      </c>
      <c r="G1388" t="s">
        <v>581</v>
      </c>
      <c r="H1388">
        <v>0</v>
      </c>
      <c r="I1388">
        <v>0</v>
      </c>
    </row>
    <row r="1389" spans="1:9" x14ac:dyDescent="0.2">
      <c r="A1389" t="s">
        <v>275</v>
      </c>
      <c r="B1389" t="s">
        <v>470</v>
      </c>
      <c r="C1389" t="s">
        <v>478</v>
      </c>
      <c r="D1389">
        <v>0</v>
      </c>
      <c r="E1389" t="s">
        <v>478</v>
      </c>
      <c r="F1389" t="s">
        <v>530</v>
      </c>
      <c r="G1389" t="s">
        <v>581</v>
      </c>
      <c r="H1389">
        <v>0</v>
      </c>
      <c r="I1389">
        <v>0</v>
      </c>
    </row>
    <row r="1390" spans="1:9" x14ac:dyDescent="0.2">
      <c r="A1390" t="s">
        <v>275</v>
      </c>
      <c r="B1390" t="s">
        <v>471</v>
      </c>
      <c r="C1390" t="s">
        <v>478</v>
      </c>
      <c r="D1390">
        <v>0</v>
      </c>
      <c r="E1390" t="s">
        <v>478</v>
      </c>
      <c r="F1390" t="s">
        <v>530</v>
      </c>
      <c r="G1390" t="s">
        <v>581</v>
      </c>
      <c r="H1390">
        <v>0</v>
      </c>
      <c r="I1390">
        <v>0</v>
      </c>
    </row>
    <row r="1391" spans="1:9" x14ac:dyDescent="0.2">
      <c r="A1391" t="s">
        <v>275</v>
      </c>
      <c r="B1391" t="s">
        <v>472</v>
      </c>
      <c r="C1391" t="s">
        <v>478</v>
      </c>
      <c r="D1391">
        <v>0</v>
      </c>
      <c r="E1391" t="s">
        <v>478</v>
      </c>
      <c r="F1391" t="s">
        <v>530</v>
      </c>
      <c r="G1391" t="s">
        <v>581</v>
      </c>
      <c r="H1391">
        <v>0</v>
      </c>
      <c r="I1391">
        <v>0</v>
      </c>
    </row>
    <row r="1392" spans="1:9" x14ac:dyDescent="0.2">
      <c r="A1392" t="s">
        <v>286</v>
      </c>
      <c r="B1392" t="s">
        <v>473</v>
      </c>
      <c r="C1392" t="s">
        <v>486</v>
      </c>
      <c r="D1392">
        <v>0</v>
      </c>
      <c r="E1392" t="s">
        <v>486</v>
      </c>
      <c r="F1392" t="s">
        <v>542</v>
      </c>
      <c r="G1392" t="s">
        <v>580</v>
      </c>
      <c r="H1392">
        <v>0</v>
      </c>
      <c r="I1392">
        <v>0</v>
      </c>
    </row>
    <row r="1393" spans="1:9" x14ac:dyDescent="0.2">
      <c r="A1393" t="s">
        <v>286</v>
      </c>
      <c r="B1393" t="s">
        <v>474</v>
      </c>
      <c r="C1393" t="s">
        <v>486</v>
      </c>
      <c r="D1393">
        <v>0</v>
      </c>
      <c r="E1393" t="s">
        <v>486</v>
      </c>
      <c r="F1393" t="s">
        <v>542</v>
      </c>
      <c r="G1393" t="s">
        <v>580</v>
      </c>
      <c r="H1393">
        <v>0</v>
      </c>
      <c r="I1393">
        <v>0</v>
      </c>
    </row>
    <row r="1394" spans="1:9" x14ac:dyDescent="0.2">
      <c r="A1394" t="s">
        <v>289</v>
      </c>
      <c r="B1394" t="s">
        <v>475</v>
      </c>
      <c r="C1394" t="s">
        <v>478</v>
      </c>
      <c r="D1394">
        <v>0</v>
      </c>
      <c r="E1394" t="s">
        <v>478</v>
      </c>
      <c r="F1394" t="s">
        <v>559</v>
      </c>
      <c r="G1394" t="s">
        <v>574</v>
      </c>
      <c r="H1394">
        <v>0</v>
      </c>
      <c r="I1394">
        <v>0</v>
      </c>
    </row>
    <row r="1395" spans="1:9" x14ac:dyDescent="0.2">
      <c r="A1395" t="s">
        <v>302</v>
      </c>
      <c r="B1395" t="s">
        <v>302</v>
      </c>
      <c r="C1395" t="s">
        <v>478</v>
      </c>
      <c r="D1395">
        <v>0</v>
      </c>
      <c r="E1395" t="s">
        <v>478</v>
      </c>
      <c r="F1395" t="s">
        <v>567</v>
      </c>
      <c r="G1395" t="s">
        <v>579</v>
      </c>
      <c r="H1395">
        <v>0</v>
      </c>
      <c r="I1395">
        <v>0</v>
      </c>
    </row>
    <row r="1396" spans="1:9" x14ac:dyDescent="0.2">
      <c r="A1396" t="s">
        <v>323</v>
      </c>
      <c r="B1396" t="s">
        <v>302</v>
      </c>
      <c r="C1396" t="s">
        <v>478</v>
      </c>
      <c r="D1396">
        <v>0</v>
      </c>
      <c r="E1396" t="s">
        <v>478</v>
      </c>
      <c r="F1396" t="s">
        <v>568</v>
      </c>
      <c r="G1396" t="s">
        <v>569</v>
      </c>
      <c r="H1396">
        <v>0</v>
      </c>
      <c r="I1396">
        <v>0</v>
      </c>
    </row>
    <row r="1397" spans="1:9" x14ac:dyDescent="0.2">
      <c r="A1397" t="s">
        <v>263</v>
      </c>
      <c r="B1397" t="s">
        <v>324</v>
      </c>
      <c r="C1397" t="s">
        <v>476</v>
      </c>
      <c r="D1397" t="s">
        <v>503</v>
      </c>
      <c r="E1397" t="s">
        <v>478</v>
      </c>
      <c r="F1397" t="s">
        <v>515</v>
      </c>
      <c r="G1397" t="s">
        <v>319</v>
      </c>
      <c r="H1397">
        <v>512.20168843859256</v>
      </c>
      <c r="I1397">
        <v>550</v>
      </c>
    </row>
    <row r="1398" spans="1:9" x14ac:dyDescent="0.2">
      <c r="A1398" t="s">
        <v>264</v>
      </c>
      <c r="B1398" t="s">
        <v>325</v>
      </c>
      <c r="C1398" t="s">
        <v>477</v>
      </c>
      <c r="D1398" t="s">
        <v>504</v>
      </c>
      <c r="E1398" t="s">
        <v>477</v>
      </c>
      <c r="F1398" t="s">
        <v>516</v>
      </c>
      <c r="G1398" t="s">
        <v>569</v>
      </c>
      <c r="H1398">
        <v>137.34523897192631</v>
      </c>
      <c r="I1398">
        <v>150</v>
      </c>
    </row>
    <row r="1399" spans="1:9" x14ac:dyDescent="0.2">
      <c r="A1399" t="s">
        <v>265</v>
      </c>
      <c r="B1399" t="s">
        <v>326</v>
      </c>
      <c r="C1399" t="s">
        <v>478</v>
      </c>
      <c r="D1399" t="s">
        <v>505</v>
      </c>
      <c r="E1399" t="s">
        <v>478</v>
      </c>
      <c r="F1399" t="s">
        <v>517</v>
      </c>
      <c r="G1399" t="s">
        <v>570</v>
      </c>
      <c r="H1399">
        <v>0</v>
      </c>
      <c r="I1399">
        <v>0</v>
      </c>
    </row>
    <row r="1400" spans="1:9" x14ac:dyDescent="0.2">
      <c r="A1400" t="s">
        <v>266</v>
      </c>
      <c r="B1400" t="s">
        <v>327</v>
      </c>
      <c r="C1400" t="s">
        <v>479</v>
      </c>
      <c r="D1400" t="s">
        <v>506</v>
      </c>
      <c r="E1400" t="s">
        <v>479</v>
      </c>
      <c r="F1400" t="s">
        <v>518</v>
      </c>
      <c r="G1400" t="s">
        <v>571</v>
      </c>
      <c r="H1400">
        <v>437.1338624340375</v>
      </c>
      <c r="I1400">
        <v>450</v>
      </c>
    </row>
    <row r="1401" spans="1:9" x14ac:dyDescent="0.2">
      <c r="A1401" t="s">
        <v>267</v>
      </c>
      <c r="B1401" t="s">
        <v>328</v>
      </c>
      <c r="C1401" t="s">
        <v>480</v>
      </c>
      <c r="D1401" t="s">
        <v>507</v>
      </c>
      <c r="E1401" t="s">
        <v>480</v>
      </c>
      <c r="F1401" t="s">
        <v>519</v>
      </c>
      <c r="G1401" t="s">
        <v>572</v>
      </c>
      <c r="H1401">
        <v>0</v>
      </c>
      <c r="I1401">
        <v>0</v>
      </c>
    </row>
    <row r="1402" spans="1:9" x14ac:dyDescent="0.2">
      <c r="A1402" t="s">
        <v>268</v>
      </c>
      <c r="B1402" t="s">
        <v>329</v>
      </c>
      <c r="C1402" t="s">
        <v>478</v>
      </c>
      <c r="D1402" t="s">
        <v>505</v>
      </c>
      <c r="E1402" t="s">
        <v>478</v>
      </c>
      <c r="F1402" t="s">
        <v>520</v>
      </c>
      <c r="G1402" t="s">
        <v>571</v>
      </c>
      <c r="H1402">
        <v>0</v>
      </c>
      <c r="I1402">
        <v>0</v>
      </c>
    </row>
    <row r="1403" spans="1:9" x14ac:dyDescent="0.2">
      <c r="A1403" t="s">
        <v>268</v>
      </c>
      <c r="B1403" t="s">
        <v>330</v>
      </c>
      <c r="C1403" t="s">
        <v>478</v>
      </c>
      <c r="D1403" t="s">
        <v>505</v>
      </c>
      <c r="E1403" t="s">
        <v>478</v>
      </c>
      <c r="F1403" t="s">
        <v>516</v>
      </c>
      <c r="G1403" t="s">
        <v>571</v>
      </c>
      <c r="H1403">
        <v>0</v>
      </c>
      <c r="I1403">
        <v>0</v>
      </c>
    </row>
    <row r="1404" spans="1:9" x14ac:dyDescent="0.2">
      <c r="A1404" t="s">
        <v>268</v>
      </c>
      <c r="B1404" t="s">
        <v>331</v>
      </c>
      <c r="C1404" t="s">
        <v>478</v>
      </c>
      <c r="D1404" t="s">
        <v>505</v>
      </c>
      <c r="E1404" t="s">
        <v>478</v>
      </c>
      <c r="F1404" t="s">
        <v>520</v>
      </c>
      <c r="G1404" t="s">
        <v>571</v>
      </c>
      <c r="H1404">
        <v>0</v>
      </c>
      <c r="I1404">
        <v>0</v>
      </c>
    </row>
    <row r="1405" spans="1:9" x14ac:dyDescent="0.2">
      <c r="A1405" t="s">
        <v>269</v>
      </c>
      <c r="B1405" t="s">
        <v>332</v>
      </c>
      <c r="C1405" t="s">
        <v>481</v>
      </c>
      <c r="D1405" t="s">
        <v>508</v>
      </c>
      <c r="E1405" t="s">
        <v>481</v>
      </c>
      <c r="F1405" t="s">
        <v>521</v>
      </c>
      <c r="G1405" t="s">
        <v>573</v>
      </c>
      <c r="H1405">
        <v>0</v>
      </c>
      <c r="I1405">
        <v>0</v>
      </c>
    </row>
    <row r="1406" spans="1:9" x14ac:dyDescent="0.2">
      <c r="A1406" t="s">
        <v>270</v>
      </c>
      <c r="B1406" t="s">
        <v>333</v>
      </c>
      <c r="C1406" t="s">
        <v>481</v>
      </c>
      <c r="D1406" t="s">
        <v>508</v>
      </c>
      <c r="E1406" t="s">
        <v>481</v>
      </c>
      <c r="F1406" t="s">
        <v>522</v>
      </c>
      <c r="G1406" t="s">
        <v>573</v>
      </c>
      <c r="H1406">
        <v>0</v>
      </c>
      <c r="I1406">
        <v>0</v>
      </c>
    </row>
    <row r="1407" spans="1:9" x14ac:dyDescent="0.2">
      <c r="A1407" t="s">
        <v>270</v>
      </c>
      <c r="B1407" t="s">
        <v>334</v>
      </c>
      <c r="C1407" t="s">
        <v>481</v>
      </c>
      <c r="D1407" t="s">
        <v>508</v>
      </c>
      <c r="E1407" t="s">
        <v>481</v>
      </c>
      <c r="F1407" t="s">
        <v>523</v>
      </c>
      <c r="G1407" t="s">
        <v>573</v>
      </c>
      <c r="H1407">
        <v>0</v>
      </c>
      <c r="I1407">
        <v>0</v>
      </c>
    </row>
    <row r="1408" spans="1:9" x14ac:dyDescent="0.2">
      <c r="A1408" t="s">
        <v>271</v>
      </c>
      <c r="B1408" t="s">
        <v>335</v>
      </c>
      <c r="C1408" t="s">
        <v>478</v>
      </c>
      <c r="D1408" t="s">
        <v>505</v>
      </c>
      <c r="E1408" t="s">
        <v>478</v>
      </c>
      <c r="F1408" t="s">
        <v>524</v>
      </c>
      <c r="G1408" t="s">
        <v>574</v>
      </c>
      <c r="H1408">
        <v>0</v>
      </c>
      <c r="I1408">
        <v>0</v>
      </c>
    </row>
    <row r="1409" spans="1:9" x14ac:dyDescent="0.2">
      <c r="A1409" t="s">
        <v>269</v>
      </c>
      <c r="B1409" t="s">
        <v>336</v>
      </c>
      <c r="C1409" t="s">
        <v>481</v>
      </c>
      <c r="D1409" t="s">
        <v>508</v>
      </c>
      <c r="E1409" t="s">
        <v>481</v>
      </c>
      <c r="F1409" t="s">
        <v>525</v>
      </c>
      <c r="G1409" t="s">
        <v>573</v>
      </c>
      <c r="H1409">
        <v>0</v>
      </c>
      <c r="I1409">
        <v>0</v>
      </c>
    </row>
    <row r="1410" spans="1:9" x14ac:dyDescent="0.2">
      <c r="A1410" t="s">
        <v>272</v>
      </c>
      <c r="B1410" t="s">
        <v>337</v>
      </c>
      <c r="C1410" t="s">
        <v>481</v>
      </c>
      <c r="D1410" t="s">
        <v>508</v>
      </c>
      <c r="E1410" t="s">
        <v>481</v>
      </c>
      <c r="F1410" t="s">
        <v>526</v>
      </c>
      <c r="G1410" t="s">
        <v>572</v>
      </c>
      <c r="H1410">
        <v>0</v>
      </c>
      <c r="I1410">
        <v>0</v>
      </c>
    </row>
    <row r="1411" spans="1:9" x14ac:dyDescent="0.2">
      <c r="A1411" t="s">
        <v>272</v>
      </c>
      <c r="B1411" t="s">
        <v>338</v>
      </c>
      <c r="C1411" t="s">
        <v>481</v>
      </c>
      <c r="D1411" t="s">
        <v>508</v>
      </c>
      <c r="E1411" t="s">
        <v>481</v>
      </c>
      <c r="F1411" t="s">
        <v>527</v>
      </c>
      <c r="G1411" t="s">
        <v>572</v>
      </c>
      <c r="H1411">
        <v>0</v>
      </c>
      <c r="I1411">
        <v>0</v>
      </c>
    </row>
    <row r="1412" spans="1:9" x14ac:dyDescent="0.2">
      <c r="A1412" t="s">
        <v>273</v>
      </c>
      <c r="B1412" t="s">
        <v>339</v>
      </c>
      <c r="C1412" t="s">
        <v>481</v>
      </c>
      <c r="D1412" t="s">
        <v>508</v>
      </c>
      <c r="E1412" t="s">
        <v>481</v>
      </c>
      <c r="F1412" t="s">
        <v>527</v>
      </c>
      <c r="G1412" t="s">
        <v>572</v>
      </c>
      <c r="H1412">
        <v>0</v>
      </c>
      <c r="I1412">
        <v>0</v>
      </c>
    </row>
    <row r="1413" spans="1:9" x14ac:dyDescent="0.2">
      <c r="A1413" t="s">
        <v>273</v>
      </c>
      <c r="B1413" t="s">
        <v>340</v>
      </c>
      <c r="C1413" t="s">
        <v>482</v>
      </c>
      <c r="D1413" t="s">
        <v>509</v>
      </c>
      <c r="E1413" t="s">
        <v>482</v>
      </c>
      <c r="F1413" t="s">
        <v>528</v>
      </c>
      <c r="G1413" t="s">
        <v>572</v>
      </c>
      <c r="H1413">
        <v>0</v>
      </c>
      <c r="I1413">
        <v>0</v>
      </c>
    </row>
    <row r="1414" spans="1:9" x14ac:dyDescent="0.2">
      <c r="A1414" t="s">
        <v>273</v>
      </c>
      <c r="B1414" t="s">
        <v>341</v>
      </c>
      <c r="C1414" t="s">
        <v>481</v>
      </c>
      <c r="D1414" t="s">
        <v>508</v>
      </c>
      <c r="E1414" t="s">
        <v>481</v>
      </c>
      <c r="F1414" t="s">
        <v>527</v>
      </c>
      <c r="G1414" t="s">
        <v>572</v>
      </c>
      <c r="H1414">
        <v>0</v>
      </c>
      <c r="I1414">
        <v>0</v>
      </c>
    </row>
    <row r="1415" spans="1:9" x14ac:dyDescent="0.2">
      <c r="A1415" t="s">
        <v>273</v>
      </c>
      <c r="B1415" t="s">
        <v>342</v>
      </c>
      <c r="C1415" t="s">
        <v>481</v>
      </c>
      <c r="D1415" t="s">
        <v>508</v>
      </c>
      <c r="E1415" t="s">
        <v>481</v>
      </c>
      <c r="F1415" t="s">
        <v>526</v>
      </c>
      <c r="G1415" t="s">
        <v>572</v>
      </c>
      <c r="H1415">
        <v>0</v>
      </c>
      <c r="I1415">
        <v>0</v>
      </c>
    </row>
    <row r="1416" spans="1:9" x14ac:dyDescent="0.2">
      <c r="A1416" t="s">
        <v>274</v>
      </c>
      <c r="B1416" t="s">
        <v>343</v>
      </c>
      <c r="C1416" t="s">
        <v>483</v>
      </c>
      <c r="D1416" t="s">
        <v>510</v>
      </c>
      <c r="E1416" t="s">
        <v>483</v>
      </c>
      <c r="F1416" t="s">
        <v>529</v>
      </c>
      <c r="G1416" t="s">
        <v>575</v>
      </c>
      <c r="H1416">
        <v>0</v>
      </c>
      <c r="I1416">
        <v>0</v>
      </c>
    </row>
    <row r="1417" spans="1:9" x14ac:dyDescent="0.2">
      <c r="A1417" t="s">
        <v>275</v>
      </c>
      <c r="B1417" t="s">
        <v>344</v>
      </c>
      <c r="C1417" t="s">
        <v>478</v>
      </c>
      <c r="D1417" t="s">
        <v>505</v>
      </c>
      <c r="E1417" t="s">
        <v>477</v>
      </c>
      <c r="F1417" t="s">
        <v>530</v>
      </c>
      <c r="G1417" t="s">
        <v>575</v>
      </c>
      <c r="H1417">
        <v>0</v>
      </c>
      <c r="I1417">
        <v>0</v>
      </c>
    </row>
    <row r="1418" spans="1:9" x14ac:dyDescent="0.2">
      <c r="A1418" t="s">
        <v>275</v>
      </c>
      <c r="B1418" t="s">
        <v>345</v>
      </c>
      <c r="C1418" t="s">
        <v>478</v>
      </c>
      <c r="D1418" t="s">
        <v>505</v>
      </c>
      <c r="E1418" t="s">
        <v>477</v>
      </c>
      <c r="F1418" t="s">
        <v>530</v>
      </c>
      <c r="G1418" t="s">
        <v>575</v>
      </c>
      <c r="H1418">
        <v>0</v>
      </c>
      <c r="I1418">
        <v>0</v>
      </c>
    </row>
    <row r="1419" spans="1:9" x14ac:dyDescent="0.2">
      <c r="A1419" t="s">
        <v>275</v>
      </c>
      <c r="B1419" t="s">
        <v>346</v>
      </c>
      <c r="C1419" t="s">
        <v>478</v>
      </c>
      <c r="D1419" t="s">
        <v>505</v>
      </c>
      <c r="E1419" t="s">
        <v>477</v>
      </c>
      <c r="F1419" t="s">
        <v>530</v>
      </c>
      <c r="G1419" t="s">
        <v>575</v>
      </c>
      <c r="H1419">
        <v>0</v>
      </c>
      <c r="I1419">
        <v>0</v>
      </c>
    </row>
    <row r="1420" spans="1:9" x14ac:dyDescent="0.2">
      <c r="A1420" t="s">
        <v>275</v>
      </c>
      <c r="B1420" t="s">
        <v>347</v>
      </c>
      <c r="C1420" t="s">
        <v>478</v>
      </c>
      <c r="D1420" t="s">
        <v>505</v>
      </c>
      <c r="E1420" t="s">
        <v>477</v>
      </c>
      <c r="F1420" t="s">
        <v>530</v>
      </c>
      <c r="G1420" t="s">
        <v>575</v>
      </c>
      <c r="H1420">
        <v>0</v>
      </c>
      <c r="I1420">
        <v>0</v>
      </c>
    </row>
    <row r="1421" spans="1:9" x14ac:dyDescent="0.2">
      <c r="A1421" t="s">
        <v>275</v>
      </c>
      <c r="B1421" t="s">
        <v>348</v>
      </c>
      <c r="C1421" t="s">
        <v>478</v>
      </c>
      <c r="D1421" t="s">
        <v>505</v>
      </c>
      <c r="E1421" t="s">
        <v>477</v>
      </c>
      <c r="F1421" t="s">
        <v>530</v>
      </c>
      <c r="G1421" t="s">
        <v>575</v>
      </c>
      <c r="H1421">
        <v>0</v>
      </c>
      <c r="I1421">
        <v>0</v>
      </c>
    </row>
    <row r="1422" spans="1:9" x14ac:dyDescent="0.2">
      <c r="A1422" t="s">
        <v>275</v>
      </c>
      <c r="B1422" t="s">
        <v>349</v>
      </c>
      <c r="C1422" t="s">
        <v>478</v>
      </c>
      <c r="D1422" t="s">
        <v>505</v>
      </c>
      <c r="E1422" t="s">
        <v>477</v>
      </c>
      <c r="F1422" t="s">
        <v>530</v>
      </c>
      <c r="G1422" t="s">
        <v>575</v>
      </c>
      <c r="H1422">
        <v>0</v>
      </c>
      <c r="I1422">
        <v>0</v>
      </c>
    </row>
    <row r="1423" spans="1:9" x14ac:dyDescent="0.2">
      <c r="A1423" t="s">
        <v>275</v>
      </c>
      <c r="B1423" t="s">
        <v>350</v>
      </c>
      <c r="C1423" t="s">
        <v>478</v>
      </c>
      <c r="D1423" t="s">
        <v>505</v>
      </c>
      <c r="E1423" t="s">
        <v>477</v>
      </c>
      <c r="F1423" t="s">
        <v>530</v>
      </c>
      <c r="G1423" t="s">
        <v>575</v>
      </c>
      <c r="H1423">
        <v>0</v>
      </c>
      <c r="I1423">
        <v>0</v>
      </c>
    </row>
    <row r="1424" spans="1:9" x14ac:dyDescent="0.2">
      <c r="A1424" t="s">
        <v>275</v>
      </c>
      <c r="B1424" t="s">
        <v>351</v>
      </c>
      <c r="C1424" t="s">
        <v>478</v>
      </c>
      <c r="D1424" t="s">
        <v>505</v>
      </c>
      <c r="E1424" t="s">
        <v>477</v>
      </c>
      <c r="F1424" t="s">
        <v>530</v>
      </c>
      <c r="G1424" t="s">
        <v>575</v>
      </c>
      <c r="H1424">
        <v>0</v>
      </c>
      <c r="I1424">
        <v>0</v>
      </c>
    </row>
    <row r="1425" spans="1:9" x14ac:dyDescent="0.2">
      <c r="A1425" t="s">
        <v>275</v>
      </c>
      <c r="B1425" t="s">
        <v>352</v>
      </c>
      <c r="C1425" t="s">
        <v>478</v>
      </c>
      <c r="D1425" t="s">
        <v>505</v>
      </c>
      <c r="E1425" t="s">
        <v>477</v>
      </c>
      <c r="F1425" t="s">
        <v>530</v>
      </c>
      <c r="G1425" t="s">
        <v>575</v>
      </c>
      <c r="H1425">
        <v>0</v>
      </c>
      <c r="I1425">
        <v>0</v>
      </c>
    </row>
    <row r="1426" spans="1:9" x14ac:dyDescent="0.2">
      <c r="A1426" t="s">
        <v>264</v>
      </c>
      <c r="B1426" t="s">
        <v>353</v>
      </c>
      <c r="C1426" t="s">
        <v>478</v>
      </c>
      <c r="D1426" t="s">
        <v>505</v>
      </c>
      <c r="E1426" t="s">
        <v>477</v>
      </c>
      <c r="F1426" t="s">
        <v>516</v>
      </c>
      <c r="G1426" t="s">
        <v>575</v>
      </c>
      <c r="H1426">
        <v>0</v>
      </c>
      <c r="I1426">
        <v>0</v>
      </c>
    </row>
    <row r="1427" spans="1:9" x14ac:dyDescent="0.2">
      <c r="A1427" t="s">
        <v>276</v>
      </c>
      <c r="B1427" t="s">
        <v>354</v>
      </c>
      <c r="C1427" t="s">
        <v>484</v>
      </c>
      <c r="D1427" t="s">
        <v>511</v>
      </c>
      <c r="E1427" t="s">
        <v>484</v>
      </c>
      <c r="F1427" t="s">
        <v>531</v>
      </c>
      <c r="G1427" t="s">
        <v>575</v>
      </c>
      <c r="H1427">
        <v>0</v>
      </c>
      <c r="I1427">
        <v>0</v>
      </c>
    </row>
    <row r="1428" spans="1:9" x14ac:dyDescent="0.2">
      <c r="A1428" t="s">
        <v>275</v>
      </c>
      <c r="B1428" t="s">
        <v>355</v>
      </c>
      <c r="C1428" t="s">
        <v>478</v>
      </c>
      <c r="D1428" t="s">
        <v>505</v>
      </c>
      <c r="E1428" t="s">
        <v>477</v>
      </c>
      <c r="F1428" t="s">
        <v>530</v>
      </c>
      <c r="G1428" t="s">
        <v>575</v>
      </c>
      <c r="H1428">
        <v>0</v>
      </c>
      <c r="I1428">
        <v>0</v>
      </c>
    </row>
    <row r="1429" spans="1:9" x14ac:dyDescent="0.2">
      <c r="A1429" t="s">
        <v>275</v>
      </c>
      <c r="B1429" t="s">
        <v>356</v>
      </c>
      <c r="C1429" t="s">
        <v>478</v>
      </c>
      <c r="D1429" t="s">
        <v>505</v>
      </c>
      <c r="E1429" t="s">
        <v>477</v>
      </c>
      <c r="F1429" t="s">
        <v>530</v>
      </c>
      <c r="G1429" t="s">
        <v>575</v>
      </c>
      <c r="H1429">
        <v>0</v>
      </c>
      <c r="I1429">
        <v>0</v>
      </c>
    </row>
    <row r="1430" spans="1:9" x14ac:dyDescent="0.2">
      <c r="A1430" t="s">
        <v>275</v>
      </c>
      <c r="B1430" t="s">
        <v>357</v>
      </c>
      <c r="C1430" t="s">
        <v>478</v>
      </c>
      <c r="D1430" t="s">
        <v>505</v>
      </c>
      <c r="E1430" t="s">
        <v>477</v>
      </c>
      <c r="F1430" t="s">
        <v>530</v>
      </c>
      <c r="G1430" t="s">
        <v>575</v>
      </c>
      <c r="H1430">
        <v>0</v>
      </c>
      <c r="I1430">
        <v>0</v>
      </c>
    </row>
    <row r="1431" spans="1:9" x14ac:dyDescent="0.2">
      <c r="A1431" t="s">
        <v>275</v>
      </c>
      <c r="B1431" t="s">
        <v>358</v>
      </c>
      <c r="C1431" t="s">
        <v>478</v>
      </c>
      <c r="D1431" t="s">
        <v>505</v>
      </c>
      <c r="E1431" t="s">
        <v>477</v>
      </c>
      <c r="F1431" t="s">
        <v>530</v>
      </c>
      <c r="G1431" t="s">
        <v>575</v>
      </c>
      <c r="H1431">
        <v>0</v>
      </c>
      <c r="I1431">
        <v>0</v>
      </c>
    </row>
    <row r="1432" spans="1:9" x14ac:dyDescent="0.2">
      <c r="A1432" t="s">
        <v>275</v>
      </c>
      <c r="B1432" t="s">
        <v>359</v>
      </c>
      <c r="C1432" t="s">
        <v>478</v>
      </c>
      <c r="D1432" t="s">
        <v>505</v>
      </c>
      <c r="E1432" t="s">
        <v>477</v>
      </c>
      <c r="F1432" t="s">
        <v>530</v>
      </c>
      <c r="G1432" t="s">
        <v>575</v>
      </c>
      <c r="H1432">
        <v>0</v>
      </c>
      <c r="I1432">
        <v>0</v>
      </c>
    </row>
    <row r="1433" spans="1:9" x14ac:dyDescent="0.2">
      <c r="A1433" t="s">
        <v>275</v>
      </c>
      <c r="B1433" t="s">
        <v>360</v>
      </c>
      <c r="C1433" t="s">
        <v>478</v>
      </c>
      <c r="D1433" t="s">
        <v>505</v>
      </c>
      <c r="E1433" t="s">
        <v>477</v>
      </c>
      <c r="F1433" t="s">
        <v>530</v>
      </c>
      <c r="G1433" t="s">
        <v>575</v>
      </c>
      <c r="H1433">
        <v>0</v>
      </c>
      <c r="I1433">
        <v>0</v>
      </c>
    </row>
    <row r="1434" spans="1:9" x14ac:dyDescent="0.2">
      <c r="A1434" t="s">
        <v>264</v>
      </c>
      <c r="B1434" t="s">
        <v>361</v>
      </c>
      <c r="C1434" t="s">
        <v>478</v>
      </c>
      <c r="D1434" t="s">
        <v>505</v>
      </c>
      <c r="E1434" t="s">
        <v>477</v>
      </c>
      <c r="F1434" t="s">
        <v>516</v>
      </c>
      <c r="G1434" t="s">
        <v>575</v>
      </c>
      <c r="H1434">
        <v>0</v>
      </c>
      <c r="I1434">
        <v>0</v>
      </c>
    </row>
    <row r="1435" spans="1:9" x14ac:dyDescent="0.2">
      <c r="A1435" t="s">
        <v>265</v>
      </c>
      <c r="B1435" t="s">
        <v>362</v>
      </c>
      <c r="C1435" t="s">
        <v>478</v>
      </c>
      <c r="D1435" t="s">
        <v>505</v>
      </c>
      <c r="E1435" t="s">
        <v>491</v>
      </c>
      <c r="F1435" t="s">
        <v>532</v>
      </c>
      <c r="G1435" t="s">
        <v>570</v>
      </c>
      <c r="H1435">
        <v>0</v>
      </c>
      <c r="I1435">
        <v>0</v>
      </c>
    </row>
    <row r="1436" spans="1:9" x14ac:dyDescent="0.2">
      <c r="A1436" t="s">
        <v>277</v>
      </c>
      <c r="B1436" t="s">
        <v>363</v>
      </c>
      <c r="C1436" t="s">
        <v>485</v>
      </c>
      <c r="D1436" t="s">
        <v>512</v>
      </c>
      <c r="E1436" t="s">
        <v>485</v>
      </c>
      <c r="F1436" t="s">
        <v>525</v>
      </c>
      <c r="G1436" t="s">
        <v>571</v>
      </c>
      <c r="H1436">
        <v>0</v>
      </c>
      <c r="I1436">
        <v>0</v>
      </c>
    </row>
    <row r="1437" spans="1:9" x14ac:dyDescent="0.2">
      <c r="A1437" t="s">
        <v>267</v>
      </c>
      <c r="B1437" t="s">
        <v>364</v>
      </c>
      <c r="C1437" t="s">
        <v>480</v>
      </c>
      <c r="D1437" t="s">
        <v>507</v>
      </c>
      <c r="E1437" t="s">
        <v>480</v>
      </c>
      <c r="F1437" t="s">
        <v>533</v>
      </c>
      <c r="G1437" t="s">
        <v>572</v>
      </c>
      <c r="H1437">
        <v>0</v>
      </c>
      <c r="I1437">
        <v>0</v>
      </c>
    </row>
    <row r="1438" spans="1:9" x14ac:dyDescent="0.2">
      <c r="A1438" t="s">
        <v>278</v>
      </c>
      <c r="B1438" t="s">
        <v>365</v>
      </c>
      <c r="C1438" t="s">
        <v>486</v>
      </c>
      <c r="D1438" t="s">
        <v>513</v>
      </c>
      <c r="E1438" t="s">
        <v>486</v>
      </c>
      <c r="F1438" t="s">
        <v>534</v>
      </c>
      <c r="G1438" t="s">
        <v>573</v>
      </c>
      <c r="H1438">
        <v>0</v>
      </c>
      <c r="I1438">
        <v>0</v>
      </c>
    </row>
    <row r="1439" spans="1:9" x14ac:dyDescent="0.2">
      <c r="A1439" t="s">
        <v>278</v>
      </c>
      <c r="B1439" t="s">
        <v>366</v>
      </c>
      <c r="C1439" t="s">
        <v>486</v>
      </c>
      <c r="D1439" t="s">
        <v>513</v>
      </c>
      <c r="E1439" t="s">
        <v>486</v>
      </c>
      <c r="F1439" t="s">
        <v>534</v>
      </c>
      <c r="G1439" t="s">
        <v>573</v>
      </c>
      <c r="H1439">
        <v>0</v>
      </c>
      <c r="I1439">
        <v>0</v>
      </c>
    </row>
    <row r="1440" spans="1:9" x14ac:dyDescent="0.2">
      <c r="A1440" t="s">
        <v>279</v>
      </c>
      <c r="B1440" t="s">
        <v>367</v>
      </c>
      <c r="C1440" t="s">
        <v>487</v>
      </c>
      <c r="D1440" t="s">
        <v>514</v>
      </c>
      <c r="E1440" t="s">
        <v>487</v>
      </c>
      <c r="F1440" t="s">
        <v>535</v>
      </c>
      <c r="G1440" t="s">
        <v>573</v>
      </c>
      <c r="H1440">
        <v>0</v>
      </c>
      <c r="I1440">
        <v>0</v>
      </c>
    </row>
    <row r="1441" spans="1:9" x14ac:dyDescent="0.2">
      <c r="A1441" t="s">
        <v>279</v>
      </c>
      <c r="B1441" t="s">
        <v>368</v>
      </c>
      <c r="C1441" t="s">
        <v>487</v>
      </c>
      <c r="D1441" t="s">
        <v>514</v>
      </c>
      <c r="E1441" t="s">
        <v>487</v>
      </c>
      <c r="F1441" t="s">
        <v>527</v>
      </c>
      <c r="G1441" t="s">
        <v>573</v>
      </c>
      <c r="H1441">
        <v>0</v>
      </c>
      <c r="I1441">
        <v>0</v>
      </c>
    </row>
    <row r="1442" spans="1:9" x14ac:dyDescent="0.2">
      <c r="A1442" t="s">
        <v>280</v>
      </c>
      <c r="B1442" t="s">
        <v>369</v>
      </c>
      <c r="C1442" t="s">
        <v>482</v>
      </c>
      <c r="D1442">
        <v>0</v>
      </c>
      <c r="E1442" t="s">
        <v>482</v>
      </c>
      <c r="F1442" t="s">
        <v>526</v>
      </c>
      <c r="G1442" t="s">
        <v>572</v>
      </c>
      <c r="H1442">
        <v>0</v>
      </c>
      <c r="I1442">
        <v>0</v>
      </c>
    </row>
    <row r="1443" spans="1:9" x14ac:dyDescent="0.2">
      <c r="A1443" t="s">
        <v>280</v>
      </c>
      <c r="B1443" t="s">
        <v>370</v>
      </c>
      <c r="C1443" t="s">
        <v>482</v>
      </c>
      <c r="D1443">
        <v>0</v>
      </c>
      <c r="E1443" t="s">
        <v>482</v>
      </c>
      <c r="F1443" t="s">
        <v>527</v>
      </c>
      <c r="G1443" t="s">
        <v>572</v>
      </c>
      <c r="H1443">
        <v>0</v>
      </c>
      <c r="I1443">
        <v>0</v>
      </c>
    </row>
    <row r="1444" spans="1:9" x14ac:dyDescent="0.2">
      <c r="A1444" t="s">
        <v>272</v>
      </c>
      <c r="B1444" t="s">
        <v>371</v>
      </c>
      <c r="C1444" t="s">
        <v>482</v>
      </c>
      <c r="D1444">
        <v>0</v>
      </c>
      <c r="E1444" t="s">
        <v>482</v>
      </c>
      <c r="F1444" t="s">
        <v>527</v>
      </c>
      <c r="G1444" t="s">
        <v>572</v>
      </c>
      <c r="H1444">
        <v>0</v>
      </c>
      <c r="I1444">
        <v>0</v>
      </c>
    </row>
    <row r="1445" spans="1:9" x14ac:dyDescent="0.2">
      <c r="A1445" t="s">
        <v>272</v>
      </c>
      <c r="B1445" t="s">
        <v>372</v>
      </c>
      <c r="C1445" t="s">
        <v>488</v>
      </c>
      <c r="D1445">
        <v>0</v>
      </c>
      <c r="E1445" t="s">
        <v>488</v>
      </c>
      <c r="F1445" t="s">
        <v>528</v>
      </c>
      <c r="G1445" t="s">
        <v>572</v>
      </c>
      <c r="H1445">
        <v>0</v>
      </c>
      <c r="I1445">
        <v>0</v>
      </c>
    </row>
    <row r="1446" spans="1:9" x14ac:dyDescent="0.2">
      <c r="A1446" t="s">
        <v>281</v>
      </c>
      <c r="B1446" t="s">
        <v>373</v>
      </c>
      <c r="C1446" t="s">
        <v>482</v>
      </c>
      <c r="D1446">
        <v>0</v>
      </c>
      <c r="E1446" t="s">
        <v>482</v>
      </c>
      <c r="F1446" t="s">
        <v>527</v>
      </c>
      <c r="G1446" t="s">
        <v>572</v>
      </c>
      <c r="H1446">
        <v>0</v>
      </c>
      <c r="I1446">
        <v>0</v>
      </c>
    </row>
    <row r="1447" spans="1:9" x14ac:dyDescent="0.2">
      <c r="A1447" t="s">
        <v>273</v>
      </c>
      <c r="B1447" t="s">
        <v>374</v>
      </c>
      <c r="C1447" t="s">
        <v>481</v>
      </c>
      <c r="D1447">
        <v>0</v>
      </c>
      <c r="E1447" t="s">
        <v>481</v>
      </c>
      <c r="F1447" t="s">
        <v>526</v>
      </c>
      <c r="G1447" t="s">
        <v>572</v>
      </c>
      <c r="H1447">
        <v>0</v>
      </c>
      <c r="I1447">
        <v>0</v>
      </c>
    </row>
    <row r="1448" spans="1:9" x14ac:dyDescent="0.2">
      <c r="A1448" t="s">
        <v>282</v>
      </c>
      <c r="B1448" t="s">
        <v>375</v>
      </c>
      <c r="C1448" t="s">
        <v>489</v>
      </c>
      <c r="D1448">
        <v>0</v>
      </c>
      <c r="E1448" t="s">
        <v>489</v>
      </c>
      <c r="F1448" t="s">
        <v>526</v>
      </c>
      <c r="G1448" t="s">
        <v>572</v>
      </c>
      <c r="H1448">
        <v>0</v>
      </c>
      <c r="I1448">
        <v>0</v>
      </c>
    </row>
    <row r="1449" spans="1:9" x14ac:dyDescent="0.2">
      <c r="A1449" t="s">
        <v>283</v>
      </c>
      <c r="B1449" t="s">
        <v>376</v>
      </c>
      <c r="C1449" t="s">
        <v>490</v>
      </c>
      <c r="D1449">
        <v>0</v>
      </c>
      <c r="E1449" t="s">
        <v>478</v>
      </c>
      <c r="F1449" t="s">
        <v>536</v>
      </c>
      <c r="G1449" t="s">
        <v>575</v>
      </c>
      <c r="H1449">
        <v>0</v>
      </c>
      <c r="I1449">
        <v>0</v>
      </c>
    </row>
    <row r="1450" spans="1:9" x14ac:dyDescent="0.2">
      <c r="A1450" t="s">
        <v>275</v>
      </c>
      <c r="B1450" t="s">
        <v>377</v>
      </c>
      <c r="C1450" t="s">
        <v>478</v>
      </c>
      <c r="D1450">
        <v>0</v>
      </c>
      <c r="E1450" t="s">
        <v>477</v>
      </c>
      <c r="F1450" t="s">
        <v>537</v>
      </c>
      <c r="G1450" t="s">
        <v>575</v>
      </c>
      <c r="H1450">
        <v>0</v>
      </c>
      <c r="I1450">
        <v>0</v>
      </c>
    </row>
    <row r="1451" spans="1:9" x14ac:dyDescent="0.2">
      <c r="A1451" t="s">
        <v>275</v>
      </c>
      <c r="B1451" t="s">
        <v>378</v>
      </c>
      <c r="C1451" t="s">
        <v>478</v>
      </c>
      <c r="D1451">
        <v>0</v>
      </c>
      <c r="E1451" t="s">
        <v>477</v>
      </c>
      <c r="F1451" t="s">
        <v>538</v>
      </c>
      <c r="G1451" t="s">
        <v>575</v>
      </c>
      <c r="H1451">
        <v>0</v>
      </c>
      <c r="I1451">
        <v>0</v>
      </c>
    </row>
    <row r="1452" spans="1:9" x14ac:dyDescent="0.2">
      <c r="A1452" t="s">
        <v>275</v>
      </c>
      <c r="B1452" t="s">
        <v>379</v>
      </c>
      <c r="C1452" t="s">
        <v>478</v>
      </c>
      <c r="D1452">
        <v>0</v>
      </c>
      <c r="E1452" t="s">
        <v>477</v>
      </c>
      <c r="F1452" t="s">
        <v>538</v>
      </c>
      <c r="G1452" t="s">
        <v>575</v>
      </c>
      <c r="H1452">
        <v>0</v>
      </c>
      <c r="I1452">
        <v>0</v>
      </c>
    </row>
    <row r="1453" spans="1:9" x14ac:dyDescent="0.2">
      <c r="A1453" t="s">
        <v>275</v>
      </c>
      <c r="B1453" t="s">
        <v>380</v>
      </c>
      <c r="C1453" t="s">
        <v>478</v>
      </c>
      <c r="D1453">
        <v>0</v>
      </c>
      <c r="E1453" t="s">
        <v>477</v>
      </c>
      <c r="F1453" t="s">
        <v>530</v>
      </c>
      <c r="G1453" t="s">
        <v>575</v>
      </c>
      <c r="H1453">
        <v>0</v>
      </c>
      <c r="I1453">
        <v>0</v>
      </c>
    </row>
    <row r="1454" spans="1:9" x14ac:dyDescent="0.2">
      <c r="A1454" t="s">
        <v>275</v>
      </c>
      <c r="B1454" t="s">
        <v>381</v>
      </c>
      <c r="C1454" t="s">
        <v>478</v>
      </c>
      <c r="D1454">
        <v>0</v>
      </c>
      <c r="E1454" t="s">
        <v>477</v>
      </c>
      <c r="F1454" t="s">
        <v>530</v>
      </c>
      <c r="G1454" t="s">
        <v>575</v>
      </c>
      <c r="H1454">
        <v>0</v>
      </c>
      <c r="I1454">
        <v>0</v>
      </c>
    </row>
    <row r="1455" spans="1:9" x14ac:dyDescent="0.2">
      <c r="A1455" t="s">
        <v>275</v>
      </c>
      <c r="B1455" t="s">
        <v>382</v>
      </c>
      <c r="C1455" t="s">
        <v>478</v>
      </c>
      <c r="D1455">
        <v>0</v>
      </c>
      <c r="E1455" t="s">
        <v>477</v>
      </c>
      <c r="F1455" t="s">
        <v>530</v>
      </c>
      <c r="G1455" t="s">
        <v>575</v>
      </c>
      <c r="H1455">
        <v>0</v>
      </c>
      <c r="I1455">
        <v>0</v>
      </c>
    </row>
    <row r="1456" spans="1:9" x14ac:dyDescent="0.2">
      <c r="A1456" t="s">
        <v>275</v>
      </c>
      <c r="B1456" t="s">
        <v>383</v>
      </c>
      <c r="C1456" t="s">
        <v>478</v>
      </c>
      <c r="D1456">
        <v>0</v>
      </c>
      <c r="E1456" t="s">
        <v>477</v>
      </c>
      <c r="F1456" t="s">
        <v>530</v>
      </c>
      <c r="G1456" t="s">
        <v>575</v>
      </c>
      <c r="H1456">
        <v>0</v>
      </c>
      <c r="I1456">
        <v>0</v>
      </c>
    </row>
    <row r="1457" spans="1:9" x14ac:dyDescent="0.2">
      <c r="A1457" t="s">
        <v>264</v>
      </c>
      <c r="B1457" t="s">
        <v>384</v>
      </c>
      <c r="C1457" t="s">
        <v>478</v>
      </c>
      <c r="D1457">
        <v>0</v>
      </c>
      <c r="E1457" t="s">
        <v>477</v>
      </c>
      <c r="F1457" t="s">
        <v>516</v>
      </c>
      <c r="G1457" t="s">
        <v>575</v>
      </c>
      <c r="H1457">
        <v>0</v>
      </c>
      <c r="I1457">
        <v>0</v>
      </c>
    </row>
    <row r="1458" spans="1:9" x14ac:dyDescent="0.2">
      <c r="A1458" t="s">
        <v>284</v>
      </c>
      <c r="B1458" t="s">
        <v>385</v>
      </c>
      <c r="C1458" t="s">
        <v>477</v>
      </c>
      <c r="D1458">
        <v>0</v>
      </c>
      <c r="E1458" t="s">
        <v>477</v>
      </c>
      <c r="F1458" t="s">
        <v>539</v>
      </c>
      <c r="G1458" t="s">
        <v>570</v>
      </c>
      <c r="H1458">
        <v>0</v>
      </c>
      <c r="I1458">
        <v>0</v>
      </c>
    </row>
    <row r="1459" spans="1:9" x14ac:dyDescent="0.2">
      <c r="A1459" t="s">
        <v>285</v>
      </c>
      <c r="B1459" t="s">
        <v>386</v>
      </c>
      <c r="C1459" t="s">
        <v>477</v>
      </c>
      <c r="D1459">
        <v>0</v>
      </c>
      <c r="E1459" t="s">
        <v>477</v>
      </c>
      <c r="F1459" t="s">
        <v>531</v>
      </c>
      <c r="G1459" t="s">
        <v>570</v>
      </c>
      <c r="H1459">
        <v>0</v>
      </c>
      <c r="I1459">
        <v>0</v>
      </c>
    </row>
    <row r="1460" spans="1:9" x14ac:dyDescent="0.2">
      <c r="A1460" t="s">
        <v>286</v>
      </c>
      <c r="B1460" t="s">
        <v>387</v>
      </c>
      <c r="C1460" t="s">
        <v>486</v>
      </c>
      <c r="D1460">
        <v>0</v>
      </c>
      <c r="E1460" t="s">
        <v>486</v>
      </c>
      <c r="F1460" t="s">
        <v>540</v>
      </c>
      <c r="G1460" t="s">
        <v>572</v>
      </c>
      <c r="H1460">
        <v>0</v>
      </c>
      <c r="I1460">
        <v>0</v>
      </c>
    </row>
    <row r="1461" spans="1:9" x14ac:dyDescent="0.2">
      <c r="A1461" t="s">
        <v>286</v>
      </c>
      <c r="B1461" t="s">
        <v>388</v>
      </c>
      <c r="C1461" t="s">
        <v>491</v>
      </c>
      <c r="D1461">
        <v>0</v>
      </c>
      <c r="E1461" t="s">
        <v>491</v>
      </c>
      <c r="F1461" t="s">
        <v>524</v>
      </c>
      <c r="G1461" t="s">
        <v>573</v>
      </c>
      <c r="H1461">
        <v>0</v>
      </c>
      <c r="I1461">
        <v>0</v>
      </c>
    </row>
    <row r="1462" spans="1:9" x14ac:dyDescent="0.2">
      <c r="A1462" t="s">
        <v>286</v>
      </c>
      <c r="B1462" t="s">
        <v>389</v>
      </c>
      <c r="C1462" t="s">
        <v>491</v>
      </c>
      <c r="D1462">
        <v>0</v>
      </c>
      <c r="E1462" t="s">
        <v>491</v>
      </c>
      <c r="F1462" t="s">
        <v>524</v>
      </c>
      <c r="G1462" t="s">
        <v>573</v>
      </c>
      <c r="H1462">
        <v>0</v>
      </c>
      <c r="I1462">
        <v>0</v>
      </c>
    </row>
    <row r="1463" spans="1:9" x14ac:dyDescent="0.2">
      <c r="A1463" t="s">
        <v>286</v>
      </c>
      <c r="B1463" t="s">
        <v>390</v>
      </c>
      <c r="C1463" t="s">
        <v>491</v>
      </c>
      <c r="D1463">
        <v>0</v>
      </c>
      <c r="E1463" t="s">
        <v>491</v>
      </c>
      <c r="F1463" t="s">
        <v>524</v>
      </c>
      <c r="G1463" t="s">
        <v>573</v>
      </c>
      <c r="H1463">
        <v>0</v>
      </c>
      <c r="I1463">
        <v>0</v>
      </c>
    </row>
    <row r="1464" spans="1:9" x14ac:dyDescent="0.2">
      <c r="A1464" t="s">
        <v>286</v>
      </c>
      <c r="B1464" t="s">
        <v>391</v>
      </c>
      <c r="C1464" t="s">
        <v>491</v>
      </c>
      <c r="D1464">
        <v>0</v>
      </c>
      <c r="E1464" t="s">
        <v>491</v>
      </c>
      <c r="F1464" t="s">
        <v>524</v>
      </c>
      <c r="G1464" t="s">
        <v>573</v>
      </c>
      <c r="H1464">
        <v>0</v>
      </c>
      <c r="I1464">
        <v>0</v>
      </c>
    </row>
    <row r="1465" spans="1:9" x14ac:dyDescent="0.2">
      <c r="A1465" t="s">
        <v>286</v>
      </c>
      <c r="B1465" t="s">
        <v>392</v>
      </c>
      <c r="C1465" t="s">
        <v>491</v>
      </c>
      <c r="D1465">
        <v>0</v>
      </c>
      <c r="E1465" t="s">
        <v>491</v>
      </c>
      <c r="F1465" t="s">
        <v>524</v>
      </c>
      <c r="G1465" t="s">
        <v>573</v>
      </c>
      <c r="H1465">
        <v>0</v>
      </c>
      <c r="I1465">
        <v>0</v>
      </c>
    </row>
    <row r="1466" spans="1:9" x14ac:dyDescent="0.2">
      <c r="A1466" t="s">
        <v>286</v>
      </c>
      <c r="B1466" t="s">
        <v>393</v>
      </c>
      <c r="C1466" t="s">
        <v>491</v>
      </c>
      <c r="D1466">
        <v>0</v>
      </c>
      <c r="E1466" t="s">
        <v>491</v>
      </c>
      <c r="F1466" t="s">
        <v>524</v>
      </c>
      <c r="G1466" t="s">
        <v>573</v>
      </c>
      <c r="H1466">
        <v>0</v>
      </c>
      <c r="I1466">
        <v>0</v>
      </c>
    </row>
    <row r="1467" spans="1:9" x14ac:dyDescent="0.2">
      <c r="A1467" t="s">
        <v>286</v>
      </c>
      <c r="B1467" t="s">
        <v>394</v>
      </c>
      <c r="C1467" t="s">
        <v>491</v>
      </c>
      <c r="D1467">
        <v>0</v>
      </c>
      <c r="E1467" t="s">
        <v>491</v>
      </c>
      <c r="F1467" t="s">
        <v>524</v>
      </c>
      <c r="G1467" t="s">
        <v>573</v>
      </c>
      <c r="H1467">
        <v>0</v>
      </c>
      <c r="I1467">
        <v>0</v>
      </c>
    </row>
    <row r="1468" spans="1:9" x14ac:dyDescent="0.2">
      <c r="A1468" t="s">
        <v>286</v>
      </c>
      <c r="B1468" t="s">
        <v>394</v>
      </c>
      <c r="C1468" t="s">
        <v>491</v>
      </c>
      <c r="D1468">
        <v>0</v>
      </c>
      <c r="E1468" t="s">
        <v>491</v>
      </c>
      <c r="F1468" t="s">
        <v>524</v>
      </c>
      <c r="G1468" t="s">
        <v>573</v>
      </c>
      <c r="H1468">
        <v>0</v>
      </c>
      <c r="I1468">
        <v>0</v>
      </c>
    </row>
    <row r="1469" spans="1:9" x14ac:dyDescent="0.2">
      <c r="A1469" t="s">
        <v>286</v>
      </c>
      <c r="B1469" t="s">
        <v>395</v>
      </c>
      <c r="C1469" t="s">
        <v>491</v>
      </c>
      <c r="D1469">
        <v>0</v>
      </c>
      <c r="E1469" t="s">
        <v>491</v>
      </c>
      <c r="F1469" t="s">
        <v>524</v>
      </c>
      <c r="G1469" t="s">
        <v>573</v>
      </c>
      <c r="H1469">
        <v>0</v>
      </c>
      <c r="I1469">
        <v>0</v>
      </c>
    </row>
    <row r="1470" spans="1:9" x14ac:dyDescent="0.2">
      <c r="A1470" t="s">
        <v>286</v>
      </c>
      <c r="B1470" t="s">
        <v>396</v>
      </c>
      <c r="C1470" t="s">
        <v>486</v>
      </c>
      <c r="D1470">
        <v>0</v>
      </c>
      <c r="E1470" t="s">
        <v>486</v>
      </c>
      <c r="F1470" t="s">
        <v>541</v>
      </c>
      <c r="G1470" t="s">
        <v>573</v>
      </c>
      <c r="H1470">
        <v>0</v>
      </c>
      <c r="I1470">
        <v>0</v>
      </c>
    </row>
    <row r="1471" spans="1:9" x14ac:dyDescent="0.2">
      <c r="A1471" t="s">
        <v>286</v>
      </c>
      <c r="B1471" t="s">
        <v>397</v>
      </c>
      <c r="C1471" t="s">
        <v>486</v>
      </c>
      <c r="D1471">
        <v>0</v>
      </c>
      <c r="E1471" t="s">
        <v>486</v>
      </c>
      <c r="F1471" t="s">
        <v>541</v>
      </c>
      <c r="G1471" t="s">
        <v>573</v>
      </c>
      <c r="H1471">
        <v>0</v>
      </c>
      <c r="I1471">
        <v>0</v>
      </c>
    </row>
    <row r="1472" spans="1:9" x14ac:dyDescent="0.2">
      <c r="A1472" t="s">
        <v>286</v>
      </c>
      <c r="B1472" t="s">
        <v>398</v>
      </c>
      <c r="C1472" t="s">
        <v>486</v>
      </c>
      <c r="D1472">
        <v>0</v>
      </c>
      <c r="E1472" t="s">
        <v>486</v>
      </c>
      <c r="F1472" t="s">
        <v>541</v>
      </c>
      <c r="G1472" t="s">
        <v>573</v>
      </c>
      <c r="H1472">
        <v>0</v>
      </c>
      <c r="I1472">
        <v>0</v>
      </c>
    </row>
    <row r="1473" spans="1:9" x14ac:dyDescent="0.2">
      <c r="A1473" t="s">
        <v>287</v>
      </c>
      <c r="B1473" t="s">
        <v>399</v>
      </c>
      <c r="C1473" t="s">
        <v>477</v>
      </c>
      <c r="D1473">
        <v>0</v>
      </c>
      <c r="E1473" t="s">
        <v>477</v>
      </c>
      <c r="F1473" t="s">
        <v>542</v>
      </c>
      <c r="G1473" t="s">
        <v>573</v>
      </c>
      <c r="H1473">
        <v>0</v>
      </c>
      <c r="I1473">
        <v>0</v>
      </c>
    </row>
    <row r="1474" spans="1:9" x14ac:dyDescent="0.2">
      <c r="A1474" t="s">
        <v>288</v>
      </c>
      <c r="B1474" t="s">
        <v>400</v>
      </c>
      <c r="C1474" t="s">
        <v>477</v>
      </c>
      <c r="D1474">
        <v>0</v>
      </c>
      <c r="E1474" t="s">
        <v>477</v>
      </c>
      <c r="F1474" t="s">
        <v>543</v>
      </c>
      <c r="G1474" t="s">
        <v>573</v>
      </c>
      <c r="H1474">
        <v>0</v>
      </c>
      <c r="I1474">
        <v>0</v>
      </c>
    </row>
    <row r="1475" spans="1:9" x14ac:dyDescent="0.2">
      <c r="A1475" t="s">
        <v>285</v>
      </c>
      <c r="B1475" t="s">
        <v>401</v>
      </c>
      <c r="C1475" t="s">
        <v>477</v>
      </c>
      <c r="D1475">
        <v>0</v>
      </c>
      <c r="E1475" t="s">
        <v>477</v>
      </c>
      <c r="F1475" t="s">
        <v>529</v>
      </c>
      <c r="G1475" t="s">
        <v>570</v>
      </c>
      <c r="H1475">
        <v>0</v>
      </c>
      <c r="I1475">
        <v>0</v>
      </c>
    </row>
    <row r="1476" spans="1:9" x14ac:dyDescent="0.2">
      <c r="A1476" t="s">
        <v>289</v>
      </c>
      <c r="B1476" t="s">
        <v>402</v>
      </c>
      <c r="C1476" t="s">
        <v>492</v>
      </c>
      <c r="D1476">
        <v>0</v>
      </c>
      <c r="E1476" t="s">
        <v>492</v>
      </c>
      <c r="F1476" t="s">
        <v>529</v>
      </c>
      <c r="G1476" t="s">
        <v>572</v>
      </c>
      <c r="H1476">
        <v>0</v>
      </c>
      <c r="I1476">
        <v>0</v>
      </c>
    </row>
    <row r="1477" spans="1:9" x14ac:dyDescent="0.2">
      <c r="A1477" t="s">
        <v>289</v>
      </c>
      <c r="B1477" t="s">
        <v>403</v>
      </c>
      <c r="C1477" t="s">
        <v>492</v>
      </c>
      <c r="D1477">
        <v>0</v>
      </c>
      <c r="E1477" t="s">
        <v>492</v>
      </c>
      <c r="F1477" t="s">
        <v>543</v>
      </c>
      <c r="G1477" t="s">
        <v>572</v>
      </c>
      <c r="H1477">
        <v>0</v>
      </c>
      <c r="I1477">
        <v>0</v>
      </c>
    </row>
    <row r="1478" spans="1:9" x14ac:dyDescent="0.2">
      <c r="A1478" t="s">
        <v>289</v>
      </c>
      <c r="B1478" t="s">
        <v>404</v>
      </c>
      <c r="C1478" t="s">
        <v>492</v>
      </c>
      <c r="D1478">
        <v>0</v>
      </c>
      <c r="E1478" t="s">
        <v>492</v>
      </c>
      <c r="F1478" t="s">
        <v>529</v>
      </c>
      <c r="G1478" t="s">
        <v>572</v>
      </c>
      <c r="H1478">
        <v>0</v>
      </c>
      <c r="I1478">
        <v>0</v>
      </c>
    </row>
    <row r="1479" spans="1:9" x14ac:dyDescent="0.2">
      <c r="A1479" t="s">
        <v>286</v>
      </c>
      <c r="B1479" t="s">
        <v>405</v>
      </c>
      <c r="C1479" t="s">
        <v>486</v>
      </c>
      <c r="D1479">
        <v>0</v>
      </c>
      <c r="E1479" t="s">
        <v>486</v>
      </c>
      <c r="F1479" t="s">
        <v>540</v>
      </c>
      <c r="G1479" t="s">
        <v>572</v>
      </c>
      <c r="H1479">
        <v>0</v>
      </c>
      <c r="I1479">
        <v>0</v>
      </c>
    </row>
    <row r="1480" spans="1:9" x14ac:dyDescent="0.2">
      <c r="A1480" t="s">
        <v>286</v>
      </c>
      <c r="B1480" t="s">
        <v>406</v>
      </c>
      <c r="C1480" t="s">
        <v>486</v>
      </c>
      <c r="D1480">
        <v>0</v>
      </c>
      <c r="E1480" t="s">
        <v>486</v>
      </c>
      <c r="F1480" t="s">
        <v>536</v>
      </c>
      <c r="G1480" t="s">
        <v>572</v>
      </c>
      <c r="H1480">
        <v>0</v>
      </c>
      <c r="I1480">
        <v>0</v>
      </c>
    </row>
    <row r="1481" spans="1:9" x14ac:dyDescent="0.2">
      <c r="A1481" t="s">
        <v>290</v>
      </c>
      <c r="B1481" t="s">
        <v>407</v>
      </c>
      <c r="C1481" t="s">
        <v>478</v>
      </c>
      <c r="D1481">
        <v>0</v>
      </c>
      <c r="E1481" t="s">
        <v>478</v>
      </c>
      <c r="F1481" t="s">
        <v>544</v>
      </c>
      <c r="G1481" t="s">
        <v>569</v>
      </c>
      <c r="H1481">
        <v>0</v>
      </c>
      <c r="I1481">
        <v>0</v>
      </c>
    </row>
    <row r="1482" spans="1:9" x14ac:dyDescent="0.2">
      <c r="A1482" t="s">
        <v>291</v>
      </c>
      <c r="B1482" t="s">
        <v>408</v>
      </c>
      <c r="C1482" t="s">
        <v>478</v>
      </c>
      <c r="D1482">
        <v>0</v>
      </c>
      <c r="E1482" t="s">
        <v>478</v>
      </c>
      <c r="F1482" t="s">
        <v>545</v>
      </c>
      <c r="G1482" t="s">
        <v>576</v>
      </c>
      <c r="H1482">
        <v>0</v>
      </c>
      <c r="I1482">
        <v>0</v>
      </c>
    </row>
    <row r="1483" spans="1:9" x14ac:dyDescent="0.2">
      <c r="A1483" t="s">
        <v>292</v>
      </c>
      <c r="B1483" t="s">
        <v>409</v>
      </c>
      <c r="C1483" t="s">
        <v>478</v>
      </c>
      <c r="D1483">
        <v>0</v>
      </c>
      <c r="E1483" t="s">
        <v>478</v>
      </c>
      <c r="F1483" t="s">
        <v>546</v>
      </c>
      <c r="G1483" t="s">
        <v>576</v>
      </c>
      <c r="H1483">
        <v>0</v>
      </c>
      <c r="I1483">
        <v>0</v>
      </c>
    </row>
    <row r="1484" spans="1:9" x14ac:dyDescent="0.2">
      <c r="A1484" t="s">
        <v>292</v>
      </c>
      <c r="B1484" t="s">
        <v>410</v>
      </c>
      <c r="C1484" t="s">
        <v>478</v>
      </c>
      <c r="D1484">
        <v>0</v>
      </c>
      <c r="E1484" t="s">
        <v>478</v>
      </c>
      <c r="F1484" t="s">
        <v>547</v>
      </c>
      <c r="G1484" t="s">
        <v>576</v>
      </c>
      <c r="H1484">
        <v>0</v>
      </c>
      <c r="I1484">
        <v>0</v>
      </c>
    </row>
    <row r="1485" spans="1:9" x14ac:dyDescent="0.2">
      <c r="A1485" t="s">
        <v>268</v>
      </c>
      <c r="B1485" t="s">
        <v>411</v>
      </c>
      <c r="C1485" t="s">
        <v>478</v>
      </c>
      <c r="D1485">
        <v>0</v>
      </c>
      <c r="E1485" t="s">
        <v>478</v>
      </c>
      <c r="F1485" t="s">
        <v>520</v>
      </c>
      <c r="G1485" t="s">
        <v>576</v>
      </c>
      <c r="H1485">
        <v>0</v>
      </c>
      <c r="I1485">
        <v>0</v>
      </c>
    </row>
    <row r="1486" spans="1:9" x14ac:dyDescent="0.2">
      <c r="A1486" t="s">
        <v>293</v>
      </c>
      <c r="B1486" t="s">
        <v>412</v>
      </c>
      <c r="C1486" t="s">
        <v>478</v>
      </c>
      <c r="D1486">
        <v>0</v>
      </c>
      <c r="E1486" t="s">
        <v>478</v>
      </c>
      <c r="F1486" t="s">
        <v>536</v>
      </c>
      <c r="G1486" t="s">
        <v>571</v>
      </c>
      <c r="H1486">
        <v>0</v>
      </c>
      <c r="I1486">
        <v>0</v>
      </c>
    </row>
    <row r="1487" spans="1:9" x14ac:dyDescent="0.2">
      <c r="A1487" t="s">
        <v>294</v>
      </c>
      <c r="B1487" t="s">
        <v>413</v>
      </c>
      <c r="C1487" t="s">
        <v>493</v>
      </c>
      <c r="D1487">
        <v>0</v>
      </c>
      <c r="E1487" t="s">
        <v>493</v>
      </c>
      <c r="F1487" t="s">
        <v>548</v>
      </c>
      <c r="G1487" t="s">
        <v>577</v>
      </c>
      <c r="H1487">
        <v>0</v>
      </c>
      <c r="I1487">
        <v>0</v>
      </c>
    </row>
    <row r="1488" spans="1:9" x14ac:dyDescent="0.2">
      <c r="A1488" t="s">
        <v>295</v>
      </c>
      <c r="B1488" t="s">
        <v>414</v>
      </c>
      <c r="C1488" t="s">
        <v>494</v>
      </c>
      <c r="D1488">
        <v>0</v>
      </c>
      <c r="E1488" t="s">
        <v>494</v>
      </c>
      <c r="F1488" t="s">
        <v>549</v>
      </c>
      <c r="G1488" t="s">
        <v>577</v>
      </c>
      <c r="H1488">
        <v>0</v>
      </c>
      <c r="I1488">
        <v>0</v>
      </c>
    </row>
    <row r="1489" spans="1:9" x14ac:dyDescent="0.2">
      <c r="A1489" t="s">
        <v>296</v>
      </c>
      <c r="B1489" t="s">
        <v>415</v>
      </c>
      <c r="C1489" t="s">
        <v>494</v>
      </c>
      <c r="D1489">
        <v>0</v>
      </c>
      <c r="E1489" t="s">
        <v>494</v>
      </c>
      <c r="F1489" t="s">
        <v>550</v>
      </c>
      <c r="G1489" t="s">
        <v>577</v>
      </c>
      <c r="H1489">
        <v>0</v>
      </c>
      <c r="I1489">
        <v>0</v>
      </c>
    </row>
    <row r="1490" spans="1:9" x14ac:dyDescent="0.2">
      <c r="A1490" t="s">
        <v>297</v>
      </c>
      <c r="B1490" t="s">
        <v>416</v>
      </c>
      <c r="C1490" t="s">
        <v>488</v>
      </c>
      <c r="D1490">
        <v>0</v>
      </c>
      <c r="E1490" t="s">
        <v>488</v>
      </c>
      <c r="F1490" t="s">
        <v>551</v>
      </c>
      <c r="G1490" t="s">
        <v>577</v>
      </c>
      <c r="H1490">
        <v>0</v>
      </c>
      <c r="I1490">
        <v>0</v>
      </c>
    </row>
    <row r="1491" spans="1:9" x14ac:dyDescent="0.2">
      <c r="A1491" t="s">
        <v>298</v>
      </c>
      <c r="B1491" t="s">
        <v>417</v>
      </c>
      <c r="C1491" t="s">
        <v>495</v>
      </c>
      <c r="D1491">
        <v>0</v>
      </c>
      <c r="E1491" t="s">
        <v>495</v>
      </c>
      <c r="F1491" t="s">
        <v>552</v>
      </c>
      <c r="G1491" t="s">
        <v>577</v>
      </c>
      <c r="H1491">
        <v>0</v>
      </c>
      <c r="I1491">
        <v>0</v>
      </c>
    </row>
    <row r="1492" spans="1:9" x14ac:dyDescent="0.2">
      <c r="A1492" t="s">
        <v>299</v>
      </c>
      <c r="B1492" t="s">
        <v>418</v>
      </c>
      <c r="C1492" t="s">
        <v>496</v>
      </c>
      <c r="D1492">
        <v>0</v>
      </c>
      <c r="E1492" t="s">
        <v>496</v>
      </c>
      <c r="F1492" t="s">
        <v>516</v>
      </c>
      <c r="G1492" t="s">
        <v>577</v>
      </c>
      <c r="H1492">
        <v>0</v>
      </c>
      <c r="I1492">
        <v>0</v>
      </c>
    </row>
    <row r="1493" spans="1:9" x14ac:dyDescent="0.2">
      <c r="A1493" t="s">
        <v>300</v>
      </c>
      <c r="B1493" t="s">
        <v>419</v>
      </c>
      <c r="C1493" t="s">
        <v>497</v>
      </c>
      <c r="D1493">
        <v>0</v>
      </c>
      <c r="E1493" t="s">
        <v>497</v>
      </c>
      <c r="F1493" t="s">
        <v>553</v>
      </c>
      <c r="G1493" t="s">
        <v>577</v>
      </c>
      <c r="H1493">
        <v>0</v>
      </c>
      <c r="I1493">
        <v>0</v>
      </c>
    </row>
    <row r="1494" spans="1:9" x14ac:dyDescent="0.2">
      <c r="A1494" t="s">
        <v>301</v>
      </c>
      <c r="B1494" t="s">
        <v>420</v>
      </c>
      <c r="C1494" t="s">
        <v>478</v>
      </c>
      <c r="D1494">
        <v>0</v>
      </c>
      <c r="E1494" t="s">
        <v>478</v>
      </c>
      <c r="F1494" t="s">
        <v>516</v>
      </c>
      <c r="G1494" t="s">
        <v>576</v>
      </c>
      <c r="H1494">
        <v>0</v>
      </c>
      <c r="I1494">
        <v>0</v>
      </c>
    </row>
    <row r="1495" spans="1:9" x14ac:dyDescent="0.2">
      <c r="A1495" t="s">
        <v>283</v>
      </c>
      <c r="B1495" t="s">
        <v>421</v>
      </c>
      <c r="C1495" t="s">
        <v>477</v>
      </c>
      <c r="D1495">
        <v>0</v>
      </c>
      <c r="E1495" t="s">
        <v>477</v>
      </c>
      <c r="F1495" t="s">
        <v>540</v>
      </c>
      <c r="G1495" t="s">
        <v>578</v>
      </c>
      <c r="H1495">
        <v>0</v>
      </c>
      <c r="I1495">
        <v>0</v>
      </c>
    </row>
    <row r="1496" spans="1:9" x14ac:dyDescent="0.2">
      <c r="A1496" t="s">
        <v>264</v>
      </c>
      <c r="B1496" t="s">
        <v>422</v>
      </c>
      <c r="C1496" t="s">
        <v>477</v>
      </c>
      <c r="D1496">
        <v>0</v>
      </c>
      <c r="E1496" t="s">
        <v>477</v>
      </c>
      <c r="F1496" t="s">
        <v>541</v>
      </c>
      <c r="G1496" t="s">
        <v>578</v>
      </c>
      <c r="H1496">
        <v>0</v>
      </c>
      <c r="I1496">
        <v>0</v>
      </c>
    </row>
    <row r="1497" spans="1:9" x14ac:dyDescent="0.2">
      <c r="A1497" t="s">
        <v>264</v>
      </c>
      <c r="B1497" t="s">
        <v>423</v>
      </c>
      <c r="C1497" t="s">
        <v>478</v>
      </c>
      <c r="D1497">
        <v>0</v>
      </c>
      <c r="E1497" t="s">
        <v>478</v>
      </c>
      <c r="F1497" t="s">
        <v>516</v>
      </c>
      <c r="G1497" t="s">
        <v>578</v>
      </c>
      <c r="H1497">
        <v>0</v>
      </c>
      <c r="I1497">
        <v>0</v>
      </c>
    </row>
    <row r="1498" spans="1:9" x14ac:dyDescent="0.2">
      <c r="A1498" t="s">
        <v>301</v>
      </c>
      <c r="B1498" t="s">
        <v>424</v>
      </c>
      <c r="C1498" t="s">
        <v>478</v>
      </c>
      <c r="D1498">
        <v>0</v>
      </c>
      <c r="E1498" t="s">
        <v>478</v>
      </c>
      <c r="F1498" t="s">
        <v>537</v>
      </c>
      <c r="G1498" t="s">
        <v>576</v>
      </c>
      <c r="H1498">
        <v>0</v>
      </c>
      <c r="I1498">
        <v>0</v>
      </c>
    </row>
    <row r="1499" spans="1:9" x14ac:dyDescent="0.2">
      <c r="A1499" t="s">
        <v>283</v>
      </c>
      <c r="B1499" t="s">
        <v>425</v>
      </c>
      <c r="C1499" t="s">
        <v>498</v>
      </c>
      <c r="D1499">
        <v>0</v>
      </c>
      <c r="E1499" t="s">
        <v>498</v>
      </c>
      <c r="F1499" t="s">
        <v>529</v>
      </c>
      <c r="G1499" t="s">
        <v>578</v>
      </c>
      <c r="H1499">
        <v>0</v>
      </c>
      <c r="I1499">
        <v>0</v>
      </c>
    </row>
    <row r="1500" spans="1:9" x14ac:dyDescent="0.2">
      <c r="A1500" t="s">
        <v>302</v>
      </c>
      <c r="B1500" t="s">
        <v>426</v>
      </c>
      <c r="C1500" t="s">
        <v>478</v>
      </c>
      <c r="D1500">
        <v>0</v>
      </c>
      <c r="E1500" t="s">
        <v>478</v>
      </c>
      <c r="F1500" t="s">
        <v>529</v>
      </c>
      <c r="G1500" t="s">
        <v>579</v>
      </c>
      <c r="H1500">
        <v>0</v>
      </c>
      <c r="I1500">
        <v>0</v>
      </c>
    </row>
    <row r="1501" spans="1:9" x14ac:dyDescent="0.2">
      <c r="A1501" t="s">
        <v>285</v>
      </c>
      <c r="B1501" t="s">
        <v>427</v>
      </c>
      <c r="C1501" t="s">
        <v>499</v>
      </c>
      <c r="D1501">
        <v>0</v>
      </c>
      <c r="E1501" t="s">
        <v>499</v>
      </c>
      <c r="F1501" t="s">
        <v>542</v>
      </c>
      <c r="G1501" t="s">
        <v>577</v>
      </c>
      <c r="H1501">
        <v>0</v>
      </c>
      <c r="I1501">
        <v>0</v>
      </c>
    </row>
    <row r="1502" spans="1:9" x14ac:dyDescent="0.2">
      <c r="A1502" t="s">
        <v>303</v>
      </c>
      <c r="B1502" t="s">
        <v>428</v>
      </c>
      <c r="C1502" t="s">
        <v>500</v>
      </c>
      <c r="D1502">
        <v>0</v>
      </c>
      <c r="E1502" t="s">
        <v>500</v>
      </c>
      <c r="F1502" t="s">
        <v>546</v>
      </c>
      <c r="G1502" t="s">
        <v>577</v>
      </c>
      <c r="H1502">
        <v>0</v>
      </c>
      <c r="I1502">
        <v>0</v>
      </c>
    </row>
    <row r="1503" spans="1:9" x14ac:dyDescent="0.2">
      <c r="A1503" t="s">
        <v>304</v>
      </c>
      <c r="B1503" t="s">
        <v>429</v>
      </c>
      <c r="C1503" t="s">
        <v>478</v>
      </c>
      <c r="D1503">
        <v>0</v>
      </c>
      <c r="E1503" t="s">
        <v>478</v>
      </c>
      <c r="F1503" t="s">
        <v>554</v>
      </c>
      <c r="G1503" t="s">
        <v>569</v>
      </c>
      <c r="H1503">
        <v>0</v>
      </c>
      <c r="I1503">
        <v>0</v>
      </c>
    </row>
    <row r="1504" spans="1:9" x14ac:dyDescent="0.2">
      <c r="A1504" t="s">
        <v>277</v>
      </c>
      <c r="B1504" t="s">
        <v>430</v>
      </c>
      <c r="C1504" t="s">
        <v>478</v>
      </c>
      <c r="D1504">
        <v>0</v>
      </c>
      <c r="E1504" t="s">
        <v>478</v>
      </c>
      <c r="F1504" t="s">
        <v>539</v>
      </c>
      <c r="G1504" t="s">
        <v>571</v>
      </c>
      <c r="H1504">
        <v>0</v>
      </c>
      <c r="I1504">
        <v>0</v>
      </c>
    </row>
    <row r="1505" spans="1:9" x14ac:dyDescent="0.2">
      <c r="A1505" t="s">
        <v>277</v>
      </c>
      <c r="B1505" t="s">
        <v>431</v>
      </c>
      <c r="C1505" t="s">
        <v>478</v>
      </c>
      <c r="D1505">
        <v>0</v>
      </c>
      <c r="E1505" t="s">
        <v>478</v>
      </c>
      <c r="F1505" t="s">
        <v>534</v>
      </c>
      <c r="G1505" t="s">
        <v>571</v>
      </c>
      <c r="H1505">
        <v>0</v>
      </c>
      <c r="I1505">
        <v>0</v>
      </c>
    </row>
    <row r="1506" spans="1:9" x14ac:dyDescent="0.2">
      <c r="A1506" t="s">
        <v>277</v>
      </c>
      <c r="B1506" t="s">
        <v>432</v>
      </c>
      <c r="C1506" t="s">
        <v>501</v>
      </c>
      <c r="D1506">
        <v>0</v>
      </c>
      <c r="E1506" t="s">
        <v>501</v>
      </c>
      <c r="F1506" t="s">
        <v>555</v>
      </c>
      <c r="G1506" t="s">
        <v>571</v>
      </c>
      <c r="H1506">
        <v>0</v>
      </c>
      <c r="I1506">
        <v>0</v>
      </c>
    </row>
    <row r="1507" spans="1:9" x14ac:dyDescent="0.2">
      <c r="A1507" t="s">
        <v>263</v>
      </c>
      <c r="B1507" t="s">
        <v>433</v>
      </c>
      <c r="C1507" t="s">
        <v>502</v>
      </c>
      <c r="D1507">
        <v>0</v>
      </c>
      <c r="E1507" t="s">
        <v>502</v>
      </c>
      <c r="F1507" t="s">
        <v>556</v>
      </c>
      <c r="G1507" t="s">
        <v>580</v>
      </c>
      <c r="H1507">
        <v>0</v>
      </c>
      <c r="I1507">
        <v>0</v>
      </c>
    </row>
    <row r="1508" spans="1:9" x14ac:dyDescent="0.2">
      <c r="A1508" t="s">
        <v>268</v>
      </c>
      <c r="B1508" t="s">
        <v>434</v>
      </c>
      <c r="C1508" t="s">
        <v>478</v>
      </c>
      <c r="D1508">
        <v>0</v>
      </c>
      <c r="E1508" t="s">
        <v>478</v>
      </c>
      <c r="F1508" t="s">
        <v>520</v>
      </c>
      <c r="G1508" t="s">
        <v>571</v>
      </c>
      <c r="H1508">
        <v>0</v>
      </c>
      <c r="I1508">
        <v>0</v>
      </c>
    </row>
    <row r="1509" spans="1:9" x14ac:dyDescent="0.2">
      <c r="A1509" t="s">
        <v>305</v>
      </c>
      <c r="B1509" t="s">
        <v>435</v>
      </c>
      <c r="C1509" t="s">
        <v>478</v>
      </c>
      <c r="D1509">
        <v>0</v>
      </c>
      <c r="E1509" t="s">
        <v>478</v>
      </c>
      <c r="F1509" t="s">
        <v>557</v>
      </c>
      <c r="G1509" t="s">
        <v>569</v>
      </c>
      <c r="H1509">
        <v>0</v>
      </c>
      <c r="I1509">
        <v>0</v>
      </c>
    </row>
    <row r="1510" spans="1:9" x14ac:dyDescent="0.2">
      <c r="A1510" t="s">
        <v>306</v>
      </c>
      <c r="B1510" t="s">
        <v>436</v>
      </c>
      <c r="C1510" t="s">
        <v>478</v>
      </c>
      <c r="D1510">
        <v>0</v>
      </c>
      <c r="E1510" t="s">
        <v>478</v>
      </c>
      <c r="F1510" t="s">
        <v>558</v>
      </c>
      <c r="G1510" t="s">
        <v>569</v>
      </c>
      <c r="H1510">
        <v>0</v>
      </c>
      <c r="I1510">
        <v>0</v>
      </c>
    </row>
    <row r="1511" spans="1:9" x14ac:dyDescent="0.2">
      <c r="A1511" t="s">
        <v>307</v>
      </c>
      <c r="B1511" t="s">
        <v>437</v>
      </c>
      <c r="C1511" t="s">
        <v>478</v>
      </c>
      <c r="D1511">
        <v>0</v>
      </c>
      <c r="E1511" t="s">
        <v>478</v>
      </c>
      <c r="F1511" t="s">
        <v>559</v>
      </c>
      <c r="G1511" t="s">
        <v>574</v>
      </c>
      <c r="H1511">
        <v>0</v>
      </c>
      <c r="I1511">
        <v>0</v>
      </c>
    </row>
    <row r="1512" spans="1:9" x14ac:dyDescent="0.2">
      <c r="A1512" t="s">
        <v>308</v>
      </c>
      <c r="B1512" t="s">
        <v>438</v>
      </c>
      <c r="C1512" t="s">
        <v>478</v>
      </c>
      <c r="D1512">
        <v>0</v>
      </c>
      <c r="E1512" t="s">
        <v>478</v>
      </c>
      <c r="F1512" t="s">
        <v>560</v>
      </c>
      <c r="G1512" t="s">
        <v>569</v>
      </c>
      <c r="H1512">
        <v>0</v>
      </c>
      <c r="I1512">
        <v>0</v>
      </c>
    </row>
    <row r="1513" spans="1:9" x14ac:dyDescent="0.2">
      <c r="A1513" t="s">
        <v>309</v>
      </c>
      <c r="B1513" t="s">
        <v>439</v>
      </c>
      <c r="C1513" t="s">
        <v>478</v>
      </c>
      <c r="D1513">
        <v>0</v>
      </c>
      <c r="E1513" t="s">
        <v>478</v>
      </c>
      <c r="F1513" t="s">
        <v>558</v>
      </c>
      <c r="G1513" t="s">
        <v>574</v>
      </c>
      <c r="H1513">
        <v>0</v>
      </c>
      <c r="I1513">
        <v>0</v>
      </c>
    </row>
    <row r="1514" spans="1:9" x14ac:dyDescent="0.2">
      <c r="A1514" t="s">
        <v>310</v>
      </c>
      <c r="B1514" t="s">
        <v>440</v>
      </c>
      <c r="C1514" t="s">
        <v>478</v>
      </c>
      <c r="D1514">
        <v>0</v>
      </c>
      <c r="E1514" t="s">
        <v>478</v>
      </c>
      <c r="F1514" t="s">
        <v>561</v>
      </c>
      <c r="G1514" t="s">
        <v>569</v>
      </c>
      <c r="H1514">
        <v>0</v>
      </c>
      <c r="I1514">
        <v>0</v>
      </c>
    </row>
    <row r="1515" spans="1:9" x14ac:dyDescent="0.2">
      <c r="A1515" t="s">
        <v>311</v>
      </c>
      <c r="B1515" t="s">
        <v>441</v>
      </c>
      <c r="C1515" t="s">
        <v>481</v>
      </c>
      <c r="D1515">
        <v>0</v>
      </c>
      <c r="E1515" t="s">
        <v>481</v>
      </c>
      <c r="F1515" t="s">
        <v>527</v>
      </c>
      <c r="G1515" t="s">
        <v>580</v>
      </c>
      <c r="H1515">
        <v>0</v>
      </c>
      <c r="I1515">
        <v>0</v>
      </c>
    </row>
    <row r="1516" spans="1:9" x14ac:dyDescent="0.2">
      <c r="A1516" t="s">
        <v>311</v>
      </c>
      <c r="B1516" t="s">
        <v>442</v>
      </c>
      <c r="C1516" t="s">
        <v>482</v>
      </c>
      <c r="D1516">
        <v>0</v>
      </c>
      <c r="E1516" t="s">
        <v>482</v>
      </c>
      <c r="F1516" t="s">
        <v>562</v>
      </c>
      <c r="G1516" t="s">
        <v>580</v>
      </c>
      <c r="H1516">
        <v>0</v>
      </c>
      <c r="I1516">
        <v>0</v>
      </c>
    </row>
    <row r="1517" spans="1:9" x14ac:dyDescent="0.2">
      <c r="A1517" t="s">
        <v>311</v>
      </c>
      <c r="B1517" t="s">
        <v>443</v>
      </c>
      <c r="C1517" t="s">
        <v>481</v>
      </c>
      <c r="D1517">
        <v>0</v>
      </c>
      <c r="E1517" t="s">
        <v>481</v>
      </c>
      <c r="F1517" t="s">
        <v>563</v>
      </c>
      <c r="G1517" t="s">
        <v>580</v>
      </c>
      <c r="H1517">
        <v>0</v>
      </c>
      <c r="I1517">
        <v>0</v>
      </c>
    </row>
    <row r="1518" spans="1:9" x14ac:dyDescent="0.2">
      <c r="A1518" t="s">
        <v>312</v>
      </c>
      <c r="B1518" t="s">
        <v>444</v>
      </c>
      <c r="C1518" t="s">
        <v>481</v>
      </c>
      <c r="D1518">
        <v>0</v>
      </c>
      <c r="E1518" t="s">
        <v>481</v>
      </c>
      <c r="F1518" t="s">
        <v>526</v>
      </c>
      <c r="G1518" t="s">
        <v>580</v>
      </c>
      <c r="H1518">
        <v>0</v>
      </c>
      <c r="I1518">
        <v>0</v>
      </c>
    </row>
    <row r="1519" spans="1:9" x14ac:dyDescent="0.2">
      <c r="A1519" t="s">
        <v>286</v>
      </c>
      <c r="B1519" t="s">
        <v>445</v>
      </c>
      <c r="C1519" t="s">
        <v>486</v>
      </c>
      <c r="D1519">
        <v>0</v>
      </c>
      <c r="E1519" t="s">
        <v>486</v>
      </c>
      <c r="F1519" t="s">
        <v>542</v>
      </c>
      <c r="G1519" t="s">
        <v>580</v>
      </c>
      <c r="H1519">
        <v>0</v>
      </c>
      <c r="I1519">
        <v>0</v>
      </c>
    </row>
    <row r="1520" spans="1:9" x14ac:dyDescent="0.2">
      <c r="A1520" t="s">
        <v>286</v>
      </c>
      <c r="B1520" t="s">
        <v>446</v>
      </c>
      <c r="C1520" t="s">
        <v>486</v>
      </c>
      <c r="D1520">
        <v>0</v>
      </c>
      <c r="E1520" t="s">
        <v>486</v>
      </c>
      <c r="F1520" t="s">
        <v>541</v>
      </c>
      <c r="G1520" t="s">
        <v>580</v>
      </c>
      <c r="H1520">
        <v>0</v>
      </c>
      <c r="I1520">
        <v>0</v>
      </c>
    </row>
    <row r="1521" spans="1:9" x14ac:dyDescent="0.2">
      <c r="A1521" t="s">
        <v>313</v>
      </c>
      <c r="B1521" t="s">
        <v>447</v>
      </c>
      <c r="C1521" t="s">
        <v>478</v>
      </c>
      <c r="D1521">
        <v>0</v>
      </c>
      <c r="E1521" t="s">
        <v>478</v>
      </c>
      <c r="F1521" t="s">
        <v>516</v>
      </c>
      <c r="G1521" t="s">
        <v>569</v>
      </c>
      <c r="H1521">
        <v>0</v>
      </c>
      <c r="I1521">
        <v>0</v>
      </c>
    </row>
    <row r="1522" spans="1:9" x14ac:dyDescent="0.2">
      <c r="A1522" t="s">
        <v>314</v>
      </c>
      <c r="B1522" t="s">
        <v>448</v>
      </c>
      <c r="C1522" t="s">
        <v>478</v>
      </c>
      <c r="D1522">
        <v>0</v>
      </c>
      <c r="E1522" t="s">
        <v>478</v>
      </c>
      <c r="F1522" t="s">
        <v>516</v>
      </c>
      <c r="G1522" t="s">
        <v>569</v>
      </c>
      <c r="H1522">
        <v>0</v>
      </c>
      <c r="I1522">
        <v>0</v>
      </c>
    </row>
    <row r="1523" spans="1:9" x14ac:dyDescent="0.2">
      <c r="A1523" t="s">
        <v>315</v>
      </c>
      <c r="B1523" t="s">
        <v>449</v>
      </c>
      <c r="C1523" t="s">
        <v>478</v>
      </c>
      <c r="D1523">
        <v>0</v>
      </c>
      <c r="E1523" t="s">
        <v>478</v>
      </c>
      <c r="F1523" t="s">
        <v>530</v>
      </c>
      <c r="G1523" t="s">
        <v>569</v>
      </c>
      <c r="H1523">
        <v>0</v>
      </c>
      <c r="I1523">
        <v>0</v>
      </c>
    </row>
    <row r="1524" spans="1:9" x14ac:dyDescent="0.2">
      <c r="A1524" t="s">
        <v>315</v>
      </c>
      <c r="B1524" t="s">
        <v>450</v>
      </c>
      <c r="C1524" t="s">
        <v>478</v>
      </c>
      <c r="D1524">
        <v>0</v>
      </c>
      <c r="E1524" t="s">
        <v>478</v>
      </c>
      <c r="F1524" t="s">
        <v>530</v>
      </c>
      <c r="G1524" t="s">
        <v>569</v>
      </c>
      <c r="H1524">
        <v>0</v>
      </c>
      <c r="I1524">
        <v>0</v>
      </c>
    </row>
    <row r="1525" spans="1:9" x14ac:dyDescent="0.2">
      <c r="A1525" t="s">
        <v>315</v>
      </c>
      <c r="B1525" t="s">
        <v>451</v>
      </c>
      <c r="C1525" t="s">
        <v>478</v>
      </c>
      <c r="D1525">
        <v>0</v>
      </c>
      <c r="E1525" t="s">
        <v>478</v>
      </c>
      <c r="F1525" t="s">
        <v>530</v>
      </c>
      <c r="G1525" t="s">
        <v>569</v>
      </c>
      <c r="H1525">
        <v>0</v>
      </c>
      <c r="I1525">
        <v>0</v>
      </c>
    </row>
    <row r="1526" spans="1:9" x14ac:dyDescent="0.2">
      <c r="A1526" t="s">
        <v>313</v>
      </c>
      <c r="B1526" t="s">
        <v>452</v>
      </c>
      <c r="C1526" t="s">
        <v>478</v>
      </c>
      <c r="D1526">
        <v>0</v>
      </c>
      <c r="E1526" t="s">
        <v>478</v>
      </c>
      <c r="F1526" t="s">
        <v>524</v>
      </c>
      <c r="G1526" t="s">
        <v>569</v>
      </c>
      <c r="H1526">
        <v>0</v>
      </c>
      <c r="I1526">
        <v>0</v>
      </c>
    </row>
    <row r="1527" spans="1:9" x14ac:dyDescent="0.2">
      <c r="A1527" t="s">
        <v>314</v>
      </c>
      <c r="B1527" t="s">
        <v>453</v>
      </c>
      <c r="C1527" t="s">
        <v>478</v>
      </c>
      <c r="D1527">
        <v>0</v>
      </c>
      <c r="E1527" t="s">
        <v>478</v>
      </c>
      <c r="F1527" t="s">
        <v>538</v>
      </c>
      <c r="G1527" t="s">
        <v>569</v>
      </c>
      <c r="H1527">
        <v>0</v>
      </c>
      <c r="I1527">
        <v>0</v>
      </c>
    </row>
    <row r="1528" spans="1:9" x14ac:dyDescent="0.2">
      <c r="A1528" t="s">
        <v>314</v>
      </c>
      <c r="B1528" t="s">
        <v>454</v>
      </c>
      <c r="C1528" t="s">
        <v>478</v>
      </c>
      <c r="D1528">
        <v>0</v>
      </c>
      <c r="E1528" t="s">
        <v>478</v>
      </c>
      <c r="F1528" t="s">
        <v>530</v>
      </c>
      <c r="G1528" t="s">
        <v>569</v>
      </c>
      <c r="H1528">
        <v>0</v>
      </c>
      <c r="I1528">
        <v>0</v>
      </c>
    </row>
    <row r="1529" spans="1:9" x14ac:dyDescent="0.2">
      <c r="A1529" t="s">
        <v>314</v>
      </c>
      <c r="B1529" t="s">
        <v>455</v>
      </c>
      <c r="C1529" t="s">
        <v>478</v>
      </c>
      <c r="D1529">
        <v>0</v>
      </c>
      <c r="E1529" t="s">
        <v>478</v>
      </c>
      <c r="F1529" t="s">
        <v>538</v>
      </c>
      <c r="G1529" t="s">
        <v>569</v>
      </c>
      <c r="H1529">
        <v>0</v>
      </c>
      <c r="I1529">
        <v>0</v>
      </c>
    </row>
    <row r="1530" spans="1:9" x14ac:dyDescent="0.2">
      <c r="A1530" t="s">
        <v>314</v>
      </c>
      <c r="B1530" t="s">
        <v>456</v>
      </c>
      <c r="C1530" t="s">
        <v>478</v>
      </c>
      <c r="D1530">
        <v>0</v>
      </c>
      <c r="E1530" t="s">
        <v>478</v>
      </c>
      <c r="F1530" t="s">
        <v>530</v>
      </c>
      <c r="G1530" t="s">
        <v>569</v>
      </c>
      <c r="H1530">
        <v>0</v>
      </c>
      <c r="I1530">
        <v>0</v>
      </c>
    </row>
    <row r="1531" spans="1:9" x14ac:dyDescent="0.2">
      <c r="A1531" t="s">
        <v>277</v>
      </c>
      <c r="B1531" t="s">
        <v>457</v>
      </c>
      <c r="C1531" t="s">
        <v>501</v>
      </c>
      <c r="D1531">
        <v>0</v>
      </c>
      <c r="E1531" t="s">
        <v>501</v>
      </c>
      <c r="F1531" t="s">
        <v>564</v>
      </c>
      <c r="G1531" t="s">
        <v>571</v>
      </c>
      <c r="H1531">
        <v>0</v>
      </c>
      <c r="I1531">
        <v>0</v>
      </c>
    </row>
    <row r="1532" spans="1:9" x14ac:dyDescent="0.2">
      <c r="A1532" t="s">
        <v>263</v>
      </c>
      <c r="B1532" t="s">
        <v>458</v>
      </c>
      <c r="C1532" t="s">
        <v>476</v>
      </c>
      <c r="D1532">
        <v>0</v>
      </c>
      <c r="E1532" t="s">
        <v>476</v>
      </c>
      <c r="F1532" t="s">
        <v>565</v>
      </c>
      <c r="G1532" t="s">
        <v>580</v>
      </c>
      <c r="H1532">
        <v>0</v>
      </c>
      <c r="I1532">
        <v>0</v>
      </c>
    </row>
    <row r="1533" spans="1:9" x14ac:dyDescent="0.2">
      <c r="A1533" t="s">
        <v>316</v>
      </c>
      <c r="B1533" t="s">
        <v>459</v>
      </c>
      <c r="C1533" t="s">
        <v>478</v>
      </c>
      <c r="D1533">
        <v>0</v>
      </c>
      <c r="E1533" t="s">
        <v>478</v>
      </c>
      <c r="F1533" t="s">
        <v>557</v>
      </c>
      <c r="G1533" t="s">
        <v>569</v>
      </c>
      <c r="H1533">
        <v>0</v>
      </c>
      <c r="I1533">
        <v>0</v>
      </c>
    </row>
    <row r="1534" spans="1:9" x14ac:dyDescent="0.2">
      <c r="A1534" t="s">
        <v>317</v>
      </c>
      <c r="B1534" t="s">
        <v>460</v>
      </c>
      <c r="C1534" t="s">
        <v>478</v>
      </c>
      <c r="D1534">
        <v>0</v>
      </c>
      <c r="E1534" t="s">
        <v>478</v>
      </c>
      <c r="F1534" t="s">
        <v>560</v>
      </c>
      <c r="G1534" t="s">
        <v>569</v>
      </c>
      <c r="H1534">
        <v>0</v>
      </c>
      <c r="I1534">
        <v>0</v>
      </c>
    </row>
    <row r="1535" spans="1:9" x14ac:dyDescent="0.2">
      <c r="A1535" t="s">
        <v>318</v>
      </c>
      <c r="B1535" t="s">
        <v>461</v>
      </c>
      <c r="C1535" t="s">
        <v>478</v>
      </c>
      <c r="D1535">
        <v>0</v>
      </c>
      <c r="E1535" t="s">
        <v>478</v>
      </c>
      <c r="F1535" t="s">
        <v>561</v>
      </c>
      <c r="G1535" t="s">
        <v>574</v>
      </c>
      <c r="H1535">
        <v>0</v>
      </c>
      <c r="I1535">
        <v>0</v>
      </c>
    </row>
    <row r="1536" spans="1:9" x14ac:dyDescent="0.2">
      <c r="A1536" t="s">
        <v>319</v>
      </c>
      <c r="B1536" t="s">
        <v>462</v>
      </c>
      <c r="C1536" t="s">
        <v>482</v>
      </c>
      <c r="D1536">
        <v>0</v>
      </c>
      <c r="E1536" t="s">
        <v>482</v>
      </c>
      <c r="F1536" t="s">
        <v>526</v>
      </c>
      <c r="G1536" t="s">
        <v>580</v>
      </c>
      <c r="H1536">
        <v>0</v>
      </c>
      <c r="I1536">
        <v>0</v>
      </c>
    </row>
    <row r="1537" spans="1:9" x14ac:dyDescent="0.2">
      <c r="A1537" t="s">
        <v>320</v>
      </c>
      <c r="B1537" t="s">
        <v>463</v>
      </c>
      <c r="C1537" t="s">
        <v>488</v>
      </c>
      <c r="D1537">
        <v>0</v>
      </c>
      <c r="E1537" t="s">
        <v>488</v>
      </c>
      <c r="F1537" t="s">
        <v>562</v>
      </c>
      <c r="G1537" t="s">
        <v>580</v>
      </c>
      <c r="H1537">
        <v>0</v>
      </c>
      <c r="I1537">
        <v>0</v>
      </c>
    </row>
    <row r="1538" spans="1:9" x14ac:dyDescent="0.2">
      <c r="A1538" t="s">
        <v>319</v>
      </c>
      <c r="B1538" t="s">
        <v>464</v>
      </c>
      <c r="C1538" t="s">
        <v>482</v>
      </c>
      <c r="D1538">
        <v>0</v>
      </c>
      <c r="E1538" t="s">
        <v>482</v>
      </c>
      <c r="F1538" t="s">
        <v>563</v>
      </c>
      <c r="G1538" t="s">
        <v>580</v>
      </c>
      <c r="H1538">
        <v>0</v>
      </c>
      <c r="I1538">
        <v>0</v>
      </c>
    </row>
    <row r="1539" spans="1:9" x14ac:dyDescent="0.2">
      <c r="A1539" t="s">
        <v>319</v>
      </c>
      <c r="B1539" t="s">
        <v>465</v>
      </c>
      <c r="C1539" t="s">
        <v>481</v>
      </c>
      <c r="D1539">
        <v>0</v>
      </c>
      <c r="E1539" t="s">
        <v>481</v>
      </c>
      <c r="F1539" t="s">
        <v>526</v>
      </c>
      <c r="G1539" t="s">
        <v>580</v>
      </c>
      <c r="H1539">
        <v>0</v>
      </c>
      <c r="I1539">
        <v>0</v>
      </c>
    </row>
    <row r="1540" spans="1:9" x14ac:dyDescent="0.2">
      <c r="A1540" t="s">
        <v>321</v>
      </c>
      <c r="B1540" t="s">
        <v>466</v>
      </c>
      <c r="C1540" t="s">
        <v>488</v>
      </c>
      <c r="D1540">
        <v>0</v>
      </c>
      <c r="E1540" t="s">
        <v>488</v>
      </c>
      <c r="F1540" t="s">
        <v>547</v>
      </c>
      <c r="G1540" t="s">
        <v>574</v>
      </c>
      <c r="H1540">
        <v>0</v>
      </c>
      <c r="I1540">
        <v>0</v>
      </c>
    </row>
    <row r="1541" spans="1:9" x14ac:dyDescent="0.2">
      <c r="A1541" t="s">
        <v>322</v>
      </c>
      <c r="B1541" t="s">
        <v>467</v>
      </c>
      <c r="C1541" t="s">
        <v>482</v>
      </c>
      <c r="D1541">
        <v>0</v>
      </c>
      <c r="E1541" t="s">
        <v>482</v>
      </c>
      <c r="F1541" t="s">
        <v>566</v>
      </c>
      <c r="G1541" t="s">
        <v>574</v>
      </c>
      <c r="H1541">
        <v>0</v>
      </c>
      <c r="I1541">
        <v>0</v>
      </c>
    </row>
    <row r="1542" spans="1:9" x14ac:dyDescent="0.2">
      <c r="A1542" t="s">
        <v>283</v>
      </c>
      <c r="B1542" t="s">
        <v>468</v>
      </c>
      <c r="C1542" t="s">
        <v>478</v>
      </c>
      <c r="D1542">
        <v>0</v>
      </c>
      <c r="E1542" t="s">
        <v>478</v>
      </c>
      <c r="F1542" t="s">
        <v>524</v>
      </c>
      <c r="G1542" t="s">
        <v>581</v>
      </c>
      <c r="H1542">
        <v>0</v>
      </c>
      <c r="I1542">
        <v>0</v>
      </c>
    </row>
    <row r="1543" spans="1:9" x14ac:dyDescent="0.2">
      <c r="A1543" t="s">
        <v>275</v>
      </c>
      <c r="B1543" t="s">
        <v>469</v>
      </c>
      <c r="C1543" t="s">
        <v>478</v>
      </c>
      <c r="D1543">
        <v>0</v>
      </c>
      <c r="E1543" t="s">
        <v>478</v>
      </c>
      <c r="F1543" t="s">
        <v>530</v>
      </c>
      <c r="G1543" t="s">
        <v>581</v>
      </c>
      <c r="H1543">
        <v>0</v>
      </c>
      <c r="I1543">
        <v>0</v>
      </c>
    </row>
    <row r="1544" spans="1:9" x14ac:dyDescent="0.2">
      <c r="A1544" t="s">
        <v>275</v>
      </c>
      <c r="B1544" t="s">
        <v>470</v>
      </c>
      <c r="C1544" t="s">
        <v>478</v>
      </c>
      <c r="D1544">
        <v>0</v>
      </c>
      <c r="E1544" t="s">
        <v>478</v>
      </c>
      <c r="F1544" t="s">
        <v>530</v>
      </c>
      <c r="G1544" t="s">
        <v>581</v>
      </c>
      <c r="H1544">
        <v>0</v>
      </c>
      <c r="I1544">
        <v>0</v>
      </c>
    </row>
    <row r="1545" spans="1:9" x14ac:dyDescent="0.2">
      <c r="A1545" t="s">
        <v>275</v>
      </c>
      <c r="B1545" t="s">
        <v>471</v>
      </c>
      <c r="C1545" t="s">
        <v>478</v>
      </c>
      <c r="D1545">
        <v>0</v>
      </c>
      <c r="E1545" t="s">
        <v>478</v>
      </c>
      <c r="F1545" t="s">
        <v>530</v>
      </c>
      <c r="G1545" t="s">
        <v>581</v>
      </c>
      <c r="H1545">
        <v>0</v>
      </c>
      <c r="I1545">
        <v>0</v>
      </c>
    </row>
    <row r="1546" spans="1:9" x14ac:dyDescent="0.2">
      <c r="A1546" t="s">
        <v>275</v>
      </c>
      <c r="B1546" t="s">
        <v>472</v>
      </c>
      <c r="C1546" t="s">
        <v>478</v>
      </c>
      <c r="D1546">
        <v>0</v>
      </c>
      <c r="E1546" t="s">
        <v>478</v>
      </c>
      <c r="F1546" t="s">
        <v>530</v>
      </c>
      <c r="G1546" t="s">
        <v>581</v>
      </c>
      <c r="H1546">
        <v>0</v>
      </c>
      <c r="I1546">
        <v>0</v>
      </c>
    </row>
    <row r="1547" spans="1:9" x14ac:dyDescent="0.2">
      <c r="A1547" t="s">
        <v>286</v>
      </c>
      <c r="B1547" t="s">
        <v>473</v>
      </c>
      <c r="C1547" t="s">
        <v>486</v>
      </c>
      <c r="D1547">
        <v>0</v>
      </c>
      <c r="E1547" t="s">
        <v>486</v>
      </c>
      <c r="F1547" t="s">
        <v>542</v>
      </c>
      <c r="G1547" t="s">
        <v>580</v>
      </c>
      <c r="H1547">
        <v>0</v>
      </c>
      <c r="I1547">
        <v>0</v>
      </c>
    </row>
    <row r="1548" spans="1:9" x14ac:dyDescent="0.2">
      <c r="A1548" t="s">
        <v>286</v>
      </c>
      <c r="B1548" t="s">
        <v>474</v>
      </c>
      <c r="C1548" t="s">
        <v>486</v>
      </c>
      <c r="D1548">
        <v>0</v>
      </c>
      <c r="E1548" t="s">
        <v>486</v>
      </c>
      <c r="F1548" t="s">
        <v>542</v>
      </c>
      <c r="G1548" t="s">
        <v>580</v>
      </c>
      <c r="H1548">
        <v>0</v>
      </c>
      <c r="I1548">
        <v>0</v>
      </c>
    </row>
    <row r="1549" spans="1:9" x14ac:dyDescent="0.2">
      <c r="A1549" t="s">
        <v>289</v>
      </c>
      <c r="B1549" t="s">
        <v>475</v>
      </c>
      <c r="C1549" t="s">
        <v>478</v>
      </c>
      <c r="D1549">
        <v>0</v>
      </c>
      <c r="E1549" t="s">
        <v>478</v>
      </c>
      <c r="F1549" t="s">
        <v>559</v>
      </c>
      <c r="G1549" t="s">
        <v>574</v>
      </c>
      <c r="H1549">
        <v>0</v>
      </c>
      <c r="I1549">
        <v>0</v>
      </c>
    </row>
    <row r="1550" spans="1:9" x14ac:dyDescent="0.2">
      <c r="A1550" t="s">
        <v>302</v>
      </c>
      <c r="B1550" t="s">
        <v>302</v>
      </c>
      <c r="C1550" t="s">
        <v>478</v>
      </c>
      <c r="D1550">
        <v>0</v>
      </c>
      <c r="E1550" t="s">
        <v>478</v>
      </c>
      <c r="F1550" t="s">
        <v>567</v>
      </c>
      <c r="G1550" t="s">
        <v>579</v>
      </c>
      <c r="H1550">
        <v>0</v>
      </c>
      <c r="I1550">
        <v>0</v>
      </c>
    </row>
    <row r="1551" spans="1:9" x14ac:dyDescent="0.2">
      <c r="A1551" t="s">
        <v>323</v>
      </c>
      <c r="B1551" t="s">
        <v>302</v>
      </c>
      <c r="C1551" t="s">
        <v>478</v>
      </c>
      <c r="D1551">
        <v>0</v>
      </c>
      <c r="E1551" t="s">
        <v>478</v>
      </c>
      <c r="F1551" t="s">
        <v>568</v>
      </c>
      <c r="G1551" t="s">
        <v>569</v>
      </c>
      <c r="H1551">
        <v>0</v>
      </c>
      <c r="I1551">
        <v>0</v>
      </c>
    </row>
    <row r="1552" spans="1:9" x14ac:dyDescent="0.2">
      <c r="A1552" t="s">
        <v>263</v>
      </c>
      <c r="B1552" t="s">
        <v>324</v>
      </c>
      <c r="C1552" t="s">
        <v>476</v>
      </c>
      <c r="D1552" t="s">
        <v>503</v>
      </c>
      <c r="E1552" t="s">
        <v>478</v>
      </c>
      <c r="F1552" t="s">
        <v>515</v>
      </c>
      <c r="G1552" t="s">
        <v>319</v>
      </c>
      <c r="H1552">
        <v>512.20168843859256</v>
      </c>
      <c r="I1552">
        <v>550</v>
      </c>
    </row>
    <row r="1553" spans="1:9" x14ac:dyDescent="0.2">
      <c r="A1553" t="s">
        <v>264</v>
      </c>
      <c r="B1553" t="s">
        <v>325</v>
      </c>
      <c r="C1553" t="s">
        <v>477</v>
      </c>
      <c r="D1553" t="s">
        <v>504</v>
      </c>
      <c r="E1553" t="s">
        <v>477</v>
      </c>
      <c r="F1553" t="s">
        <v>516</v>
      </c>
      <c r="G1553" t="s">
        <v>569</v>
      </c>
      <c r="H1553">
        <v>137.34523897192631</v>
      </c>
      <c r="I1553">
        <v>150</v>
      </c>
    </row>
    <row r="1554" spans="1:9" x14ac:dyDescent="0.2">
      <c r="A1554" t="s">
        <v>265</v>
      </c>
      <c r="B1554" t="s">
        <v>326</v>
      </c>
      <c r="C1554" t="s">
        <v>478</v>
      </c>
      <c r="D1554" t="s">
        <v>505</v>
      </c>
      <c r="E1554" t="s">
        <v>478</v>
      </c>
      <c r="F1554" t="s">
        <v>517</v>
      </c>
      <c r="G1554" t="s">
        <v>570</v>
      </c>
      <c r="H1554">
        <v>0</v>
      </c>
      <c r="I1554">
        <v>0</v>
      </c>
    </row>
    <row r="1555" spans="1:9" x14ac:dyDescent="0.2">
      <c r="A1555" t="s">
        <v>266</v>
      </c>
      <c r="B1555" t="s">
        <v>327</v>
      </c>
      <c r="C1555" t="s">
        <v>479</v>
      </c>
      <c r="D1555" t="s">
        <v>506</v>
      </c>
      <c r="E1555" t="s">
        <v>479</v>
      </c>
      <c r="F1555" t="s">
        <v>518</v>
      </c>
      <c r="G1555" t="s">
        <v>571</v>
      </c>
      <c r="H1555">
        <v>437.1338624340375</v>
      </c>
      <c r="I1555">
        <v>450</v>
      </c>
    </row>
    <row r="1556" spans="1:9" x14ac:dyDescent="0.2">
      <c r="A1556" t="s">
        <v>267</v>
      </c>
      <c r="B1556" t="s">
        <v>328</v>
      </c>
      <c r="C1556" t="s">
        <v>480</v>
      </c>
      <c r="D1556" t="s">
        <v>507</v>
      </c>
      <c r="E1556" t="s">
        <v>480</v>
      </c>
      <c r="F1556" t="s">
        <v>519</v>
      </c>
      <c r="G1556" t="s">
        <v>572</v>
      </c>
      <c r="H1556">
        <v>0</v>
      </c>
      <c r="I1556">
        <v>0</v>
      </c>
    </row>
    <row r="1557" spans="1:9" x14ac:dyDescent="0.2">
      <c r="A1557" t="s">
        <v>268</v>
      </c>
      <c r="B1557" t="s">
        <v>329</v>
      </c>
      <c r="C1557" t="s">
        <v>478</v>
      </c>
      <c r="D1557" t="s">
        <v>505</v>
      </c>
      <c r="E1557" t="s">
        <v>478</v>
      </c>
      <c r="F1557" t="s">
        <v>520</v>
      </c>
      <c r="G1557" t="s">
        <v>571</v>
      </c>
      <c r="H1557">
        <v>0</v>
      </c>
      <c r="I1557">
        <v>0</v>
      </c>
    </row>
    <row r="1558" spans="1:9" x14ac:dyDescent="0.2">
      <c r="A1558" t="s">
        <v>268</v>
      </c>
      <c r="B1558" t="s">
        <v>330</v>
      </c>
      <c r="C1558" t="s">
        <v>478</v>
      </c>
      <c r="D1558" t="s">
        <v>505</v>
      </c>
      <c r="E1558" t="s">
        <v>478</v>
      </c>
      <c r="F1558" t="s">
        <v>516</v>
      </c>
      <c r="G1558" t="s">
        <v>571</v>
      </c>
      <c r="H1558">
        <v>0</v>
      </c>
      <c r="I1558">
        <v>0</v>
      </c>
    </row>
    <row r="1559" spans="1:9" x14ac:dyDescent="0.2">
      <c r="A1559" t="s">
        <v>268</v>
      </c>
      <c r="B1559" t="s">
        <v>331</v>
      </c>
      <c r="C1559" t="s">
        <v>478</v>
      </c>
      <c r="D1559" t="s">
        <v>505</v>
      </c>
      <c r="E1559" t="s">
        <v>478</v>
      </c>
      <c r="F1559" t="s">
        <v>520</v>
      </c>
      <c r="G1559" t="s">
        <v>571</v>
      </c>
      <c r="H1559">
        <v>0</v>
      </c>
      <c r="I1559">
        <v>0</v>
      </c>
    </row>
    <row r="1560" spans="1:9" x14ac:dyDescent="0.2">
      <c r="A1560" t="s">
        <v>269</v>
      </c>
      <c r="B1560" t="s">
        <v>332</v>
      </c>
      <c r="C1560" t="s">
        <v>481</v>
      </c>
      <c r="D1560" t="s">
        <v>508</v>
      </c>
      <c r="E1560" t="s">
        <v>481</v>
      </c>
      <c r="F1560" t="s">
        <v>521</v>
      </c>
      <c r="G1560" t="s">
        <v>573</v>
      </c>
      <c r="H1560">
        <v>0</v>
      </c>
      <c r="I1560">
        <v>0</v>
      </c>
    </row>
    <row r="1561" spans="1:9" x14ac:dyDescent="0.2">
      <c r="A1561" t="s">
        <v>270</v>
      </c>
      <c r="B1561" t="s">
        <v>333</v>
      </c>
      <c r="C1561" t="s">
        <v>481</v>
      </c>
      <c r="D1561" t="s">
        <v>508</v>
      </c>
      <c r="E1561" t="s">
        <v>481</v>
      </c>
      <c r="F1561" t="s">
        <v>522</v>
      </c>
      <c r="G1561" t="s">
        <v>573</v>
      </c>
      <c r="H1561">
        <v>0</v>
      </c>
      <c r="I1561">
        <v>0</v>
      </c>
    </row>
    <row r="1562" spans="1:9" x14ac:dyDescent="0.2">
      <c r="A1562" t="s">
        <v>270</v>
      </c>
      <c r="B1562" t="s">
        <v>334</v>
      </c>
      <c r="C1562" t="s">
        <v>481</v>
      </c>
      <c r="D1562" t="s">
        <v>508</v>
      </c>
      <c r="E1562" t="s">
        <v>481</v>
      </c>
      <c r="F1562" t="s">
        <v>523</v>
      </c>
      <c r="G1562" t="s">
        <v>573</v>
      </c>
      <c r="H1562">
        <v>0</v>
      </c>
      <c r="I1562">
        <v>0</v>
      </c>
    </row>
    <row r="1563" spans="1:9" x14ac:dyDescent="0.2">
      <c r="A1563" t="s">
        <v>271</v>
      </c>
      <c r="B1563" t="s">
        <v>335</v>
      </c>
      <c r="C1563" t="s">
        <v>478</v>
      </c>
      <c r="D1563" t="s">
        <v>505</v>
      </c>
      <c r="E1563" t="s">
        <v>478</v>
      </c>
      <c r="F1563" t="s">
        <v>524</v>
      </c>
      <c r="G1563" t="s">
        <v>574</v>
      </c>
      <c r="H1563">
        <v>0</v>
      </c>
      <c r="I1563">
        <v>0</v>
      </c>
    </row>
    <row r="1564" spans="1:9" x14ac:dyDescent="0.2">
      <c r="A1564" t="s">
        <v>269</v>
      </c>
      <c r="B1564" t="s">
        <v>336</v>
      </c>
      <c r="C1564" t="s">
        <v>481</v>
      </c>
      <c r="D1564" t="s">
        <v>508</v>
      </c>
      <c r="E1564" t="s">
        <v>481</v>
      </c>
      <c r="F1564" t="s">
        <v>525</v>
      </c>
      <c r="G1564" t="s">
        <v>573</v>
      </c>
      <c r="H1564">
        <v>0</v>
      </c>
      <c r="I1564">
        <v>0</v>
      </c>
    </row>
    <row r="1565" spans="1:9" x14ac:dyDescent="0.2">
      <c r="A1565" t="s">
        <v>272</v>
      </c>
      <c r="B1565" t="s">
        <v>337</v>
      </c>
      <c r="C1565" t="s">
        <v>481</v>
      </c>
      <c r="D1565" t="s">
        <v>508</v>
      </c>
      <c r="E1565" t="s">
        <v>481</v>
      </c>
      <c r="F1565" t="s">
        <v>526</v>
      </c>
      <c r="G1565" t="s">
        <v>572</v>
      </c>
      <c r="H1565">
        <v>0</v>
      </c>
      <c r="I1565">
        <v>0</v>
      </c>
    </row>
    <row r="1566" spans="1:9" x14ac:dyDescent="0.2">
      <c r="A1566" t="s">
        <v>272</v>
      </c>
      <c r="B1566" t="s">
        <v>338</v>
      </c>
      <c r="C1566" t="s">
        <v>481</v>
      </c>
      <c r="D1566" t="s">
        <v>508</v>
      </c>
      <c r="E1566" t="s">
        <v>481</v>
      </c>
      <c r="F1566" t="s">
        <v>527</v>
      </c>
      <c r="G1566" t="s">
        <v>572</v>
      </c>
      <c r="H1566">
        <v>0</v>
      </c>
      <c r="I1566">
        <v>0</v>
      </c>
    </row>
    <row r="1567" spans="1:9" x14ac:dyDescent="0.2">
      <c r="A1567" t="s">
        <v>273</v>
      </c>
      <c r="B1567" t="s">
        <v>339</v>
      </c>
      <c r="C1567" t="s">
        <v>481</v>
      </c>
      <c r="D1567" t="s">
        <v>508</v>
      </c>
      <c r="E1567" t="s">
        <v>481</v>
      </c>
      <c r="F1567" t="s">
        <v>527</v>
      </c>
      <c r="G1567" t="s">
        <v>572</v>
      </c>
      <c r="H1567">
        <v>0</v>
      </c>
      <c r="I1567">
        <v>0</v>
      </c>
    </row>
    <row r="1568" spans="1:9" x14ac:dyDescent="0.2">
      <c r="A1568" t="s">
        <v>273</v>
      </c>
      <c r="B1568" t="s">
        <v>340</v>
      </c>
      <c r="C1568" t="s">
        <v>482</v>
      </c>
      <c r="D1568" t="s">
        <v>509</v>
      </c>
      <c r="E1568" t="s">
        <v>482</v>
      </c>
      <c r="F1568" t="s">
        <v>528</v>
      </c>
      <c r="G1568" t="s">
        <v>572</v>
      </c>
      <c r="H1568">
        <v>0</v>
      </c>
      <c r="I1568">
        <v>0</v>
      </c>
    </row>
    <row r="1569" spans="1:9" x14ac:dyDescent="0.2">
      <c r="A1569" t="s">
        <v>273</v>
      </c>
      <c r="B1569" t="s">
        <v>341</v>
      </c>
      <c r="C1569" t="s">
        <v>481</v>
      </c>
      <c r="D1569" t="s">
        <v>508</v>
      </c>
      <c r="E1569" t="s">
        <v>481</v>
      </c>
      <c r="F1569" t="s">
        <v>527</v>
      </c>
      <c r="G1569" t="s">
        <v>572</v>
      </c>
      <c r="H1569">
        <v>0</v>
      </c>
      <c r="I1569">
        <v>0</v>
      </c>
    </row>
    <row r="1570" spans="1:9" x14ac:dyDescent="0.2">
      <c r="A1570" t="s">
        <v>273</v>
      </c>
      <c r="B1570" t="s">
        <v>342</v>
      </c>
      <c r="C1570" t="s">
        <v>481</v>
      </c>
      <c r="D1570" t="s">
        <v>508</v>
      </c>
      <c r="E1570" t="s">
        <v>481</v>
      </c>
      <c r="F1570" t="s">
        <v>526</v>
      </c>
      <c r="G1570" t="s">
        <v>572</v>
      </c>
      <c r="H1570">
        <v>0</v>
      </c>
      <c r="I1570">
        <v>0</v>
      </c>
    </row>
    <row r="1571" spans="1:9" x14ac:dyDescent="0.2">
      <c r="A1571" t="s">
        <v>274</v>
      </c>
      <c r="B1571" t="s">
        <v>343</v>
      </c>
      <c r="C1571" t="s">
        <v>483</v>
      </c>
      <c r="D1571" t="s">
        <v>510</v>
      </c>
      <c r="E1571" t="s">
        <v>483</v>
      </c>
      <c r="F1571" t="s">
        <v>529</v>
      </c>
      <c r="G1571" t="s">
        <v>575</v>
      </c>
      <c r="H1571">
        <v>0</v>
      </c>
      <c r="I1571">
        <v>0</v>
      </c>
    </row>
    <row r="1572" spans="1:9" x14ac:dyDescent="0.2">
      <c r="A1572" t="s">
        <v>275</v>
      </c>
      <c r="B1572" t="s">
        <v>344</v>
      </c>
      <c r="C1572" t="s">
        <v>478</v>
      </c>
      <c r="D1572" t="s">
        <v>505</v>
      </c>
      <c r="E1572" t="s">
        <v>477</v>
      </c>
      <c r="F1572" t="s">
        <v>530</v>
      </c>
      <c r="G1572" t="s">
        <v>575</v>
      </c>
      <c r="H1572">
        <v>0</v>
      </c>
      <c r="I1572">
        <v>0</v>
      </c>
    </row>
    <row r="1573" spans="1:9" x14ac:dyDescent="0.2">
      <c r="A1573" t="s">
        <v>275</v>
      </c>
      <c r="B1573" t="s">
        <v>345</v>
      </c>
      <c r="C1573" t="s">
        <v>478</v>
      </c>
      <c r="D1573" t="s">
        <v>505</v>
      </c>
      <c r="E1573" t="s">
        <v>477</v>
      </c>
      <c r="F1573" t="s">
        <v>530</v>
      </c>
      <c r="G1573" t="s">
        <v>575</v>
      </c>
      <c r="H1573">
        <v>0</v>
      </c>
      <c r="I1573">
        <v>0</v>
      </c>
    </row>
    <row r="1574" spans="1:9" x14ac:dyDescent="0.2">
      <c r="A1574" t="s">
        <v>275</v>
      </c>
      <c r="B1574" t="s">
        <v>346</v>
      </c>
      <c r="C1574" t="s">
        <v>478</v>
      </c>
      <c r="D1574" t="s">
        <v>505</v>
      </c>
      <c r="E1574" t="s">
        <v>477</v>
      </c>
      <c r="F1574" t="s">
        <v>530</v>
      </c>
      <c r="G1574" t="s">
        <v>575</v>
      </c>
      <c r="H1574">
        <v>0</v>
      </c>
      <c r="I1574">
        <v>0</v>
      </c>
    </row>
    <row r="1575" spans="1:9" x14ac:dyDescent="0.2">
      <c r="A1575" t="s">
        <v>275</v>
      </c>
      <c r="B1575" t="s">
        <v>347</v>
      </c>
      <c r="C1575" t="s">
        <v>478</v>
      </c>
      <c r="D1575" t="s">
        <v>505</v>
      </c>
      <c r="E1575" t="s">
        <v>477</v>
      </c>
      <c r="F1575" t="s">
        <v>530</v>
      </c>
      <c r="G1575" t="s">
        <v>575</v>
      </c>
      <c r="H1575">
        <v>0</v>
      </c>
      <c r="I1575">
        <v>0</v>
      </c>
    </row>
    <row r="1576" spans="1:9" x14ac:dyDescent="0.2">
      <c r="A1576" t="s">
        <v>275</v>
      </c>
      <c r="B1576" t="s">
        <v>348</v>
      </c>
      <c r="C1576" t="s">
        <v>478</v>
      </c>
      <c r="D1576" t="s">
        <v>505</v>
      </c>
      <c r="E1576" t="s">
        <v>477</v>
      </c>
      <c r="F1576" t="s">
        <v>530</v>
      </c>
      <c r="G1576" t="s">
        <v>575</v>
      </c>
      <c r="H1576">
        <v>0</v>
      </c>
      <c r="I1576">
        <v>0</v>
      </c>
    </row>
    <row r="1577" spans="1:9" x14ac:dyDescent="0.2">
      <c r="A1577" t="s">
        <v>275</v>
      </c>
      <c r="B1577" t="s">
        <v>349</v>
      </c>
      <c r="C1577" t="s">
        <v>478</v>
      </c>
      <c r="D1577" t="s">
        <v>505</v>
      </c>
      <c r="E1577" t="s">
        <v>477</v>
      </c>
      <c r="F1577" t="s">
        <v>530</v>
      </c>
      <c r="G1577" t="s">
        <v>575</v>
      </c>
      <c r="H1577">
        <v>0</v>
      </c>
      <c r="I1577">
        <v>0</v>
      </c>
    </row>
    <row r="1578" spans="1:9" x14ac:dyDescent="0.2">
      <c r="A1578" t="s">
        <v>275</v>
      </c>
      <c r="B1578" t="s">
        <v>350</v>
      </c>
      <c r="C1578" t="s">
        <v>478</v>
      </c>
      <c r="D1578" t="s">
        <v>505</v>
      </c>
      <c r="E1578" t="s">
        <v>477</v>
      </c>
      <c r="F1578" t="s">
        <v>530</v>
      </c>
      <c r="G1578" t="s">
        <v>575</v>
      </c>
      <c r="H1578">
        <v>0</v>
      </c>
      <c r="I1578">
        <v>0</v>
      </c>
    </row>
    <row r="1579" spans="1:9" x14ac:dyDescent="0.2">
      <c r="A1579" t="s">
        <v>275</v>
      </c>
      <c r="B1579" t="s">
        <v>351</v>
      </c>
      <c r="C1579" t="s">
        <v>478</v>
      </c>
      <c r="D1579" t="s">
        <v>505</v>
      </c>
      <c r="E1579" t="s">
        <v>477</v>
      </c>
      <c r="F1579" t="s">
        <v>530</v>
      </c>
      <c r="G1579" t="s">
        <v>575</v>
      </c>
      <c r="H1579">
        <v>0</v>
      </c>
      <c r="I1579">
        <v>0</v>
      </c>
    </row>
    <row r="1580" spans="1:9" x14ac:dyDescent="0.2">
      <c r="A1580" t="s">
        <v>275</v>
      </c>
      <c r="B1580" t="s">
        <v>352</v>
      </c>
      <c r="C1580" t="s">
        <v>478</v>
      </c>
      <c r="D1580" t="s">
        <v>505</v>
      </c>
      <c r="E1580" t="s">
        <v>477</v>
      </c>
      <c r="F1580" t="s">
        <v>530</v>
      </c>
      <c r="G1580" t="s">
        <v>575</v>
      </c>
      <c r="H1580">
        <v>0</v>
      </c>
      <c r="I1580">
        <v>0</v>
      </c>
    </row>
    <row r="1581" spans="1:9" x14ac:dyDescent="0.2">
      <c r="A1581" t="s">
        <v>264</v>
      </c>
      <c r="B1581" t="s">
        <v>353</v>
      </c>
      <c r="C1581" t="s">
        <v>478</v>
      </c>
      <c r="D1581" t="s">
        <v>505</v>
      </c>
      <c r="E1581" t="s">
        <v>477</v>
      </c>
      <c r="F1581" t="s">
        <v>516</v>
      </c>
      <c r="G1581" t="s">
        <v>575</v>
      </c>
      <c r="H1581">
        <v>0</v>
      </c>
      <c r="I1581">
        <v>0</v>
      </c>
    </row>
    <row r="1582" spans="1:9" x14ac:dyDescent="0.2">
      <c r="A1582" t="s">
        <v>276</v>
      </c>
      <c r="B1582" t="s">
        <v>354</v>
      </c>
      <c r="C1582" t="s">
        <v>484</v>
      </c>
      <c r="D1582" t="s">
        <v>511</v>
      </c>
      <c r="E1582" t="s">
        <v>484</v>
      </c>
      <c r="F1582" t="s">
        <v>531</v>
      </c>
      <c r="G1582" t="s">
        <v>575</v>
      </c>
      <c r="H1582">
        <v>0</v>
      </c>
      <c r="I1582">
        <v>0</v>
      </c>
    </row>
    <row r="1583" spans="1:9" x14ac:dyDescent="0.2">
      <c r="A1583" t="s">
        <v>275</v>
      </c>
      <c r="B1583" t="s">
        <v>355</v>
      </c>
      <c r="C1583" t="s">
        <v>478</v>
      </c>
      <c r="D1583" t="s">
        <v>505</v>
      </c>
      <c r="E1583" t="s">
        <v>477</v>
      </c>
      <c r="F1583" t="s">
        <v>530</v>
      </c>
      <c r="G1583" t="s">
        <v>575</v>
      </c>
      <c r="H1583">
        <v>0</v>
      </c>
      <c r="I1583">
        <v>0</v>
      </c>
    </row>
    <row r="1584" spans="1:9" x14ac:dyDescent="0.2">
      <c r="A1584" t="s">
        <v>275</v>
      </c>
      <c r="B1584" t="s">
        <v>356</v>
      </c>
      <c r="C1584" t="s">
        <v>478</v>
      </c>
      <c r="D1584" t="s">
        <v>505</v>
      </c>
      <c r="E1584" t="s">
        <v>477</v>
      </c>
      <c r="F1584" t="s">
        <v>530</v>
      </c>
      <c r="G1584" t="s">
        <v>575</v>
      </c>
      <c r="H1584">
        <v>0</v>
      </c>
      <c r="I1584">
        <v>0</v>
      </c>
    </row>
    <row r="1585" spans="1:9" x14ac:dyDescent="0.2">
      <c r="A1585" t="s">
        <v>275</v>
      </c>
      <c r="B1585" t="s">
        <v>357</v>
      </c>
      <c r="C1585" t="s">
        <v>478</v>
      </c>
      <c r="D1585" t="s">
        <v>505</v>
      </c>
      <c r="E1585" t="s">
        <v>477</v>
      </c>
      <c r="F1585" t="s">
        <v>530</v>
      </c>
      <c r="G1585" t="s">
        <v>575</v>
      </c>
      <c r="H1585">
        <v>0</v>
      </c>
      <c r="I1585">
        <v>0</v>
      </c>
    </row>
    <row r="1586" spans="1:9" x14ac:dyDescent="0.2">
      <c r="A1586" t="s">
        <v>275</v>
      </c>
      <c r="B1586" t="s">
        <v>358</v>
      </c>
      <c r="C1586" t="s">
        <v>478</v>
      </c>
      <c r="D1586" t="s">
        <v>505</v>
      </c>
      <c r="E1586" t="s">
        <v>477</v>
      </c>
      <c r="F1586" t="s">
        <v>530</v>
      </c>
      <c r="G1586" t="s">
        <v>575</v>
      </c>
      <c r="H1586">
        <v>0</v>
      </c>
      <c r="I1586">
        <v>0</v>
      </c>
    </row>
    <row r="1587" spans="1:9" x14ac:dyDescent="0.2">
      <c r="A1587" t="s">
        <v>275</v>
      </c>
      <c r="B1587" t="s">
        <v>359</v>
      </c>
      <c r="C1587" t="s">
        <v>478</v>
      </c>
      <c r="D1587" t="s">
        <v>505</v>
      </c>
      <c r="E1587" t="s">
        <v>477</v>
      </c>
      <c r="F1587" t="s">
        <v>530</v>
      </c>
      <c r="G1587" t="s">
        <v>575</v>
      </c>
      <c r="H1587">
        <v>0</v>
      </c>
      <c r="I1587">
        <v>0</v>
      </c>
    </row>
    <row r="1588" spans="1:9" x14ac:dyDescent="0.2">
      <c r="A1588" t="s">
        <v>275</v>
      </c>
      <c r="B1588" t="s">
        <v>360</v>
      </c>
      <c r="C1588" t="s">
        <v>478</v>
      </c>
      <c r="D1588" t="s">
        <v>505</v>
      </c>
      <c r="E1588" t="s">
        <v>477</v>
      </c>
      <c r="F1588" t="s">
        <v>530</v>
      </c>
      <c r="G1588" t="s">
        <v>575</v>
      </c>
      <c r="H1588">
        <v>0</v>
      </c>
      <c r="I1588">
        <v>0</v>
      </c>
    </row>
    <row r="1589" spans="1:9" x14ac:dyDescent="0.2">
      <c r="A1589" t="s">
        <v>264</v>
      </c>
      <c r="B1589" t="s">
        <v>361</v>
      </c>
      <c r="C1589" t="s">
        <v>478</v>
      </c>
      <c r="D1589" t="s">
        <v>505</v>
      </c>
      <c r="E1589" t="s">
        <v>477</v>
      </c>
      <c r="F1589" t="s">
        <v>516</v>
      </c>
      <c r="G1589" t="s">
        <v>575</v>
      </c>
      <c r="H1589">
        <v>0</v>
      </c>
      <c r="I1589">
        <v>0</v>
      </c>
    </row>
    <row r="1590" spans="1:9" x14ac:dyDescent="0.2">
      <c r="A1590" t="s">
        <v>265</v>
      </c>
      <c r="B1590" t="s">
        <v>362</v>
      </c>
      <c r="C1590" t="s">
        <v>478</v>
      </c>
      <c r="D1590" t="s">
        <v>505</v>
      </c>
      <c r="E1590" t="s">
        <v>491</v>
      </c>
      <c r="F1590" t="s">
        <v>532</v>
      </c>
      <c r="G1590" t="s">
        <v>570</v>
      </c>
      <c r="H1590">
        <v>0</v>
      </c>
      <c r="I1590">
        <v>0</v>
      </c>
    </row>
    <row r="1591" spans="1:9" x14ac:dyDescent="0.2">
      <c r="A1591" t="s">
        <v>277</v>
      </c>
      <c r="B1591" t="s">
        <v>363</v>
      </c>
      <c r="C1591" t="s">
        <v>485</v>
      </c>
      <c r="D1591" t="s">
        <v>512</v>
      </c>
      <c r="E1591" t="s">
        <v>485</v>
      </c>
      <c r="F1591" t="s">
        <v>525</v>
      </c>
      <c r="G1591" t="s">
        <v>571</v>
      </c>
      <c r="H1591">
        <v>0</v>
      </c>
      <c r="I1591">
        <v>0</v>
      </c>
    </row>
    <row r="1592" spans="1:9" x14ac:dyDescent="0.2">
      <c r="A1592" t="s">
        <v>267</v>
      </c>
      <c r="B1592" t="s">
        <v>364</v>
      </c>
      <c r="C1592" t="s">
        <v>480</v>
      </c>
      <c r="D1592" t="s">
        <v>507</v>
      </c>
      <c r="E1592" t="s">
        <v>480</v>
      </c>
      <c r="F1592" t="s">
        <v>533</v>
      </c>
      <c r="G1592" t="s">
        <v>572</v>
      </c>
      <c r="H1592">
        <v>0</v>
      </c>
      <c r="I1592">
        <v>0</v>
      </c>
    </row>
    <row r="1593" spans="1:9" x14ac:dyDescent="0.2">
      <c r="A1593" t="s">
        <v>278</v>
      </c>
      <c r="B1593" t="s">
        <v>365</v>
      </c>
      <c r="C1593" t="s">
        <v>486</v>
      </c>
      <c r="D1593" t="s">
        <v>513</v>
      </c>
      <c r="E1593" t="s">
        <v>486</v>
      </c>
      <c r="F1593" t="s">
        <v>534</v>
      </c>
      <c r="G1593" t="s">
        <v>573</v>
      </c>
      <c r="H1593">
        <v>0</v>
      </c>
      <c r="I1593">
        <v>0</v>
      </c>
    </row>
    <row r="1594" spans="1:9" x14ac:dyDescent="0.2">
      <c r="A1594" t="s">
        <v>278</v>
      </c>
      <c r="B1594" t="s">
        <v>366</v>
      </c>
      <c r="C1594" t="s">
        <v>486</v>
      </c>
      <c r="D1594" t="s">
        <v>513</v>
      </c>
      <c r="E1594" t="s">
        <v>486</v>
      </c>
      <c r="F1594" t="s">
        <v>534</v>
      </c>
      <c r="G1594" t="s">
        <v>573</v>
      </c>
      <c r="H1594">
        <v>0</v>
      </c>
      <c r="I1594">
        <v>0</v>
      </c>
    </row>
    <row r="1595" spans="1:9" x14ac:dyDescent="0.2">
      <c r="A1595" t="s">
        <v>279</v>
      </c>
      <c r="B1595" t="s">
        <v>367</v>
      </c>
      <c r="C1595" t="s">
        <v>487</v>
      </c>
      <c r="D1595" t="s">
        <v>514</v>
      </c>
      <c r="E1595" t="s">
        <v>487</v>
      </c>
      <c r="F1595" t="s">
        <v>535</v>
      </c>
      <c r="G1595" t="s">
        <v>573</v>
      </c>
      <c r="H1595">
        <v>0</v>
      </c>
      <c r="I1595">
        <v>0</v>
      </c>
    </row>
    <row r="1596" spans="1:9" x14ac:dyDescent="0.2">
      <c r="A1596" t="s">
        <v>279</v>
      </c>
      <c r="B1596" t="s">
        <v>368</v>
      </c>
      <c r="C1596" t="s">
        <v>487</v>
      </c>
      <c r="D1596" t="s">
        <v>514</v>
      </c>
      <c r="E1596" t="s">
        <v>487</v>
      </c>
      <c r="F1596" t="s">
        <v>527</v>
      </c>
      <c r="G1596" t="s">
        <v>573</v>
      </c>
      <c r="H1596">
        <v>0</v>
      </c>
      <c r="I1596">
        <v>0</v>
      </c>
    </row>
    <row r="1597" spans="1:9" x14ac:dyDescent="0.2">
      <c r="A1597" t="s">
        <v>280</v>
      </c>
      <c r="B1597" t="s">
        <v>369</v>
      </c>
      <c r="C1597" t="s">
        <v>482</v>
      </c>
      <c r="D1597">
        <v>0</v>
      </c>
      <c r="E1597" t="s">
        <v>482</v>
      </c>
      <c r="F1597" t="s">
        <v>526</v>
      </c>
      <c r="G1597" t="s">
        <v>572</v>
      </c>
      <c r="H1597">
        <v>0</v>
      </c>
      <c r="I1597">
        <v>0</v>
      </c>
    </row>
    <row r="1598" spans="1:9" x14ac:dyDescent="0.2">
      <c r="A1598" t="s">
        <v>280</v>
      </c>
      <c r="B1598" t="s">
        <v>370</v>
      </c>
      <c r="C1598" t="s">
        <v>482</v>
      </c>
      <c r="D1598">
        <v>0</v>
      </c>
      <c r="E1598" t="s">
        <v>482</v>
      </c>
      <c r="F1598" t="s">
        <v>527</v>
      </c>
      <c r="G1598" t="s">
        <v>572</v>
      </c>
      <c r="H1598">
        <v>0</v>
      </c>
      <c r="I1598">
        <v>0</v>
      </c>
    </row>
    <row r="1599" spans="1:9" x14ac:dyDescent="0.2">
      <c r="A1599" t="s">
        <v>272</v>
      </c>
      <c r="B1599" t="s">
        <v>371</v>
      </c>
      <c r="C1599" t="s">
        <v>482</v>
      </c>
      <c r="D1599">
        <v>0</v>
      </c>
      <c r="E1599" t="s">
        <v>482</v>
      </c>
      <c r="F1599" t="s">
        <v>527</v>
      </c>
      <c r="G1599" t="s">
        <v>572</v>
      </c>
      <c r="H1599">
        <v>0</v>
      </c>
      <c r="I1599">
        <v>0</v>
      </c>
    </row>
    <row r="1600" spans="1:9" x14ac:dyDescent="0.2">
      <c r="A1600" t="s">
        <v>272</v>
      </c>
      <c r="B1600" t="s">
        <v>372</v>
      </c>
      <c r="C1600" t="s">
        <v>488</v>
      </c>
      <c r="D1600">
        <v>0</v>
      </c>
      <c r="E1600" t="s">
        <v>488</v>
      </c>
      <c r="F1600" t="s">
        <v>528</v>
      </c>
      <c r="G1600" t="s">
        <v>572</v>
      </c>
      <c r="H1600">
        <v>0</v>
      </c>
      <c r="I1600">
        <v>0</v>
      </c>
    </row>
    <row r="1601" spans="1:9" x14ac:dyDescent="0.2">
      <c r="A1601" t="s">
        <v>281</v>
      </c>
      <c r="B1601" t="s">
        <v>373</v>
      </c>
      <c r="C1601" t="s">
        <v>482</v>
      </c>
      <c r="D1601">
        <v>0</v>
      </c>
      <c r="E1601" t="s">
        <v>482</v>
      </c>
      <c r="F1601" t="s">
        <v>527</v>
      </c>
      <c r="G1601" t="s">
        <v>572</v>
      </c>
      <c r="H1601">
        <v>0</v>
      </c>
      <c r="I1601">
        <v>0</v>
      </c>
    </row>
    <row r="1602" spans="1:9" x14ac:dyDescent="0.2">
      <c r="A1602" t="s">
        <v>273</v>
      </c>
      <c r="B1602" t="s">
        <v>374</v>
      </c>
      <c r="C1602" t="s">
        <v>481</v>
      </c>
      <c r="D1602">
        <v>0</v>
      </c>
      <c r="E1602" t="s">
        <v>481</v>
      </c>
      <c r="F1602" t="s">
        <v>526</v>
      </c>
      <c r="G1602" t="s">
        <v>572</v>
      </c>
      <c r="H1602">
        <v>0</v>
      </c>
      <c r="I1602">
        <v>0</v>
      </c>
    </row>
    <row r="1603" spans="1:9" x14ac:dyDescent="0.2">
      <c r="A1603" t="s">
        <v>282</v>
      </c>
      <c r="B1603" t="s">
        <v>375</v>
      </c>
      <c r="C1603" t="s">
        <v>489</v>
      </c>
      <c r="D1603">
        <v>0</v>
      </c>
      <c r="E1603" t="s">
        <v>489</v>
      </c>
      <c r="F1603" t="s">
        <v>526</v>
      </c>
      <c r="G1603" t="s">
        <v>572</v>
      </c>
      <c r="H1603">
        <v>0</v>
      </c>
      <c r="I1603">
        <v>0</v>
      </c>
    </row>
    <row r="1604" spans="1:9" x14ac:dyDescent="0.2">
      <c r="A1604" t="s">
        <v>283</v>
      </c>
      <c r="B1604" t="s">
        <v>376</v>
      </c>
      <c r="C1604" t="s">
        <v>490</v>
      </c>
      <c r="D1604">
        <v>0</v>
      </c>
      <c r="E1604" t="s">
        <v>478</v>
      </c>
      <c r="F1604" t="s">
        <v>536</v>
      </c>
      <c r="G1604" t="s">
        <v>575</v>
      </c>
      <c r="H1604">
        <v>0</v>
      </c>
      <c r="I1604">
        <v>0</v>
      </c>
    </row>
    <row r="1605" spans="1:9" x14ac:dyDescent="0.2">
      <c r="A1605" t="s">
        <v>275</v>
      </c>
      <c r="B1605" t="s">
        <v>377</v>
      </c>
      <c r="C1605" t="s">
        <v>478</v>
      </c>
      <c r="D1605">
        <v>0</v>
      </c>
      <c r="E1605" t="s">
        <v>477</v>
      </c>
      <c r="F1605" t="s">
        <v>537</v>
      </c>
      <c r="G1605" t="s">
        <v>575</v>
      </c>
      <c r="H1605">
        <v>0</v>
      </c>
      <c r="I1605">
        <v>0</v>
      </c>
    </row>
    <row r="1606" spans="1:9" x14ac:dyDescent="0.2">
      <c r="A1606" t="s">
        <v>275</v>
      </c>
      <c r="B1606" t="s">
        <v>378</v>
      </c>
      <c r="C1606" t="s">
        <v>478</v>
      </c>
      <c r="D1606">
        <v>0</v>
      </c>
      <c r="E1606" t="s">
        <v>477</v>
      </c>
      <c r="F1606" t="s">
        <v>538</v>
      </c>
      <c r="G1606" t="s">
        <v>575</v>
      </c>
      <c r="H1606">
        <v>0</v>
      </c>
      <c r="I1606">
        <v>0</v>
      </c>
    </row>
    <row r="1607" spans="1:9" x14ac:dyDescent="0.2">
      <c r="A1607" t="s">
        <v>275</v>
      </c>
      <c r="B1607" t="s">
        <v>379</v>
      </c>
      <c r="C1607" t="s">
        <v>478</v>
      </c>
      <c r="D1607">
        <v>0</v>
      </c>
      <c r="E1607" t="s">
        <v>477</v>
      </c>
      <c r="F1607" t="s">
        <v>538</v>
      </c>
      <c r="G1607" t="s">
        <v>575</v>
      </c>
      <c r="H1607">
        <v>0</v>
      </c>
      <c r="I1607">
        <v>0</v>
      </c>
    </row>
    <row r="1608" spans="1:9" x14ac:dyDescent="0.2">
      <c r="A1608" t="s">
        <v>275</v>
      </c>
      <c r="B1608" t="s">
        <v>380</v>
      </c>
      <c r="C1608" t="s">
        <v>478</v>
      </c>
      <c r="D1608">
        <v>0</v>
      </c>
      <c r="E1608" t="s">
        <v>477</v>
      </c>
      <c r="F1608" t="s">
        <v>530</v>
      </c>
      <c r="G1608" t="s">
        <v>575</v>
      </c>
      <c r="H1608">
        <v>0</v>
      </c>
      <c r="I1608">
        <v>0</v>
      </c>
    </row>
    <row r="1609" spans="1:9" x14ac:dyDescent="0.2">
      <c r="A1609" t="s">
        <v>275</v>
      </c>
      <c r="B1609" t="s">
        <v>381</v>
      </c>
      <c r="C1609" t="s">
        <v>478</v>
      </c>
      <c r="D1609">
        <v>0</v>
      </c>
      <c r="E1609" t="s">
        <v>477</v>
      </c>
      <c r="F1609" t="s">
        <v>530</v>
      </c>
      <c r="G1609" t="s">
        <v>575</v>
      </c>
      <c r="H1609">
        <v>0</v>
      </c>
      <c r="I1609">
        <v>0</v>
      </c>
    </row>
    <row r="1610" spans="1:9" x14ac:dyDescent="0.2">
      <c r="A1610" t="s">
        <v>275</v>
      </c>
      <c r="B1610" t="s">
        <v>382</v>
      </c>
      <c r="C1610" t="s">
        <v>478</v>
      </c>
      <c r="D1610">
        <v>0</v>
      </c>
      <c r="E1610" t="s">
        <v>477</v>
      </c>
      <c r="F1610" t="s">
        <v>530</v>
      </c>
      <c r="G1610" t="s">
        <v>575</v>
      </c>
      <c r="H1610">
        <v>0</v>
      </c>
      <c r="I1610">
        <v>0</v>
      </c>
    </row>
    <row r="1611" spans="1:9" x14ac:dyDescent="0.2">
      <c r="A1611" t="s">
        <v>275</v>
      </c>
      <c r="B1611" t="s">
        <v>383</v>
      </c>
      <c r="C1611" t="s">
        <v>478</v>
      </c>
      <c r="D1611">
        <v>0</v>
      </c>
      <c r="E1611" t="s">
        <v>477</v>
      </c>
      <c r="F1611" t="s">
        <v>530</v>
      </c>
      <c r="G1611" t="s">
        <v>575</v>
      </c>
      <c r="H1611">
        <v>0</v>
      </c>
      <c r="I1611">
        <v>0</v>
      </c>
    </row>
    <row r="1612" spans="1:9" x14ac:dyDescent="0.2">
      <c r="A1612" t="s">
        <v>264</v>
      </c>
      <c r="B1612" t="s">
        <v>384</v>
      </c>
      <c r="C1612" t="s">
        <v>478</v>
      </c>
      <c r="D1612">
        <v>0</v>
      </c>
      <c r="E1612" t="s">
        <v>477</v>
      </c>
      <c r="F1612" t="s">
        <v>516</v>
      </c>
      <c r="G1612" t="s">
        <v>575</v>
      </c>
      <c r="H1612">
        <v>0</v>
      </c>
      <c r="I1612">
        <v>0</v>
      </c>
    </row>
    <row r="1613" spans="1:9" x14ac:dyDescent="0.2">
      <c r="A1613" t="s">
        <v>284</v>
      </c>
      <c r="B1613" t="s">
        <v>385</v>
      </c>
      <c r="C1613" t="s">
        <v>477</v>
      </c>
      <c r="D1613">
        <v>0</v>
      </c>
      <c r="E1613" t="s">
        <v>477</v>
      </c>
      <c r="F1613" t="s">
        <v>539</v>
      </c>
      <c r="G1613" t="s">
        <v>570</v>
      </c>
      <c r="H1613">
        <v>0</v>
      </c>
      <c r="I1613">
        <v>0</v>
      </c>
    </row>
    <row r="1614" spans="1:9" x14ac:dyDescent="0.2">
      <c r="A1614" t="s">
        <v>285</v>
      </c>
      <c r="B1614" t="s">
        <v>386</v>
      </c>
      <c r="C1614" t="s">
        <v>477</v>
      </c>
      <c r="D1614">
        <v>0</v>
      </c>
      <c r="E1614" t="s">
        <v>477</v>
      </c>
      <c r="F1614" t="s">
        <v>531</v>
      </c>
      <c r="G1614" t="s">
        <v>570</v>
      </c>
      <c r="H1614">
        <v>0</v>
      </c>
      <c r="I1614">
        <v>0</v>
      </c>
    </row>
    <row r="1615" spans="1:9" x14ac:dyDescent="0.2">
      <c r="A1615" t="s">
        <v>286</v>
      </c>
      <c r="B1615" t="s">
        <v>387</v>
      </c>
      <c r="C1615" t="s">
        <v>486</v>
      </c>
      <c r="D1615">
        <v>0</v>
      </c>
      <c r="E1615" t="s">
        <v>486</v>
      </c>
      <c r="F1615" t="s">
        <v>540</v>
      </c>
      <c r="G1615" t="s">
        <v>572</v>
      </c>
      <c r="H1615">
        <v>0</v>
      </c>
      <c r="I1615">
        <v>0</v>
      </c>
    </row>
    <row r="1616" spans="1:9" x14ac:dyDescent="0.2">
      <c r="A1616" t="s">
        <v>286</v>
      </c>
      <c r="B1616" t="s">
        <v>388</v>
      </c>
      <c r="C1616" t="s">
        <v>491</v>
      </c>
      <c r="D1616">
        <v>0</v>
      </c>
      <c r="E1616" t="s">
        <v>491</v>
      </c>
      <c r="F1616" t="s">
        <v>524</v>
      </c>
      <c r="G1616" t="s">
        <v>573</v>
      </c>
      <c r="H1616">
        <v>0</v>
      </c>
      <c r="I1616">
        <v>0</v>
      </c>
    </row>
    <row r="1617" spans="1:9" x14ac:dyDescent="0.2">
      <c r="A1617" t="s">
        <v>286</v>
      </c>
      <c r="B1617" t="s">
        <v>389</v>
      </c>
      <c r="C1617" t="s">
        <v>491</v>
      </c>
      <c r="D1617">
        <v>0</v>
      </c>
      <c r="E1617" t="s">
        <v>491</v>
      </c>
      <c r="F1617" t="s">
        <v>524</v>
      </c>
      <c r="G1617" t="s">
        <v>573</v>
      </c>
      <c r="H1617">
        <v>0</v>
      </c>
      <c r="I1617">
        <v>0</v>
      </c>
    </row>
    <row r="1618" spans="1:9" x14ac:dyDescent="0.2">
      <c r="A1618" t="s">
        <v>286</v>
      </c>
      <c r="B1618" t="s">
        <v>390</v>
      </c>
      <c r="C1618" t="s">
        <v>491</v>
      </c>
      <c r="D1618">
        <v>0</v>
      </c>
      <c r="E1618" t="s">
        <v>491</v>
      </c>
      <c r="F1618" t="s">
        <v>524</v>
      </c>
      <c r="G1618" t="s">
        <v>573</v>
      </c>
      <c r="H1618">
        <v>0</v>
      </c>
      <c r="I1618">
        <v>0</v>
      </c>
    </row>
    <row r="1619" spans="1:9" x14ac:dyDescent="0.2">
      <c r="A1619" t="s">
        <v>286</v>
      </c>
      <c r="B1619" t="s">
        <v>391</v>
      </c>
      <c r="C1619" t="s">
        <v>491</v>
      </c>
      <c r="D1619">
        <v>0</v>
      </c>
      <c r="E1619" t="s">
        <v>491</v>
      </c>
      <c r="F1619" t="s">
        <v>524</v>
      </c>
      <c r="G1619" t="s">
        <v>573</v>
      </c>
      <c r="H1619">
        <v>0</v>
      </c>
      <c r="I1619">
        <v>0</v>
      </c>
    </row>
    <row r="1620" spans="1:9" x14ac:dyDescent="0.2">
      <c r="A1620" t="s">
        <v>286</v>
      </c>
      <c r="B1620" t="s">
        <v>392</v>
      </c>
      <c r="C1620" t="s">
        <v>491</v>
      </c>
      <c r="D1620">
        <v>0</v>
      </c>
      <c r="E1620" t="s">
        <v>491</v>
      </c>
      <c r="F1620" t="s">
        <v>524</v>
      </c>
      <c r="G1620" t="s">
        <v>573</v>
      </c>
      <c r="H1620">
        <v>0</v>
      </c>
      <c r="I1620">
        <v>0</v>
      </c>
    </row>
    <row r="1621" spans="1:9" x14ac:dyDescent="0.2">
      <c r="A1621" t="s">
        <v>286</v>
      </c>
      <c r="B1621" t="s">
        <v>393</v>
      </c>
      <c r="C1621" t="s">
        <v>491</v>
      </c>
      <c r="D1621">
        <v>0</v>
      </c>
      <c r="E1621" t="s">
        <v>491</v>
      </c>
      <c r="F1621" t="s">
        <v>524</v>
      </c>
      <c r="G1621" t="s">
        <v>573</v>
      </c>
      <c r="H1621">
        <v>0</v>
      </c>
      <c r="I1621">
        <v>0</v>
      </c>
    </row>
    <row r="1622" spans="1:9" x14ac:dyDescent="0.2">
      <c r="A1622" t="s">
        <v>286</v>
      </c>
      <c r="B1622" t="s">
        <v>394</v>
      </c>
      <c r="C1622" t="s">
        <v>491</v>
      </c>
      <c r="D1622">
        <v>0</v>
      </c>
      <c r="E1622" t="s">
        <v>491</v>
      </c>
      <c r="F1622" t="s">
        <v>524</v>
      </c>
      <c r="G1622" t="s">
        <v>573</v>
      </c>
      <c r="H1622">
        <v>0</v>
      </c>
      <c r="I1622">
        <v>0</v>
      </c>
    </row>
    <row r="1623" spans="1:9" x14ac:dyDescent="0.2">
      <c r="A1623" t="s">
        <v>286</v>
      </c>
      <c r="B1623" t="s">
        <v>394</v>
      </c>
      <c r="C1623" t="s">
        <v>491</v>
      </c>
      <c r="D1623">
        <v>0</v>
      </c>
      <c r="E1623" t="s">
        <v>491</v>
      </c>
      <c r="F1623" t="s">
        <v>524</v>
      </c>
      <c r="G1623" t="s">
        <v>573</v>
      </c>
      <c r="H1623">
        <v>0</v>
      </c>
      <c r="I1623">
        <v>0</v>
      </c>
    </row>
    <row r="1624" spans="1:9" x14ac:dyDescent="0.2">
      <c r="A1624" t="s">
        <v>286</v>
      </c>
      <c r="B1624" t="s">
        <v>395</v>
      </c>
      <c r="C1624" t="s">
        <v>491</v>
      </c>
      <c r="D1624">
        <v>0</v>
      </c>
      <c r="E1624" t="s">
        <v>491</v>
      </c>
      <c r="F1624" t="s">
        <v>524</v>
      </c>
      <c r="G1624" t="s">
        <v>573</v>
      </c>
      <c r="H1624">
        <v>0</v>
      </c>
      <c r="I1624">
        <v>0</v>
      </c>
    </row>
    <row r="1625" spans="1:9" x14ac:dyDescent="0.2">
      <c r="A1625" t="s">
        <v>286</v>
      </c>
      <c r="B1625" t="s">
        <v>396</v>
      </c>
      <c r="C1625" t="s">
        <v>486</v>
      </c>
      <c r="D1625">
        <v>0</v>
      </c>
      <c r="E1625" t="s">
        <v>486</v>
      </c>
      <c r="F1625" t="s">
        <v>541</v>
      </c>
      <c r="G1625" t="s">
        <v>573</v>
      </c>
      <c r="H1625">
        <v>0</v>
      </c>
      <c r="I1625">
        <v>0</v>
      </c>
    </row>
    <row r="1626" spans="1:9" x14ac:dyDescent="0.2">
      <c r="A1626" t="s">
        <v>286</v>
      </c>
      <c r="B1626" t="s">
        <v>397</v>
      </c>
      <c r="C1626" t="s">
        <v>486</v>
      </c>
      <c r="D1626">
        <v>0</v>
      </c>
      <c r="E1626" t="s">
        <v>486</v>
      </c>
      <c r="F1626" t="s">
        <v>541</v>
      </c>
      <c r="G1626" t="s">
        <v>573</v>
      </c>
      <c r="H1626">
        <v>0</v>
      </c>
      <c r="I1626">
        <v>0</v>
      </c>
    </row>
    <row r="1627" spans="1:9" x14ac:dyDescent="0.2">
      <c r="A1627" t="s">
        <v>286</v>
      </c>
      <c r="B1627" t="s">
        <v>398</v>
      </c>
      <c r="C1627" t="s">
        <v>486</v>
      </c>
      <c r="D1627">
        <v>0</v>
      </c>
      <c r="E1627" t="s">
        <v>486</v>
      </c>
      <c r="F1627" t="s">
        <v>541</v>
      </c>
      <c r="G1627" t="s">
        <v>573</v>
      </c>
      <c r="H1627">
        <v>0</v>
      </c>
      <c r="I1627">
        <v>0</v>
      </c>
    </row>
    <row r="1628" spans="1:9" x14ac:dyDescent="0.2">
      <c r="A1628" t="s">
        <v>287</v>
      </c>
      <c r="B1628" t="s">
        <v>399</v>
      </c>
      <c r="C1628" t="s">
        <v>477</v>
      </c>
      <c r="D1628">
        <v>0</v>
      </c>
      <c r="E1628" t="s">
        <v>477</v>
      </c>
      <c r="F1628" t="s">
        <v>542</v>
      </c>
      <c r="G1628" t="s">
        <v>573</v>
      </c>
      <c r="H1628">
        <v>0</v>
      </c>
      <c r="I1628">
        <v>0</v>
      </c>
    </row>
    <row r="1629" spans="1:9" x14ac:dyDescent="0.2">
      <c r="A1629" t="s">
        <v>288</v>
      </c>
      <c r="B1629" t="s">
        <v>400</v>
      </c>
      <c r="C1629" t="s">
        <v>477</v>
      </c>
      <c r="D1629">
        <v>0</v>
      </c>
      <c r="E1629" t="s">
        <v>477</v>
      </c>
      <c r="F1629" t="s">
        <v>543</v>
      </c>
      <c r="G1629" t="s">
        <v>573</v>
      </c>
      <c r="H1629">
        <v>0</v>
      </c>
      <c r="I1629">
        <v>0</v>
      </c>
    </row>
    <row r="1630" spans="1:9" x14ac:dyDescent="0.2">
      <c r="A1630" t="s">
        <v>285</v>
      </c>
      <c r="B1630" t="s">
        <v>401</v>
      </c>
      <c r="C1630" t="s">
        <v>477</v>
      </c>
      <c r="D1630">
        <v>0</v>
      </c>
      <c r="E1630" t="s">
        <v>477</v>
      </c>
      <c r="F1630" t="s">
        <v>529</v>
      </c>
      <c r="G1630" t="s">
        <v>570</v>
      </c>
      <c r="H1630">
        <v>0</v>
      </c>
      <c r="I1630">
        <v>0</v>
      </c>
    </row>
    <row r="1631" spans="1:9" x14ac:dyDescent="0.2">
      <c r="A1631" t="s">
        <v>289</v>
      </c>
      <c r="B1631" t="s">
        <v>402</v>
      </c>
      <c r="C1631" t="s">
        <v>492</v>
      </c>
      <c r="D1631">
        <v>0</v>
      </c>
      <c r="E1631" t="s">
        <v>492</v>
      </c>
      <c r="F1631" t="s">
        <v>529</v>
      </c>
      <c r="G1631" t="s">
        <v>572</v>
      </c>
      <c r="H1631">
        <v>0</v>
      </c>
      <c r="I1631">
        <v>0</v>
      </c>
    </row>
    <row r="1632" spans="1:9" x14ac:dyDescent="0.2">
      <c r="A1632" t="s">
        <v>289</v>
      </c>
      <c r="B1632" t="s">
        <v>403</v>
      </c>
      <c r="C1632" t="s">
        <v>492</v>
      </c>
      <c r="D1632">
        <v>0</v>
      </c>
      <c r="E1632" t="s">
        <v>492</v>
      </c>
      <c r="F1632" t="s">
        <v>543</v>
      </c>
      <c r="G1632" t="s">
        <v>572</v>
      </c>
      <c r="H1632">
        <v>0</v>
      </c>
      <c r="I1632">
        <v>0</v>
      </c>
    </row>
    <row r="1633" spans="1:9" x14ac:dyDescent="0.2">
      <c r="A1633" t="s">
        <v>289</v>
      </c>
      <c r="B1633" t="s">
        <v>404</v>
      </c>
      <c r="C1633" t="s">
        <v>492</v>
      </c>
      <c r="D1633">
        <v>0</v>
      </c>
      <c r="E1633" t="s">
        <v>492</v>
      </c>
      <c r="F1633" t="s">
        <v>529</v>
      </c>
      <c r="G1633" t="s">
        <v>572</v>
      </c>
      <c r="H1633">
        <v>0</v>
      </c>
      <c r="I1633">
        <v>0</v>
      </c>
    </row>
    <row r="1634" spans="1:9" x14ac:dyDescent="0.2">
      <c r="A1634" t="s">
        <v>286</v>
      </c>
      <c r="B1634" t="s">
        <v>405</v>
      </c>
      <c r="C1634" t="s">
        <v>486</v>
      </c>
      <c r="D1634">
        <v>0</v>
      </c>
      <c r="E1634" t="s">
        <v>486</v>
      </c>
      <c r="F1634" t="s">
        <v>540</v>
      </c>
      <c r="G1634" t="s">
        <v>572</v>
      </c>
      <c r="H1634">
        <v>0</v>
      </c>
      <c r="I1634">
        <v>0</v>
      </c>
    </row>
    <row r="1635" spans="1:9" x14ac:dyDescent="0.2">
      <c r="A1635" t="s">
        <v>286</v>
      </c>
      <c r="B1635" t="s">
        <v>406</v>
      </c>
      <c r="C1635" t="s">
        <v>486</v>
      </c>
      <c r="D1635">
        <v>0</v>
      </c>
      <c r="E1635" t="s">
        <v>486</v>
      </c>
      <c r="F1635" t="s">
        <v>536</v>
      </c>
      <c r="G1635" t="s">
        <v>572</v>
      </c>
      <c r="H1635">
        <v>0</v>
      </c>
      <c r="I1635">
        <v>0</v>
      </c>
    </row>
    <row r="1636" spans="1:9" x14ac:dyDescent="0.2">
      <c r="A1636" t="s">
        <v>290</v>
      </c>
      <c r="B1636" t="s">
        <v>407</v>
      </c>
      <c r="C1636" t="s">
        <v>478</v>
      </c>
      <c r="D1636">
        <v>0</v>
      </c>
      <c r="E1636" t="s">
        <v>478</v>
      </c>
      <c r="F1636" t="s">
        <v>544</v>
      </c>
      <c r="G1636" t="s">
        <v>569</v>
      </c>
      <c r="H1636">
        <v>0</v>
      </c>
      <c r="I1636">
        <v>0</v>
      </c>
    </row>
    <row r="1637" spans="1:9" x14ac:dyDescent="0.2">
      <c r="A1637" t="s">
        <v>291</v>
      </c>
      <c r="B1637" t="s">
        <v>408</v>
      </c>
      <c r="C1637" t="s">
        <v>478</v>
      </c>
      <c r="D1637">
        <v>0</v>
      </c>
      <c r="E1637" t="s">
        <v>478</v>
      </c>
      <c r="F1637" t="s">
        <v>545</v>
      </c>
      <c r="G1637" t="s">
        <v>576</v>
      </c>
      <c r="H1637">
        <v>0</v>
      </c>
      <c r="I1637">
        <v>0</v>
      </c>
    </row>
    <row r="1638" spans="1:9" x14ac:dyDescent="0.2">
      <c r="A1638" t="s">
        <v>292</v>
      </c>
      <c r="B1638" t="s">
        <v>409</v>
      </c>
      <c r="C1638" t="s">
        <v>478</v>
      </c>
      <c r="D1638">
        <v>0</v>
      </c>
      <c r="E1638" t="s">
        <v>478</v>
      </c>
      <c r="F1638" t="s">
        <v>546</v>
      </c>
      <c r="G1638" t="s">
        <v>576</v>
      </c>
      <c r="H1638">
        <v>0</v>
      </c>
      <c r="I1638">
        <v>0</v>
      </c>
    </row>
    <row r="1639" spans="1:9" x14ac:dyDescent="0.2">
      <c r="A1639" t="s">
        <v>292</v>
      </c>
      <c r="B1639" t="s">
        <v>410</v>
      </c>
      <c r="C1639" t="s">
        <v>478</v>
      </c>
      <c r="D1639">
        <v>0</v>
      </c>
      <c r="E1639" t="s">
        <v>478</v>
      </c>
      <c r="F1639" t="s">
        <v>547</v>
      </c>
      <c r="G1639" t="s">
        <v>576</v>
      </c>
      <c r="H1639">
        <v>0</v>
      </c>
      <c r="I1639">
        <v>0</v>
      </c>
    </row>
    <row r="1640" spans="1:9" x14ac:dyDescent="0.2">
      <c r="A1640" t="s">
        <v>268</v>
      </c>
      <c r="B1640" t="s">
        <v>411</v>
      </c>
      <c r="C1640" t="s">
        <v>478</v>
      </c>
      <c r="D1640">
        <v>0</v>
      </c>
      <c r="E1640" t="s">
        <v>478</v>
      </c>
      <c r="F1640" t="s">
        <v>520</v>
      </c>
      <c r="G1640" t="s">
        <v>576</v>
      </c>
      <c r="H1640">
        <v>0</v>
      </c>
      <c r="I1640">
        <v>0</v>
      </c>
    </row>
    <row r="1641" spans="1:9" x14ac:dyDescent="0.2">
      <c r="A1641" t="s">
        <v>293</v>
      </c>
      <c r="B1641" t="s">
        <v>412</v>
      </c>
      <c r="C1641" t="s">
        <v>478</v>
      </c>
      <c r="D1641">
        <v>0</v>
      </c>
      <c r="E1641" t="s">
        <v>478</v>
      </c>
      <c r="F1641" t="s">
        <v>536</v>
      </c>
      <c r="G1641" t="s">
        <v>571</v>
      </c>
      <c r="H1641">
        <v>0</v>
      </c>
      <c r="I1641">
        <v>0</v>
      </c>
    </row>
    <row r="1642" spans="1:9" x14ac:dyDescent="0.2">
      <c r="A1642" t="s">
        <v>294</v>
      </c>
      <c r="B1642" t="s">
        <v>413</v>
      </c>
      <c r="C1642" t="s">
        <v>493</v>
      </c>
      <c r="D1642">
        <v>0</v>
      </c>
      <c r="E1642" t="s">
        <v>493</v>
      </c>
      <c r="F1642" t="s">
        <v>548</v>
      </c>
      <c r="G1642" t="s">
        <v>577</v>
      </c>
      <c r="H1642">
        <v>0</v>
      </c>
      <c r="I1642">
        <v>0</v>
      </c>
    </row>
    <row r="1643" spans="1:9" x14ac:dyDescent="0.2">
      <c r="A1643" t="s">
        <v>295</v>
      </c>
      <c r="B1643" t="s">
        <v>414</v>
      </c>
      <c r="C1643" t="s">
        <v>494</v>
      </c>
      <c r="D1643">
        <v>0</v>
      </c>
      <c r="E1643" t="s">
        <v>494</v>
      </c>
      <c r="F1643" t="s">
        <v>549</v>
      </c>
      <c r="G1643" t="s">
        <v>577</v>
      </c>
      <c r="H1643">
        <v>0</v>
      </c>
      <c r="I1643">
        <v>0</v>
      </c>
    </row>
    <row r="1644" spans="1:9" x14ac:dyDescent="0.2">
      <c r="A1644" t="s">
        <v>296</v>
      </c>
      <c r="B1644" t="s">
        <v>415</v>
      </c>
      <c r="C1644" t="s">
        <v>494</v>
      </c>
      <c r="D1644">
        <v>0</v>
      </c>
      <c r="E1644" t="s">
        <v>494</v>
      </c>
      <c r="F1644" t="s">
        <v>550</v>
      </c>
      <c r="G1644" t="s">
        <v>577</v>
      </c>
      <c r="H1644">
        <v>0</v>
      </c>
      <c r="I1644">
        <v>0</v>
      </c>
    </row>
    <row r="1645" spans="1:9" x14ac:dyDescent="0.2">
      <c r="A1645" t="s">
        <v>297</v>
      </c>
      <c r="B1645" t="s">
        <v>416</v>
      </c>
      <c r="C1645" t="s">
        <v>488</v>
      </c>
      <c r="D1645">
        <v>0</v>
      </c>
      <c r="E1645" t="s">
        <v>488</v>
      </c>
      <c r="F1645" t="s">
        <v>551</v>
      </c>
      <c r="G1645" t="s">
        <v>577</v>
      </c>
      <c r="H1645">
        <v>0</v>
      </c>
      <c r="I1645">
        <v>0</v>
      </c>
    </row>
    <row r="1646" spans="1:9" x14ac:dyDescent="0.2">
      <c r="A1646" t="s">
        <v>298</v>
      </c>
      <c r="B1646" t="s">
        <v>417</v>
      </c>
      <c r="C1646" t="s">
        <v>495</v>
      </c>
      <c r="D1646">
        <v>0</v>
      </c>
      <c r="E1646" t="s">
        <v>495</v>
      </c>
      <c r="F1646" t="s">
        <v>552</v>
      </c>
      <c r="G1646" t="s">
        <v>577</v>
      </c>
      <c r="H1646">
        <v>0</v>
      </c>
      <c r="I1646">
        <v>0</v>
      </c>
    </row>
    <row r="1647" spans="1:9" x14ac:dyDescent="0.2">
      <c r="A1647" t="s">
        <v>299</v>
      </c>
      <c r="B1647" t="s">
        <v>418</v>
      </c>
      <c r="C1647" t="s">
        <v>496</v>
      </c>
      <c r="D1647">
        <v>0</v>
      </c>
      <c r="E1647" t="s">
        <v>496</v>
      </c>
      <c r="F1647" t="s">
        <v>516</v>
      </c>
      <c r="G1647" t="s">
        <v>577</v>
      </c>
      <c r="H1647">
        <v>0</v>
      </c>
      <c r="I1647">
        <v>0</v>
      </c>
    </row>
    <row r="1648" spans="1:9" x14ac:dyDescent="0.2">
      <c r="A1648" t="s">
        <v>300</v>
      </c>
      <c r="B1648" t="s">
        <v>419</v>
      </c>
      <c r="C1648" t="s">
        <v>497</v>
      </c>
      <c r="D1648">
        <v>0</v>
      </c>
      <c r="E1648" t="s">
        <v>497</v>
      </c>
      <c r="F1648" t="s">
        <v>553</v>
      </c>
      <c r="G1648" t="s">
        <v>577</v>
      </c>
      <c r="H1648">
        <v>0</v>
      </c>
      <c r="I1648">
        <v>0</v>
      </c>
    </row>
    <row r="1649" spans="1:9" x14ac:dyDescent="0.2">
      <c r="A1649" t="s">
        <v>301</v>
      </c>
      <c r="B1649" t="s">
        <v>420</v>
      </c>
      <c r="C1649" t="s">
        <v>478</v>
      </c>
      <c r="D1649">
        <v>0</v>
      </c>
      <c r="E1649" t="s">
        <v>478</v>
      </c>
      <c r="F1649" t="s">
        <v>516</v>
      </c>
      <c r="G1649" t="s">
        <v>576</v>
      </c>
      <c r="H1649">
        <v>0</v>
      </c>
      <c r="I1649">
        <v>0</v>
      </c>
    </row>
    <row r="1650" spans="1:9" x14ac:dyDescent="0.2">
      <c r="A1650" t="s">
        <v>283</v>
      </c>
      <c r="B1650" t="s">
        <v>421</v>
      </c>
      <c r="C1650" t="s">
        <v>477</v>
      </c>
      <c r="D1650">
        <v>0</v>
      </c>
      <c r="E1650" t="s">
        <v>477</v>
      </c>
      <c r="F1650" t="s">
        <v>540</v>
      </c>
      <c r="G1650" t="s">
        <v>578</v>
      </c>
      <c r="H1650">
        <v>0</v>
      </c>
      <c r="I1650">
        <v>0</v>
      </c>
    </row>
    <row r="1651" spans="1:9" x14ac:dyDescent="0.2">
      <c r="A1651" t="s">
        <v>264</v>
      </c>
      <c r="B1651" t="s">
        <v>422</v>
      </c>
      <c r="C1651" t="s">
        <v>477</v>
      </c>
      <c r="D1651">
        <v>0</v>
      </c>
      <c r="E1651" t="s">
        <v>477</v>
      </c>
      <c r="F1651" t="s">
        <v>541</v>
      </c>
      <c r="G1651" t="s">
        <v>578</v>
      </c>
      <c r="H1651">
        <v>0</v>
      </c>
      <c r="I1651">
        <v>0</v>
      </c>
    </row>
    <row r="1652" spans="1:9" x14ac:dyDescent="0.2">
      <c r="A1652" t="s">
        <v>264</v>
      </c>
      <c r="B1652" t="s">
        <v>423</v>
      </c>
      <c r="C1652" t="s">
        <v>478</v>
      </c>
      <c r="D1652">
        <v>0</v>
      </c>
      <c r="E1652" t="s">
        <v>478</v>
      </c>
      <c r="F1652" t="s">
        <v>516</v>
      </c>
      <c r="G1652" t="s">
        <v>578</v>
      </c>
      <c r="H1652">
        <v>0</v>
      </c>
      <c r="I1652">
        <v>0</v>
      </c>
    </row>
    <row r="1653" spans="1:9" x14ac:dyDescent="0.2">
      <c r="A1653" t="s">
        <v>301</v>
      </c>
      <c r="B1653" t="s">
        <v>424</v>
      </c>
      <c r="C1653" t="s">
        <v>478</v>
      </c>
      <c r="D1653">
        <v>0</v>
      </c>
      <c r="E1653" t="s">
        <v>478</v>
      </c>
      <c r="F1653" t="s">
        <v>537</v>
      </c>
      <c r="G1653" t="s">
        <v>576</v>
      </c>
      <c r="H1653">
        <v>0</v>
      </c>
      <c r="I1653">
        <v>0</v>
      </c>
    </row>
    <row r="1654" spans="1:9" x14ac:dyDescent="0.2">
      <c r="A1654" t="s">
        <v>283</v>
      </c>
      <c r="B1654" t="s">
        <v>425</v>
      </c>
      <c r="C1654" t="s">
        <v>498</v>
      </c>
      <c r="D1654">
        <v>0</v>
      </c>
      <c r="E1654" t="s">
        <v>498</v>
      </c>
      <c r="F1654" t="s">
        <v>529</v>
      </c>
      <c r="G1654" t="s">
        <v>578</v>
      </c>
      <c r="H1654">
        <v>0</v>
      </c>
      <c r="I1654">
        <v>0</v>
      </c>
    </row>
    <row r="1655" spans="1:9" x14ac:dyDescent="0.2">
      <c r="A1655" t="s">
        <v>302</v>
      </c>
      <c r="B1655" t="s">
        <v>426</v>
      </c>
      <c r="C1655" t="s">
        <v>478</v>
      </c>
      <c r="D1655">
        <v>0</v>
      </c>
      <c r="E1655" t="s">
        <v>478</v>
      </c>
      <c r="F1655" t="s">
        <v>529</v>
      </c>
      <c r="G1655" t="s">
        <v>579</v>
      </c>
      <c r="H1655">
        <v>0</v>
      </c>
      <c r="I1655">
        <v>0</v>
      </c>
    </row>
    <row r="1656" spans="1:9" x14ac:dyDescent="0.2">
      <c r="A1656" t="s">
        <v>285</v>
      </c>
      <c r="B1656" t="s">
        <v>427</v>
      </c>
      <c r="C1656" t="s">
        <v>499</v>
      </c>
      <c r="D1656">
        <v>0</v>
      </c>
      <c r="E1656" t="s">
        <v>499</v>
      </c>
      <c r="F1656" t="s">
        <v>542</v>
      </c>
      <c r="G1656" t="s">
        <v>577</v>
      </c>
      <c r="H1656">
        <v>0</v>
      </c>
      <c r="I1656">
        <v>0</v>
      </c>
    </row>
    <row r="1657" spans="1:9" x14ac:dyDescent="0.2">
      <c r="A1657" t="s">
        <v>303</v>
      </c>
      <c r="B1657" t="s">
        <v>428</v>
      </c>
      <c r="C1657" t="s">
        <v>500</v>
      </c>
      <c r="D1657">
        <v>0</v>
      </c>
      <c r="E1657" t="s">
        <v>500</v>
      </c>
      <c r="F1657" t="s">
        <v>546</v>
      </c>
      <c r="G1657" t="s">
        <v>577</v>
      </c>
      <c r="H1657">
        <v>0</v>
      </c>
      <c r="I1657">
        <v>0</v>
      </c>
    </row>
    <row r="1658" spans="1:9" x14ac:dyDescent="0.2">
      <c r="A1658" t="s">
        <v>304</v>
      </c>
      <c r="B1658" t="s">
        <v>429</v>
      </c>
      <c r="C1658" t="s">
        <v>478</v>
      </c>
      <c r="D1658">
        <v>0</v>
      </c>
      <c r="E1658" t="s">
        <v>478</v>
      </c>
      <c r="F1658" t="s">
        <v>554</v>
      </c>
      <c r="G1658" t="s">
        <v>569</v>
      </c>
      <c r="H1658">
        <v>0</v>
      </c>
      <c r="I1658">
        <v>0</v>
      </c>
    </row>
    <row r="1659" spans="1:9" x14ac:dyDescent="0.2">
      <c r="A1659" t="s">
        <v>277</v>
      </c>
      <c r="B1659" t="s">
        <v>430</v>
      </c>
      <c r="C1659" t="s">
        <v>478</v>
      </c>
      <c r="D1659">
        <v>0</v>
      </c>
      <c r="E1659" t="s">
        <v>478</v>
      </c>
      <c r="F1659" t="s">
        <v>539</v>
      </c>
      <c r="G1659" t="s">
        <v>571</v>
      </c>
      <c r="H1659">
        <v>0</v>
      </c>
      <c r="I1659">
        <v>0</v>
      </c>
    </row>
    <row r="1660" spans="1:9" x14ac:dyDescent="0.2">
      <c r="A1660" t="s">
        <v>277</v>
      </c>
      <c r="B1660" t="s">
        <v>431</v>
      </c>
      <c r="C1660" t="s">
        <v>478</v>
      </c>
      <c r="D1660">
        <v>0</v>
      </c>
      <c r="E1660" t="s">
        <v>478</v>
      </c>
      <c r="F1660" t="s">
        <v>534</v>
      </c>
      <c r="G1660" t="s">
        <v>571</v>
      </c>
      <c r="H1660">
        <v>0</v>
      </c>
      <c r="I1660">
        <v>0</v>
      </c>
    </row>
    <row r="1661" spans="1:9" x14ac:dyDescent="0.2">
      <c r="A1661" t="s">
        <v>277</v>
      </c>
      <c r="B1661" t="s">
        <v>432</v>
      </c>
      <c r="C1661" t="s">
        <v>501</v>
      </c>
      <c r="D1661">
        <v>0</v>
      </c>
      <c r="E1661" t="s">
        <v>501</v>
      </c>
      <c r="F1661" t="s">
        <v>555</v>
      </c>
      <c r="G1661" t="s">
        <v>571</v>
      </c>
      <c r="H1661">
        <v>0</v>
      </c>
      <c r="I1661">
        <v>0</v>
      </c>
    </row>
    <row r="1662" spans="1:9" x14ac:dyDescent="0.2">
      <c r="A1662" t="s">
        <v>263</v>
      </c>
      <c r="B1662" t="s">
        <v>433</v>
      </c>
      <c r="C1662" t="s">
        <v>502</v>
      </c>
      <c r="D1662">
        <v>0</v>
      </c>
      <c r="E1662" t="s">
        <v>502</v>
      </c>
      <c r="F1662" t="s">
        <v>556</v>
      </c>
      <c r="G1662" t="s">
        <v>580</v>
      </c>
      <c r="H1662">
        <v>0</v>
      </c>
      <c r="I1662">
        <v>0</v>
      </c>
    </row>
    <row r="1663" spans="1:9" x14ac:dyDescent="0.2">
      <c r="A1663" t="s">
        <v>268</v>
      </c>
      <c r="B1663" t="s">
        <v>434</v>
      </c>
      <c r="C1663" t="s">
        <v>478</v>
      </c>
      <c r="D1663">
        <v>0</v>
      </c>
      <c r="E1663" t="s">
        <v>478</v>
      </c>
      <c r="F1663" t="s">
        <v>520</v>
      </c>
      <c r="G1663" t="s">
        <v>571</v>
      </c>
      <c r="H1663">
        <v>0</v>
      </c>
      <c r="I1663">
        <v>0</v>
      </c>
    </row>
    <row r="1664" spans="1:9" x14ac:dyDescent="0.2">
      <c r="A1664" t="s">
        <v>305</v>
      </c>
      <c r="B1664" t="s">
        <v>435</v>
      </c>
      <c r="C1664" t="s">
        <v>478</v>
      </c>
      <c r="D1664">
        <v>0</v>
      </c>
      <c r="E1664" t="s">
        <v>478</v>
      </c>
      <c r="F1664" t="s">
        <v>557</v>
      </c>
      <c r="G1664" t="s">
        <v>569</v>
      </c>
      <c r="H1664">
        <v>0</v>
      </c>
      <c r="I1664">
        <v>0</v>
      </c>
    </row>
    <row r="1665" spans="1:9" x14ac:dyDescent="0.2">
      <c r="A1665" t="s">
        <v>306</v>
      </c>
      <c r="B1665" t="s">
        <v>436</v>
      </c>
      <c r="C1665" t="s">
        <v>478</v>
      </c>
      <c r="D1665">
        <v>0</v>
      </c>
      <c r="E1665" t="s">
        <v>478</v>
      </c>
      <c r="F1665" t="s">
        <v>558</v>
      </c>
      <c r="G1665" t="s">
        <v>569</v>
      </c>
      <c r="H1665">
        <v>0</v>
      </c>
      <c r="I1665">
        <v>0</v>
      </c>
    </row>
    <row r="1666" spans="1:9" x14ac:dyDescent="0.2">
      <c r="A1666" t="s">
        <v>307</v>
      </c>
      <c r="B1666" t="s">
        <v>437</v>
      </c>
      <c r="C1666" t="s">
        <v>478</v>
      </c>
      <c r="D1666">
        <v>0</v>
      </c>
      <c r="E1666" t="s">
        <v>478</v>
      </c>
      <c r="F1666" t="s">
        <v>559</v>
      </c>
      <c r="G1666" t="s">
        <v>574</v>
      </c>
      <c r="H1666">
        <v>0</v>
      </c>
      <c r="I1666">
        <v>0</v>
      </c>
    </row>
    <row r="1667" spans="1:9" x14ac:dyDescent="0.2">
      <c r="A1667" t="s">
        <v>308</v>
      </c>
      <c r="B1667" t="s">
        <v>438</v>
      </c>
      <c r="C1667" t="s">
        <v>478</v>
      </c>
      <c r="D1667">
        <v>0</v>
      </c>
      <c r="E1667" t="s">
        <v>478</v>
      </c>
      <c r="F1667" t="s">
        <v>560</v>
      </c>
      <c r="G1667" t="s">
        <v>569</v>
      </c>
      <c r="H1667">
        <v>0</v>
      </c>
      <c r="I1667">
        <v>0</v>
      </c>
    </row>
    <row r="1668" spans="1:9" x14ac:dyDescent="0.2">
      <c r="A1668" t="s">
        <v>309</v>
      </c>
      <c r="B1668" t="s">
        <v>439</v>
      </c>
      <c r="C1668" t="s">
        <v>478</v>
      </c>
      <c r="D1668">
        <v>0</v>
      </c>
      <c r="E1668" t="s">
        <v>478</v>
      </c>
      <c r="F1668" t="s">
        <v>558</v>
      </c>
      <c r="G1668" t="s">
        <v>574</v>
      </c>
      <c r="H1668">
        <v>0</v>
      </c>
      <c r="I1668">
        <v>0</v>
      </c>
    </row>
    <row r="1669" spans="1:9" x14ac:dyDescent="0.2">
      <c r="A1669" t="s">
        <v>310</v>
      </c>
      <c r="B1669" t="s">
        <v>440</v>
      </c>
      <c r="C1669" t="s">
        <v>478</v>
      </c>
      <c r="D1669">
        <v>0</v>
      </c>
      <c r="E1669" t="s">
        <v>478</v>
      </c>
      <c r="F1669" t="s">
        <v>561</v>
      </c>
      <c r="G1669" t="s">
        <v>569</v>
      </c>
      <c r="H1669">
        <v>0</v>
      </c>
      <c r="I1669">
        <v>0</v>
      </c>
    </row>
    <row r="1670" spans="1:9" x14ac:dyDescent="0.2">
      <c r="A1670" t="s">
        <v>311</v>
      </c>
      <c r="B1670" t="s">
        <v>441</v>
      </c>
      <c r="C1670" t="s">
        <v>481</v>
      </c>
      <c r="D1670">
        <v>0</v>
      </c>
      <c r="E1670" t="s">
        <v>481</v>
      </c>
      <c r="F1670" t="s">
        <v>527</v>
      </c>
      <c r="G1670" t="s">
        <v>580</v>
      </c>
      <c r="H1670">
        <v>0</v>
      </c>
      <c r="I1670">
        <v>0</v>
      </c>
    </row>
    <row r="1671" spans="1:9" x14ac:dyDescent="0.2">
      <c r="A1671" t="s">
        <v>311</v>
      </c>
      <c r="B1671" t="s">
        <v>442</v>
      </c>
      <c r="C1671" t="s">
        <v>482</v>
      </c>
      <c r="D1671">
        <v>0</v>
      </c>
      <c r="E1671" t="s">
        <v>482</v>
      </c>
      <c r="F1671" t="s">
        <v>562</v>
      </c>
      <c r="G1671" t="s">
        <v>580</v>
      </c>
      <c r="H1671">
        <v>0</v>
      </c>
      <c r="I1671">
        <v>0</v>
      </c>
    </row>
    <row r="1672" spans="1:9" x14ac:dyDescent="0.2">
      <c r="A1672" t="s">
        <v>311</v>
      </c>
      <c r="B1672" t="s">
        <v>443</v>
      </c>
      <c r="C1672" t="s">
        <v>481</v>
      </c>
      <c r="D1672">
        <v>0</v>
      </c>
      <c r="E1672" t="s">
        <v>481</v>
      </c>
      <c r="F1672" t="s">
        <v>563</v>
      </c>
      <c r="G1672" t="s">
        <v>580</v>
      </c>
      <c r="H1672">
        <v>0</v>
      </c>
      <c r="I1672">
        <v>0</v>
      </c>
    </row>
    <row r="1673" spans="1:9" x14ac:dyDescent="0.2">
      <c r="A1673" t="s">
        <v>312</v>
      </c>
      <c r="B1673" t="s">
        <v>444</v>
      </c>
      <c r="C1673" t="s">
        <v>481</v>
      </c>
      <c r="D1673">
        <v>0</v>
      </c>
      <c r="E1673" t="s">
        <v>481</v>
      </c>
      <c r="F1673" t="s">
        <v>526</v>
      </c>
      <c r="G1673" t="s">
        <v>580</v>
      </c>
      <c r="H1673">
        <v>0</v>
      </c>
      <c r="I1673">
        <v>0</v>
      </c>
    </row>
    <row r="1674" spans="1:9" x14ac:dyDescent="0.2">
      <c r="A1674" t="s">
        <v>286</v>
      </c>
      <c r="B1674" t="s">
        <v>445</v>
      </c>
      <c r="C1674" t="s">
        <v>486</v>
      </c>
      <c r="D1674">
        <v>0</v>
      </c>
      <c r="E1674" t="s">
        <v>486</v>
      </c>
      <c r="F1674" t="s">
        <v>542</v>
      </c>
      <c r="G1674" t="s">
        <v>580</v>
      </c>
      <c r="H1674">
        <v>0</v>
      </c>
      <c r="I1674">
        <v>0</v>
      </c>
    </row>
    <row r="1675" spans="1:9" x14ac:dyDescent="0.2">
      <c r="A1675" t="s">
        <v>286</v>
      </c>
      <c r="B1675" t="s">
        <v>446</v>
      </c>
      <c r="C1675" t="s">
        <v>486</v>
      </c>
      <c r="D1675">
        <v>0</v>
      </c>
      <c r="E1675" t="s">
        <v>486</v>
      </c>
      <c r="F1675" t="s">
        <v>541</v>
      </c>
      <c r="G1675" t="s">
        <v>580</v>
      </c>
      <c r="H1675">
        <v>0</v>
      </c>
      <c r="I1675">
        <v>0</v>
      </c>
    </row>
    <row r="1676" spans="1:9" x14ac:dyDescent="0.2">
      <c r="A1676" t="s">
        <v>313</v>
      </c>
      <c r="B1676" t="s">
        <v>447</v>
      </c>
      <c r="C1676" t="s">
        <v>478</v>
      </c>
      <c r="D1676">
        <v>0</v>
      </c>
      <c r="E1676" t="s">
        <v>478</v>
      </c>
      <c r="F1676" t="s">
        <v>516</v>
      </c>
      <c r="G1676" t="s">
        <v>569</v>
      </c>
      <c r="H1676">
        <v>0</v>
      </c>
      <c r="I1676">
        <v>0</v>
      </c>
    </row>
    <row r="1677" spans="1:9" x14ac:dyDescent="0.2">
      <c r="A1677" t="s">
        <v>314</v>
      </c>
      <c r="B1677" t="s">
        <v>448</v>
      </c>
      <c r="C1677" t="s">
        <v>478</v>
      </c>
      <c r="D1677">
        <v>0</v>
      </c>
      <c r="E1677" t="s">
        <v>478</v>
      </c>
      <c r="F1677" t="s">
        <v>516</v>
      </c>
      <c r="G1677" t="s">
        <v>569</v>
      </c>
      <c r="H1677">
        <v>0</v>
      </c>
      <c r="I1677">
        <v>0</v>
      </c>
    </row>
    <row r="1678" spans="1:9" x14ac:dyDescent="0.2">
      <c r="A1678" t="s">
        <v>315</v>
      </c>
      <c r="B1678" t="s">
        <v>449</v>
      </c>
      <c r="C1678" t="s">
        <v>478</v>
      </c>
      <c r="D1678">
        <v>0</v>
      </c>
      <c r="E1678" t="s">
        <v>478</v>
      </c>
      <c r="F1678" t="s">
        <v>530</v>
      </c>
      <c r="G1678" t="s">
        <v>569</v>
      </c>
      <c r="H1678">
        <v>0</v>
      </c>
      <c r="I1678">
        <v>0</v>
      </c>
    </row>
    <row r="1679" spans="1:9" x14ac:dyDescent="0.2">
      <c r="A1679" t="s">
        <v>315</v>
      </c>
      <c r="B1679" t="s">
        <v>450</v>
      </c>
      <c r="C1679" t="s">
        <v>478</v>
      </c>
      <c r="D1679">
        <v>0</v>
      </c>
      <c r="E1679" t="s">
        <v>478</v>
      </c>
      <c r="F1679" t="s">
        <v>530</v>
      </c>
      <c r="G1679" t="s">
        <v>569</v>
      </c>
      <c r="H1679">
        <v>0</v>
      </c>
      <c r="I1679">
        <v>0</v>
      </c>
    </row>
    <row r="1680" spans="1:9" x14ac:dyDescent="0.2">
      <c r="A1680" t="s">
        <v>315</v>
      </c>
      <c r="B1680" t="s">
        <v>451</v>
      </c>
      <c r="C1680" t="s">
        <v>478</v>
      </c>
      <c r="D1680">
        <v>0</v>
      </c>
      <c r="E1680" t="s">
        <v>478</v>
      </c>
      <c r="F1680" t="s">
        <v>530</v>
      </c>
      <c r="G1680" t="s">
        <v>569</v>
      </c>
      <c r="H1680">
        <v>0</v>
      </c>
      <c r="I1680">
        <v>0</v>
      </c>
    </row>
    <row r="1681" spans="1:9" x14ac:dyDescent="0.2">
      <c r="A1681" t="s">
        <v>313</v>
      </c>
      <c r="B1681" t="s">
        <v>452</v>
      </c>
      <c r="C1681" t="s">
        <v>478</v>
      </c>
      <c r="D1681">
        <v>0</v>
      </c>
      <c r="E1681" t="s">
        <v>478</v>
      </c>
      <c r="F1681" t="s">
        <v>524</v>
      </c>
      <c r="G1681" t="s">
        <v>569</v>
      </c>
      <c r="H1681">
        <v>0</v>
      </c>
      <c r="I1681">
        <v>0</v>
      </c>
    </row>
    <row r="1682" spans="1:9" x14ac:dyDescent="0.2">
      <c r="A1682" t="s">
        <v>314</v>
      </c>
      <c r="B1682" t="s">
        <v>453</v>
      </c>
      <c r="C1682" t="s">
        <v>478</v>
      </c>
      <c r="D1682">
        <v>0</v>
      </c>
      <c r="E1682" t="s">
        <v>478</v>
      </c>
      <c r="F1682" t="s">
        <v>538</v>
      </c>
      <c r="G1682" t="s">
        <v>569</v>
      </c>
      <c r="H1682">
        <v>0</v>
      </c>
      <c r="I1682">
        <v>0</v>
      </c>
    </row>
    <row r="1683" spans="1:9" x14ac:dyDescent="0.2">
      <c r="A1683" t="s">
        <v>314</v>
      </c>
      <c r="B1683" t="s">
        <v>454</v>
      </c>
      <c r="C1683" t="s">
        <v>478</v>
      </c>
      <c r="D1683">
        <v>0</v>
      </c>
      <c r="E1683" t="s">
        <v>478</v>
      </c>
      <c r="F1683" t="s">
        <v>530</v>
      </c>
      <c r="G1683" t="s">
        <v>569</v>
      </c>
      <c r="H1683">
        <v>0</v>
      </c>
      <c r="I1683">
        <v>0</v>
      </c>
    </row>
    <row r="1684" spans="1:9" x14ac:dyDescent="0.2">
      <c r="A1684" t="s">
        <v>314</v>
      </c>
      <c r="B1684" t="s">
        <v>455</v>
      </c>
      <c r="C1684" t="s">
        <v>478</v>
      </c>
      <c r="D1684">
        <v>0</v>
      </c>
      <c r="E1684" t="s">
        <v>478</v>
      </c>
      <c r="F1684" t="s">
        <v>538</v>
      </c>
      <c r="G1684" t="s">
        <v>569</v>
      </c>
      <c r="H1684">
        <v>0</v>
      </c>
      <c r="I1684">
        <v>0</v>
      </c>
    </row>
    <row r="1685" spans="1:9" x14ac:dyDescent="0.2">
      <c r="A1685" t="s">
        <v>314</v>
      </c>
      <c r="B1685" t="s">
        <v>456</v>
      </c>
      <c r="C1685" t="s">
        <v>478</v>
      </c>
      <c r="D1685">
        <v>0</v>
      </c>
      <c r="E1685" t="s">
        <v>478</v>
      </c>
      <c r="F1685" t="s">
        <v>530</v>
      </c>
      <c r="G1685" t="s">
        <v>569</v>
      </c>
      <c r="H1685">
        <v>0</v>
      </c>
      <c r="I1685">
        <v>0</v>
      </c>
    </row>
    <row r="1686" spans="1:9" x14ac:dyDescent="0.2">
      <c r="A1686" t="s">
        <v>277</v>
      </c>
      <c r="B1686" t="s">
        <v>457</v>
      </c>
      <c r="C1686" t="s">
        <v>501</v>
      </c>
      <c r="D1686">
        <v>0</v>
      </c>
      <c r="E1686" t="s">
        <v>501</v>
      </c>
      <c r="F1686" t="s">
        <v>564</v>
      </c>
      <c r="G1686" t="s">
        <v>571</v>
      </c>
      <c r="H1686">
        <v>0</v>
      </c>
      <c r="I1686">
        <v>0</v>
      </c>
    </row>
    <row r="1687" spans="1:9" x14ac:dyDescent="0.2">
      <c r="A1687" t="s">
        <v>263</v>
      </c>
      <c r="B1687" t="s">
        <v>458</v>
      </c>
      <c r="C1687" t="s">
        <v>476</v>
      </c>
      <c r="D1687">
        <v>0</v>
      </c>
      <c r="E1687" t="s">
        <v>476</v>
      </c>
      <c r="F1687" t="s">
        <v>565</v>
      </c>
      <c r="G1687" t="s">
        <v>580</v>
      </c>
      <c r="H1687">
        <v>0</v>
      </c>
      <c r="I1687">
        <v>0</v>
      </c>
    </row>
    <row r="1688" spans="1:9" x14ac:dyDescent="0.2">
      <c r="A1688" t="s">
        <v>316</v>
      </c>
      <c r="B1688" t="s">
        <v>459</v>
      </c>
      <c r="C1688" t="s">
        <v>478</v>
      </c>
      <c r="D1688">
        <v>0</v>
      </c>
      <c r="E1688" t="s">
        <v>478</v>
      </c>
      <c r="F1688" t="s">
        <v>557</v>
      </c>
      <c r="G1688" t="s">
        <v>569</v>
      </c>
      <c r="H1688">
        <v>0</v>
      </c>
      <c r="I1688">
        <v>0</v>
      </c>
    </row>
    <row r="1689" spans="1:9" x14ac:dyDescent="0.2">
      <c r="A1689" t="s">
        <v>317</v>
      </c>
      <c r="B1689" t="s">
        <v>460</v>
      </c>
      <c r="C1689" t="s">
        <v>478</v>
      </c>
      <c r="D1689">
        <v>0</v>
      </c>
      <c r="E1689" t="s">
        <v>478</v>
      </c>
      <c r="F1689" t="s">
        <v>560</v>
      </c>
      <c r="G1689" t="s">
        <v>569</v>
      </c>
      <c r="H1689">
        <v>0</v>
      </c>
      <c r="I1689">
        <v>0</v>
      </c>
    </row>
    <row r="1690" spans="1:9" x14ac:dyDescent="0.2">
      <c r="A1690" t="s">
        <v>318</v>
      </c>
      <c r="B1690" t="s">
        <v>461</v>
      </c>
      <c r="C1690" t="s">
        <v>478</v>
      </c>
      <c r="D1690">
        <v>0</v>
      </c>
      <c r="E1690" t="s">
        <v>478</v>
      </c>
      <c r="F1690" t="s">
        <v>561</v>
      </c>
      <c r="G1690" t="s">
        <v>574</v>
      </c>
      <c r="H1690">
        <v>0</v>
      </c>
      <c r="I1690">
        <v>0</v>
      </c>
    </row>
    <row r="1691" spans="1:9" x14ac:dyDescent="0.2">
      <c r="A1691" t="s">
        <v>319</v>
      </c>
      <c r="B1691" t="s">
        <v>462</v>
      </c>
      <c r="C1691" t="s">
        <v>482</v>
      </c>
      <c r="D1691">
        <v>0</v>
      </c>
      <c r="E1691" t="s">
        <v>482</v>
      </c>
      <c r="F1691" t="s">
        <v>526</v>
      </c>
      <c r="G1691" t="s">
        <v>580</v>
      </c>
      <c r="H1691">
        <v>0</v>
      </c>
      <c r="I1691">
        <v>0</v>
      </c>
    </row>
    <row r="1692" spans="1:9" x14ac:dyDescent="0.2">
      <c r="A1692" t="s">
        <v>320</v>
      </c>
      <c r="B1692" t="s">
        <v>463</v>
      </c>
      <c r="C1692" t="s">
        <v>488</v>
      </c>
      <c r="D1692">
        <v>0</v>
      </c>
      <c r="E1692" t="s">
        <v>488</v>
      </c>
      <c r="F1692" t="s">
        <v>562</v>
      </c>
      <c r="G1692" t="s">
        <v>580</v>
      </c>
      <c r="H1692">
        <v>0</v>
      </c>
      <c r="I1692">
        <v>0</v>
      </c>
    </row>
    <row r="1693" spans="1:9" x14ac:dyDescent="0.2">
      <c r="A1693" t="s">
        <v>319</v>
      </c>
      <c r="B1693" t="s">
        <v>464</v>
      </c>
      <c r="C1693" t="s">
        <v>482</v>
      </c>
      <c r="D1693">
        <v>0</v>
      </c>
      <c r="E1693" t="s">
        <v>482</v>
      </c>
      <c r="F1693" t="s">
        <v>563</v>
      </c>
      <c r="G1693" t="s">
        <v>580</v>
      </c>
      <c r="H1693">
        <v>0</v>
      </c>
      <c r="I1693">
        <v>0</v>
      </c>
    </row>
    <row r="1694" spans="1:9" x14ac:dyDescent="0.2">
      <c r="A1694" t="s">
        <v>319</v>
      </c>
      <c r="B1694" t="s">
        <v>465</v>
      </c>
      <c r="C1694" t="s">
        <v>481</v>
      </c>
      <c r="D1694">
        <v>0</v>
      </c>
      <c r="E1694" t="s">
        <v>481</v>
      </c>
      <c r="F1694" t="s">
        <v>526</v>
      </c>
      <c r="G1694" t="s">
        <v>580</v>
      </c>
      <c r="H1694">
        <v>0</v>
      </c>
      <c r="I1694">
        <v>0</v>
      </c>
    </row>
    <row r="1695" spans="1:9" x14ac:dyDescent="0.2">
      <c r="A1695" t="s">
        <v>321</v>
      </c>
      <c r="B1695" t="s">
        <v>466</v>
      </c>
      <c r="C1695" t="s">
        <v>488</v>
      </c>
      <c r="D1695">
        <v>0</v>
      </c>
      <c r="E1695" t="s">
        <v>488</v>
      </c>
      <c r="F1695" t="s">
        <v>547</v>
      </c>
      <c r="G1695" t="s">
        <v>574</v>
      </c>
      <c r="H1695">
        <v>0</v>
      </c>
      <c r="I1695">
        <v>0</v>
      </c>
    </row>
    <row r="1696" spans="1:9" x14ac:dyDescent="0.2">
      <c r="A1696" t="s">
        <v>322</v>
      </c>
      <c r="B1696" t="s">
        <v>467</v>
      </c>
      <c r="C1696" t="s">
        <v>482</v>
      </c>
      <c r="D1696">
        <v>0</v>
      </c>
      <c r="E1696" t="s">
        <v>482</v>
      </c>
      <c r="F1696" t="s">
        <v>566</v>
      </c>
      <c r="G1696" t="s">
        <v>574</v>
      </c>
      <c r="H1696">
        <v>0</v>
      </c>
      <c r="I1696">
        <v>0</v>
      </c>
    </row>
    <row r="1697" spans="1:9" x14ac:dyDescent="0.2">
      <c r="A1697" t="s">
        <v>283</v>
      </c>
      <c r="B1697" t="s">
        <v>468</v>
      </c>
      <c r="C1697" t="s">
        <v>478</v>
      </c>
      <c r="D1697">
        <v>0</v>
      </c>
      <c r="E1697" t="s">
        <v>478</v>
      </c>
      <c r="F1697" t="s">
        <v>524</v>
      </c>
      <c r="G1697" t="s">
        <v>581</v>
      </c>
      <c r="H1697">
        <v>0</v>
      </c>
      <c r="I1697">
        <v>0</v>
      </c>
    </row>
    <row r="1698" spans="1:9" x14ac:dyDescent="0.2">
      <c r="A1698" t="s">
        <v>275</v>
      </c>
      <c r="B1698" t="s">
        <v>469</v>
      </c>
      <c r="C1698" t="s">
        <v>478</v>
      </c>
      <c r="D1698">
        <v>0</v>
      </c>
      <c r="E1698" t="s">
        <v>478</v>
      </c>
      <c r="F1698" t="s">
        <v>530</v>
      </c>
      <c r="G1698" t="s">
        <v>581</v>
      </c>
      <c r="H1698">
        <v>0</v>
      </c>
      <c r="I1698">
        <v>0</v>
      </c>
    </row>
    <row r="1699" spans="1:9" x14ac:dyDescent="0.2">
      <c r="A1699" t="s">
        <v>275</v>
      </c>
      <c r="B1699" t="s">
        <v>470</v>
      </c>
      <c r="C1699" t="s">
        <v>478</v>
      </c>
      <c r="D1699">
        <v>0</v>
      </c>
      <c r="E1699" t="s">
        <v>478</v>
      </c>
      <c r="F1699" t="s">
        <v>530</v>
      </c>
      <c r="G1699" t="s">
        <v>581</v>
      </c>
      <c r="H1699">
        <v>0</v>
      </c>
      <c r="I1699">
        <v>0</v>
      </c>
    </row>
    <row r="1700" spans="1:9" x14ac:dyDescent="0.2">
      <c r="A1700" t="s">
        <v>275</v>
      </c>
      <c r="B1700" t="s">
        <v>471</v>
      </c>
      <c r="C1700" t="s">
        <v>478</v>
      </c>
      <c r="D1700">
        <v>0</v>
      </c>
      <c r="E1700" t="s">
        <v>478</v>
      </c>
      <c r="F1700" t="s">
        <v>530</v>
      </c>
      <c r="G1700" t="s">
        <v>581</v>
      </c>
      <c r="H1700">
        <v>0</v>
      </c>
      <c r="I1700">
        <v>0</v>
      </c>
    </row>
    <row r="1701" spans="1:9" x14ac:dyDescent="0.2">
      <c r="A1701" t="s">
        <v>275</v>
      </c>
      <c r="B1701" t="s">
        <v>472</v>
      </c>
      <c r="C1701" t="s">
        <v>478</v>
      </c>
      <c r="D1701">
        <v>0</v>
      </c>
      <c r="E1701" t="s">
        <v>478</v>
      </c>
      <c r="F1701" t="s">
        <v>530</v>
      </c>
      <c r="G1701" t="s">
        <v>581</v>
      </c>
      <c r="H1701">
        <v>0</v>
      </c>
      <c r="I1701">
        <v>0</v>
      </c>
    </row>
    <row r="1702" spans="1:9" x14ac:dyDescent="0.2">
      <c r="A1702" t="s">
        <v>286</v>
      </c>
      <c r="B1702" t="s">
        <v>473</v>
      </c>
      <c r="C1702" t="s">
        <v>486</v>
      </c>
      <c r="D1702">
        <v>0</v>
      </c>
      <c r="E1702" t="s">
        <v>486</v>
      </c>
      <c r="F1702" t="s">
        <v>542</v>
      </c>
      <c r="G1702" t="s">
        <v>580</v>
      </c>
      <c r="H1702">
        <v>0</v>
      </c>
      <c r="I1702">
        <v>0</v>
      </c>
    </row>
    <row r="1703" spans="1:9" x14ac:dyDescent="0.2">
      <c r="A1703" t="s">
        <v>286</v>
      </c>
      <c r="B1703" t="s">
        <v>474</v>
      </c>
      <c r="C1703" t="s">
        <v>486</v>
      </c>
      <c r="D1703">
        <v>0</v>
      </c>
      <c r="E1703" t="s">
        <v>486</v>
      </c>
      <c r="F1703" t="s">
        <v>542</v>
      </c>
      <c r="G1703" t="s">
        <v>580</v>
      </c>
      <c r="H1703">
        <v>0</v>
      </c>
      <c r="I1703">
        <v>0</v>
      </c>
    </row>
    <row r="1704" spans="1:9" x14ac:dyDescent="0.2">
      <c r="A1704" t="s">
        <v>289</v>
      </c>
      <c r="B1704" t="s">
        <v>475</v>
      </c>
      <c r="C1704" t="s">
        <v>478</v>
      </c>
      <c r="D1704">
        <v>0</v>
      </c>
      <c r="E1704" t="s">
        <v>478</v>
      </c>
      <c r="F1704" t="s">
        <v>559</v>
      </c>
      <c r="G1704" t="s">
        <v>574</v>
      </c>
      <c r="H1704">
        <v>0</v>
      </c>
      <c r="I1704">
        <v>0</v>
      </c>
    </row>
    <row r="1705" spans="1:9" x14ac:dyDescent="0.2">
      <c r="A1705" t="s">
        <v>302</v>
      </c>
      <c r="B1705" t="s">
        <v>302</v>
      </c>
      <c r="C1705" t="s">
        <v>478</v>
      </c>
      <c r="D1705">
        <v>0</v>
      </c>
      <c r="E1705" t="s">
        <v>478</v>
      </c>
      <c r="F1705" t="s">
        <v>567</v>
      </c>
      <c r="G1705" t="s">
        <v>579</v>
      </c>
      <c r="H1705">
        <v>0</v>
      </c>
      <c r="I1705">
        <v>0</v>
      </c>
    </row>
    <row r="1706" spans="1:9" x14ac:dyDescent="0.2">
      <c r="A1706" t="s">
        <v>323</v>
      </c>
      <c r="B1706" t="s">
        <v>302</v>
      </c>
      <c r="C1706" t="s">
        <v>478</v>
      </c>
      <c r="D1706">
        <v>0</v>
      </c>
      <c r="E1706" t="s">
        <v>478</v>
      </c>
      <c r="F1706" t="s">
        <v>568</v>
      </c>
      <c r="G1706" t="s">
        <v>569</v>
      </c>
      <c r="H1706">
        <v>0</v>
      </c>
      <c r="I1706">
        <v>0</v>
      </c>
    </row>
    <row r="1707" spans="1:9" x14ac:dyDescent="0.2">
      <c r="A1707" t="s">
        <v>263</v>
      </c>
      <c r="B1707" t="s">
        <v>324</v>
      </c>
      <c r="C1707" t="s">
        <v>476</v>
      </c>
      <c r="D1707" t="s">
        <v>503</v>
      </c>
      <c r="E1707" t="s">
        <v>478</v>
      </c>
      <c r="F1707" t="s">
        <v>515</v>
      </c>
      <c r="G1707" t="s">
        <v>319</v>
      </c>
      <c r="H1707">
        <v>512.20168843859256</v>
      </c>
      <c r="I1707">
        <v>550</v>
      </c>
    </row>
    <row r="1708" spans="1:9" x14ac:dyDescent="0.2">
      <c r="A1708" t="s">
        <v>264</v>
      </c>
      <c r="B1708" t="s">
        <v>325</v>
      </c>
      <c r="C1708" t="s">
        <v>477</v>
      </c>
      <c r="D1708" t="s">
        <v>504</v>
      </c>
      <c r="E1708" t="s">
        <v>477</v>
      </c>
      <c r="F1708" t="s">
        <v>516</v>
      </c>
      <c r="G1708" t="s">
        <v>569</v>
      </c>
      <c r="H1708">
        <v>137.34523897192631</v>
      </c>
      <c r="I1708">
        <v>150</v>
      </c>
    </row>
    <row r="1709" spans="1:9" x14ac:dyDescent="0.2">
      <c r="A1709" t="s">
        <v>265</v>
      </c>
      <c r="B1709" t="s">
        <v>326</v>
      </c>
      <c r="C1709" t="s">
        <v>478</v>
      </c>
      <c r="D1709" t="s">
        <v>505</v>
      </c>
      <c r="E1709" t="s">
        <v>478</v>
      </c>
      <c r="F1709" t="s">
        <v>517</v>
      </c>
      <c r="G1709" t="s">
        <v>570</v>
      </c>
      <c r="H1709">
        <v>0</v>
      </c>
      <c r="I1709">
        <v>0</v>
      </c>
    </row>
    <row r="1710" spans="1:9" x14ac:dyDescent="0.2">
      <c r="A1710" t="s">
        <v>266</v>
      </c>
      <c r="B1710" t="s">
        <v>327</v>
      </c>
      <c r="C1710" t="s">
        <v>479</v>
      </c>
      <c r="D1710" t="s">
        <v>506</v>
      </c>
      <c r="E1710" t="s">
        <v>479</v>
      </c>
      <c r="F1710" t="s">
        <v>518</v>
      </c>
      <c r="G1710" t="s">
        <v>571</v>
      </c>
      <c r="H1710">
        <v>437.1338624340375</v>
      </c>
      <c r="I1710">
        <v>450</v>
      </c>
    </row>
    <row r="1711" spans="1:9" x14ac:dyDescent="0.2">
      <c r="A1711" t="s">
        <v>267</v>
      </c>
      <c r="B1711" t="s">
        <v>328</v>
      </c>
      <c r="C1711" t="s">
        <v>480</v>
      </c>
      <c r="D1711" t="s">
        <v>507</v>
      </c>
      <c r="E1711" t="s">
        <v>480</v>
      </c>
      <c r="F1711" t="s">
        <v>519</v>
      </c>
      <c r="G1711" t="s">
        <v>572</v>
      </c>
      <c r="H1711">
        <v>0</v>
      </c>
      <c r="I1711">
        <v>0</v>
      </c>
    </row>
    <row r="1712" spans="1:9" x14ac:dyDescent="0.2">
      <c r="A1712" t="s">
        <v>268</v>
      </c>
      <c r="B1712" t="s">
        <v>329</v>
      </c>
      <c r="C1712" t="s">
        <v>478</v>
      </c>
      <c r="D1712" t="s">
        <v>505</v>
      </c>
      <c r="E1712" t="s">
        <v>478</v>
      </c>
      <c r="F1712" t="s">
        <v>520</v>
      </c>
      <c r="G1712" t="s">
        <v>571</v>
      </c>
      <c r="H1712">
        <v>0</v>
      </c>
      <c r="I1712">
        <v>0</v>
      </c>
    </row>
    <row r="1713" spans="1:9" x14ac:dyDescent="0.2">
      <c r="A1713" t="s">
        <v>268</v>
      </c>
      <c r="B1713" t="s">
        <v>330</v>
      </c>
      <c r="C1713" t="s">
        <v>478</v>
      </c>
      <c r="D1713" t="s">
        <v>505</v>
      </c>
      <c r="E1713" t="s">
        <v>478</v>
      </c>
      <c r="F1713" t="s">
        <v>516</v>
      </c>
      <c r="G1713" t="s">
        <v>571</v>
      </c>
      <c r="H1713">
        <v>0</v>
      </c>
      <c r="I1713">
        <v>0</v>
      </c>
    </row>
    <row r="1714" spans="1:9" x14ac:dyDescent="0.2">
      <c r="A1714" t="s">
        <v>268</v>
      </c>
      <c r="B1714" t="s">
        <v>331</v>
      </c>
      <c r="C1714" t="s">
        <v>478</v>
      </c>
      <c r="D1714" t="s">
        <v>505</v>
      </c>
      <c r="E1714" t="s">
        <v>478</v>
      </c>
      <c r="F1714" t="s">
        <v>520</v>
      </c>
      <c r="G1714" t="s">
        <v>571</v>
      </c>
      <c r="H1714">
        <v>0</v>
      </c>
      <c r="I1714">
        <v>0</v>
      </c>
    </row>
    <row r="1715" spans="1:9" x14ac:dyDescent="0.2">
      <c r="A1715" t="s">
        <v>269</v>
      </c>
      <c r="B1715" t="s">
        <v>332</v>
      </c>
      <c r="C1715" t="s">
        <v>481</v>
      </c>
      <c r="D1715" t="s">
        <v>508</v>
      </c>
      <c r="E1715" t="s">
        <v>481</v>
      </c>
      <c r="F1715" t="s">
        <v>521</v>
      </c>
      <c r="G1715" t="s">
        <v>573</v>
      </c>
      <c r="H1715">
        <v>0</v>
      </c>
      <c r="I1715">
        <v>0</v>
      </c>
    </row>
    <row r="1716" spans="1:9" x14ac:dyDescent="0.2">
      <c r="A1716" t="s">
        <v>270</v>
      </c>
      <c r="B1716" t="s">
        <v>333</v>
      </c>
      <c r="C1716" t="s">
        <v>481</v>
      </c>
      <c r="D1716" t="s">
        <v>508</v>
      </c>
      <c r="E1716" t="s">
        <v>481</v>
      </c>
      <c r="F1716" t="s">
        <v>522</v>
      </c>
      <c r="G1716" t="s">
        <v>573</v>
      </c>
      <c r="H1716">
        <v>0</v>
      </c>
      <c r="I1716">
        <v>0</v>
      </c>
    </row>
    <row r="1717" spans="1:9" x14ac:dyDescent="0.2">
      <c r="A1717" t="s">
        <v>270</v>
      </c>
      <c r="B1717" t="s">
        <v>334</v>
      </c>
      <c r="C1717" t="s">
        <v>481</v>
      </c>
      <c r="D1717" t="s">
        <v>508</v>
      </c>
      <c r="E1717" t="s">
        <v>481</v>
      </c>
      <c r="F1717" t="s">
        <v>523</v>
      </c>
      <c r="G1717" t="s">
        <v>573</v>
      </c>
      <c r="H1717">
        <v>0</v>
      </c>
      <c r="I1717">
        <v>0</v>
      </c>
    </row>
    <row r="1718" spans="1:9" x14ac:dyDescent="0.2">
      <c r="A1718" t="s">
        <v>271</v>
      </c>
      <c r="B1718" t="s">
        <v>335</v>
      </c>
      <c r="C1718" t="s">
        <v>478</v>
      </c>
      <c r="D1718" t="s">
        <v>505</v>
      </c>
      <c r="E1718" t="s">
        <v>478</v>
      </c>
      <c r="F1718" t="s">
        <v>524</v>
      </c>
      <c r="G1718" t="s">
        <v>574</v>
      </c>
      <c r="H1718">
        <v>0</v>
      </c>
      <c r="I1718">
        <v>0</v>
      </c>
    </row>
    <row r="1719" spans="1:9" x14ac:dyDescent="0.2">
      <c r="A1719" t="s">
        <v>269</v>
      </c>
      <c r="B1719" t="s">
        <v>336</v>
      </c>
      <c r="C1719" t="s">
        <v>481</v>
      </c>
      <c r="D1719" t="s">
        <v>508</v>
      </c>
      <c r="E1719" t="s">
        <v>481</v>
      </c>
      <c r="F1719" t="s">
        <v>525</v>
      </c>
      <c r="G1719" t="s">
        <v>573</v>
      </c>
      <c r="H1719">
        <v>0</v>
      </c>
      <c r="I1719">
        <v>0</v>
      </c>
    </row>
    <row r="1720" spans="1:9" x14ac:dyDescent="0.2">
      <c r="A1720" t="s">
        <v>272</v>
      </c>
      <c r="B1720" t="s">
        <v>337</v>
      </c>
      <c r="C1720" t="s">
        <v>481</v>
      </c>
      <c r="D1720" t="s">
        <v>508</v>
      </c>
      <c r="E1720" t="s">
        <v>481</v>
      </c>
      <c r="F1720" t="s">
        <v>526</v>
      </c>
      <c r="G1720" t="s">
        <v>572</v>
      </c>
      <c r="H1720">
        <v>0</v>
      </c>
      <c r="I1720">
        <v>0</v>
      </c>
    </row>
    <row r="1721" spans="1:9" x14ac:dyDescent="0.2">
      <c r="A1721" t="s">
        <v>272</v>
      </c>
      <c r="B1721" t="s">
        <v>338</v>
      </c>
      <c r="C1721" t="s">
        <v>481</v>
      </c>
      <c r="D1721" t="s">
        <v>508</v>
      </c>
      <c r="E1721" t="s">
        <v>481</v>
      </c>
      <c r="F1721" t="s">
        <v>527</v>
      </c>
      <c r="G1721" t="s">
        <v>572</v>
      </c>
      <c r="H1721">
        <v>0</v>
      </c>
      <c r="I1721">
        <v>0</v>
      </c>
    </row>
    <row r="1722" spans="1:9" x14ac:dyDescent="0.2">
      <c r="A1722" t="s">
        <v>273</v>
      </c>
      <c r="B1722" t="s">
        <v>339</v>
      </c>
      <c r="C1722" t="s">
        <v>481</v>
      </c>
      <c r="D1722" t="s">
        <v>508</v>
      </c>
      <c r="E1722" t="s">
        <v>481</v>
      </c>
      <c r="F1722" t="s">
        <v>527</v>
      </c>
      <c r="G1722" t="s">
        <v>572</v>
      </c>
      <c r="H1722">
        <v>0</v>
      </c>
      <c r="I1722">
        <v>0</v>
      </c>
    </row>
    <row r="1723" spans="1:9" x14ac:dyDescent="0.2">
      <c r="A1723" t="s">
        <v>273</v>
      </c>
      <c r="B1723" t="s">
        <v>340</v>
      </c>
      <c r="C1723" t="s">
        <v>482</v>
      </c>
      <c r="D1723" t="s">
        <v>509</v>
      </c>
      <c r="E1723" t="s">
        <v>482</v>
      </c>
      <c r="F1723" t="s">
        <v>528</v>
      </c>
      <c r="G1723" t="s">
        <v>572</v>
      </c>
      <c r="H1723">
        <v>0</v>
      </c>
      <c r="I1723">
        <v>0</v>
      </c>
    </row>
    <row r="1724" spans="1:9" x14ac:dyDescent="0.2">
      <c r="A1724" t="s">
        <v>273</v>
      </c>
      <c r="B1724" t="s">
        <v>341</v>
      </c>
      <c r="C1724" t="s">
        <v>481</v>
      </c>
      <c r="D1724" t="s">
        <v>508</v>
      </c>
      <c r="E1724" t="s">
        <v>481</v>
      </c>
      <c r="F1724" t="s">
        <v>527</v>
      </c>
      <c r="G1724" t="s">
        <v>572</v>
      </c>
      <c r="H1724">
        <v>0</v>
      </c>
      <c r="I1724">
        <v>0</v>
      </c>
    </row>
    <row r="1725" spans="1:9" x14ac:dyDescent="0.2">
      <c r="A1725" t="s">
        <v>273</v>
      </c>
      <c r="B1725" t="s">
        <v>342</v>
      </c>
      <c r="C1725" t="s">
        <v>481</v>
      </c>
      <c r="D1725" t="s">
        <v>508</v>
      </c>
      <c r="E1725" t="s">
        <v>481</v>
      </c>
      <c r="F1725" t="s">
        <v>526</v>
      </c>
      <c r="G1725" t="s">
        <v>572</v>
      </c>
      <c r="H1725">
        <v>0</v>
      </c>
      <c r="I1725">
        <v>0</v>
      </c>
    </row>
    <row r="1726" spans="1:9" x14ac:dyDescent="0.2">
      <c r="A1726" t="s">
        <v>274</v>
      </c>
      <c r="B1726" t="s">
        <v>343</v>
      </c>
      <c r="C1726" t="s">
        <v>483</v>
      </c>
      <c r="D1726" t="s">
        <v>510</v>
      </c>
      <c r="E1726" t="s">
        <v>483</v>
      </c>
      <c r="F1726" t="s">
        <v>529</v>
      </c>
      <c r="G1726" t="s">
        <v>575</v>
      </c>
      <c r="H1726">
        <v>0</v>
      </c>
      <c r="I1726">
        <v>0</v>
      </c>
    </row>
    <row r="1727" spans="1:9" x14ac:dyDescent="0.2">
      <c r="A1727" t="s">
        <v>275</v>
      </c>
      <c r="B1727" t="s">
        <v>344</v>
      </c>
      <c r="C1727" t="s">
        <v>478</v>
      </c>
      <c r="D1727" t="s">
        <v>505</v>
      </c>
      <c r="E1727" t="s">
        <v>477</v>
      </c>
      <c r="F1727" t="s">
        <v>530</v>
      </c>
      <c r="G1727" t="s">
        <v>575</v>
      </c>
      <c r="H1727">
        <v>0</v>
      </c>
      <c r="I1727">
        <v>0</v>
      </c>
    </row>
    <row r="1728" spans="1:9" x14ac:dyDescent="0.2">
      <c r="A1728" t="s">
        <v>275</v>
      </c>
      <c r="B1728" t="s">
        <v>345</v>
      </c>
      <c r="C1728" t="s">
        <v>478</v>
      </c>
      <c r="D1728" t="s">
        <v>505</v>
      </c>
      <c r="E1728" t="s">
        <v>477</v>
      </c>
      <c r="F1728" t="s">
        <v>530</v>
      </c>
      <c r="G1728" t="s">
        <v>575</v>
      </c>
      <c r="H1728">
        <v>0</v>
      </c>
      <c r="I1728">
        <v>0</v>
      </c>
    </row>
    <row r="1729" spans="1:9" x14ac:dyDescent="0.2">
      <c r="A1729" t="s">
        <v>275</v>
      </c>
      <c r="B1729" t="s">
        <v>346</v>
      </c>
      <c r="C1729" t="s">
        <v>478</v>
      </c>
      <c r="D1729" t="s">
        <v>505</v>
      </c>
      <c r="E1729" t="s">
        <v>477</v>
      </c>
      <c r="F1729" t="s">
        <v>530</v>
      </c>
      <c r="G1729" t="s">
        <v>575</v>
      </c>
      <c r="H1729">
        <v>0</v>
      </c>
      <c r="I1729">
        <v>0</v>
      </c>
    </row>
    <row r="1730" spans="1:9" x14ac:dyDescent="0.2">
      <c r="A1730" t="s">
        <v>275</v>
      </c>
      <c r="B1730" t="s">
        <v>347</v>
      </c>
      <c r="C1730" t="s">
        <v>478</v>
      </c>
      <c r="D1730" t="s">
        <v>505</v>
      </c>
      <c r="E1730" t="s">
        <v>477</v>
      </c>
      <c r="F1730" t="s">
        <v>530</v>
      </c>
      <c r="G1730" t="s">
        <v>575</v>
      </c>
      <c r="H1730">
        <v>0</v>
      </c>
      <c r="I1730">
        <v>0</v>
      </c>
    </row>
    <row r="1731" spans="1:9" x14ac:dyDescent="0.2">
      <c r="A1731" t="s">
        <v>275</v>
      </c>
      <c r="B1731" t="s">
        <v>348</v>
      </c>
      <c r="C1731" t="s">
        <v>478</v>
      </c>
      <c r="D1731" t="s">
        <v>505</v>
      </c>
      <c r="E1731" t="s">
        <v>477</v>
      </c>
      <c r="F1731" t="s">
        <v>530</v>
      </c>
      <c r="G1731" t="s">
        <v>575</v>
      </c>
      <c r="H1731">
        <v>0</v>
      </c>
      <c r="I1731">
        <v>0</v>
      </c>
    </row>
    <row r="1732" spans="1:9" x14ac:dyDescent="0.2">
      <c r="A1732" t="s">
        <v>275</v>
      </c>
      <c r="B1732" t="s">
        <v>349</v>
      </c>
      <c r="C1732" t="s">
        <v>478</v>
      </c>
      <c r="D1732" t="s">
        <v>505</v>
      </c>
      <c r="E1732" t="s">
        <v>477</v>
      </c>
      <c r="F1732" t="s">
        <v>530</v>
      </c>
      <c r="G1732" t="s">
        <v>575</v>
      </c>
      <c r="H1732">
        <v>0</v>
      </c>
      <c r="I1732">
        <v>0</v>
      </c>
    </row>
    <row r="1733" spans="1:9" x14ac:dyDescent="0.2">
      <c r="A1733" t="s">
        <v>275</v>
      </c>
      <c r="B1733" t="s">
        <v>350</v>
      </c>
      <c r="C1733" t="s">
        <v>478</v>
      </c>
      <c r="D1733" t="s">
        <v>505</v>
      </c>
      <c r="E1733" t="s">
        <v>477</v>
      </c>
      <c r="F1733" t="s">
        <v>530</v>
      </c>
      <c r="G1733" t="s">
        <v>575</v>
      </c>
      <c r="H1733">
        <v>0</v>
      </c>
      <c r="I1733">
        <v>0</v>
      </c>
    </row>
    <row r="1734" spans="1:9" x14ac:dyDescent="0.2">
      <c r="A1734" t="s">
        <v>275</v>
      </c>
      <c r="B1734" t="s">
        <v>351</v>
      </c>
      <c r="C1734" t="s">
        <v>478</v>
      </c>
      <c r="D1734" t="s">
        <v>505</v>
      </c>
      <c r="E1734" t="s">
        <v>477</v>
      </c>
      <c r="F1734" t="s">
        <v>530</v>
      </c>
      <c r="G1734" t="s">
        <v>575</v>
      </c>
      <c r="H1734">
        <v>0</v>
      </c>
      <c r="I1734">
        <v>0</v>
      </c>
    </row>
    <row r="1735" spans="1:9" x14ac:dyDescent="0.2">
      <c r="A1735" t="s">
        <v>275</v>
      </c>
      <c r="B1735" t="s">
        <v>352</v>
      </c>
      <c r="C1735" t="s">
        <v>478</v>
      </c>
      <c r="D1735" t="s">
        <v>505</v>
      </c>
      <c r="E1735" t="s">
        <v>477</v>
      </c>
      <c r="F1735" t="s">
        <v>530</v>
      </c>
      <c r="G1735" t="s">
        <v>575</v>
      </c>
      <c r="H1735">
        <v>0</v>
      </c>
      <c r="I1735">
        <v>0</v>
      </c>
    </row>
    <row r="1736" spans="1:9" x14ac:dyDescent="0.2">
      <c r="A1736" t="s">
        <v>264</v>
      </c>
      <c r="B1736" t="s">
        <v>353</v>
      </c>
      <c r="C1736" t="s">
        <v>478</v>
      </c>
      <c r="D1736" t="s">
        <v>505</v>
      </c>
      <c r="E1736" t="s">
        <v>477</v>
      </c>
      <c r="F1736" t="s">
        <v>516</v>
      </c>
      <c r="G1736" t="s">
        <v>575</v>
      </c>
      <c r="H1736">
        <v>0</v>
      </c>
      <c r="I1736">
        <v>0</v>
      </c>
    </row>
    <row r="1737" spans="1:9" x14ac:dyDescent="0.2">
      <c r="A1737" t="s">
        <v>276</v>
      </c>
      <c r="B1737" t="s">
        <v>354</v>
      </c>
      <c r="C1737" t="s">
        <v>484</v>
      </c>
      <c r="D1737" t="s">
        <v>511</v>
      </c>
      <c r="E1737" t="s">
        <v>484</v>
      </c>
      <c r="F1737" t="s">
        <v>531</v>
      </c>
      <c r="G1737" t="s">
        <v>575</v>
      </c>
      <c r="H1737">
        <v>0</v>
      </c>
      <c r="I1737">
        <v>0</v>
      </c>
    </row>
    <row r="1738" spans="1:9" x14ac:dyDescent="0.2">
      <c r="A1738" t="s">
        <v>275</v>
      </c>
      <c r="B1738" t="s">
        <v>355</v>
      </c>
      <c r="C1738" t="s">
        <v>478</v>
      </c>
      <c r="D1738" t="s">
        <v>505</v>
      </c>
      <c r="E1738" t="s">
        <v>477</v>
      </c>
      <c r="F1738" t="s">
        <v>530</v>
      </c>
      <c r="G1738" t="s">
        <v>575</v>
      </c>
      <c r="H1738">
        <v>0</v>
      </c>
      <c r="I1738">
        <v>0</v>
      </c>
    </row>
    <row r="1739" spans="1:9" x14ac:dyDescent="0.2">
      <c r="A1739" t="s">
        <v>275</v>
      </c>
      <c r="B1739" t="s">
        <v>356</v>
      </c>
      <c r="C1739" t="s">
        <v>478</v>
      </c>
      <c r="D1739" t="s">
        <v>505</v>
      </c>
      <c r="E1739" t="s">
        <v>477</v>
      </c>
      <c r="F1739" t="s">
        <v>530</v>
      </c>
      <c r="G1739" t="s">
        <v>575</v>
      </c>
      <c r="H1739">
        <v>0</v>
      </c>
      <c r="I1739">
        <v>0</v>
      </c>
    </row>
    <row r="1740" spans="1:9" x14ac:dyDescent="0.2">
      <c r="A1740" t="s">
        <v>275</v>
      </c>
      <c r="B1740" t="s">
        <v>357</v>
      </c>
      <c r="C1740" t="s">
        <v>478</v>
      </c>
      <c r="D1740" t="s">
        <v>505</v>
      </c>
      <c r="E1740" t="s">
        <v>477</v>
      </c>
      <c r="F1740" t="s">
        <v>530</v>
      </c>
      <c r="G1740" t="s">
        <v>575</v>
      </c>
      <c r="H1740">
        <v>0</v>
      </c>
      <c r="I1740">
        <v>0</v>
      </c>
    </row>
    <row r="1741" spans="1:9" x14ac:dyDescent="0.2">
      <c r="A1741" t="s">
        <v>275</v>
      </c>
      <c r="B1741" t="s">
        <v>358</v>
      </c>
      <c r="C1741" t="s">
        <v>478</v>
      </c>
      <c r="D1741" t="s">
        <v>505</v>
      </c>
      <c r="E1741" t="s">
        <v>477</v>
      </c>
      <c r="F1741" t="s">
        <v>530</v>
      </c>
      <c r="G1741" t="s">
        <v>575</v>
      </c>
      <c r="H1741">
        <v>0</v>
      </c>
      <c r="I1741">
        <v>0</v>
      </c>
    </row>
    <row r="1742" spans="1:9" x14ac:dyDescent="0.2">
      <c r="A1742" t="s">
        <v>275</v>
      </c>
      <c r="B1742" t="s">
        <v>359</v>
      </c>
      <c r="C1742" t="s">
        <v>478</v>
      </c>
      <c r="D1742" t="s">
        <v>505</v>
      </c>
      <c r="E1742" t="s">
        <v>477</v>
      </c>
      <c r="F1742" t="s">
        <v>530</v>
      </c>
      <c r="G1742" t="s">
        <v>575</v>
      </c>
      <c r="H1742">
        <v>0</v>
      </c>
      <c r="I1742">
        <v>0</v>
      </c>
    </row>
    <row r="1743" spans="1:9" x14ac:dyDescent="0.2">
      <c r="A1743" t="s">
        <v>275</v>
      </c>
      <c r="B1743" t="s">
        <v>360</v>
      </c>
      <c r="C1743" t="s">
        <v>478</v>
      </c>
      <c r="D1743" t="s">
        <v>505</v>
      </c>
      <c r="E1743" t="s">
        <v>477</v>
      </c>
      <c r="F1743" t="s">
        <v>530</v>
      </c>
      <c r="G1743" t="s">
        <v>575</v>
      </c>
      <c r="H1743">
        <v>0</v>
      </c>
      <c r="I1743">
        <v>0</v>
      </c>
    </row>
    <row r="1744" spans="1:9" x14ac:dyDescent="0.2">
      <c r="A1744" t="s">
        <v>264</v>
      </c>
      <c r="B1744" t="s">
        <v>361</v>
      </c>
      <c r="C1744" t="s">
        <v>478</v>
      </c>
      <c r="D1744" t="s">
        <v>505</v>
      </c>
      <c r="E1744" t="s">
        <v>477</v>
      </c>
      <c r="F1744" t="s">
        <v>516</v>
      </c>
      <c r="G1744" t="s">
        <v>575</v>
      </c>
      <c r="H1744">
        <v>0</v>
      </c>
      <c r="I1744">
        <v>0</v>
      </c>
    </row>
    <row r="1745" spans="1:9" x14ac:dyDescent="0.2">
      <c r="A1745" t="s">
        <v>265</v>
      </c>
      <c r="B1745" t="s">
        <v>362</v>
      </c>
      <c r="C1745" t="s">
        <v>478</v>
      </c>
      <c r="D1745" t="s">
        <v>505</v>
      </c>
      <c r="E1745" t="s">
        <v>491</v>
      </c>
      <c r="F1745" t="s">
        <v>532</v>
      </c>
      <c r="G1745" t="s">
        <v>570</v>
      </c>
      <c r="H1745">
        <v>0</v>
      </c>
      <c r="I1745">
        <v>0</v>
      </c>
    </row>
    <row r="1746" spans="1:9" x14ac:dyDescent="0.2">
      <c r="A1746" t="s">
        <v>277</v>
      </c>
      <c r="B1746" t="s">
        <v>363</v>
      </c>
      <c r="C1746" t="s">
        <v>485</v>
      </c>
      <c r="D1746" t="s">
        <v>512</v>
      </c>
      <c r="E1746" t="s">
        <v>485</v>
      </c>
      <c r="F1746" t="s">
        <v>525</v>
      </c>
      <c r="G1746" t="s">
        <v>571</v>
      </c>
      <c r="H1746">
        <v>0</v>
      </c>
      <c r="I1746">
        <v>0</v>
      </c>
    </row>
    <row r="1747" spans="1:9" x14ac:dyDescent="0.2">
      <c r="A1747" t="s">
        <v>267</v>
      </c>
      <c r="B1747" t="s">
        <v>364</v>
      </c>
      <c r="C1747" t="s">
        <v>480</v>
      </c>
      <c r="D1747" t="s">
        <v>507</v>
      </c>
      <c r="E1747" t="s">
        <v>480</v>
      </c>
      <c r="F1747" t="s">
        <v>533</v>
      </c>
      <c r="G1747" t="s">
        <v>572</v>
      </c>
      <c r="H1747">
        <v>0</v>
      </c>
      <c r="I1747">
        <v>0</v>
      </c>
    </row>
    <row r="1748" spans="1:9" x14ac:dyDescent="0.2">
      <c r="A1748" t="s">
        <v>278</v>
      </c>
      <c r="B1748" t="s">
        <v>365</v>
      </c>
      <c r="C1748" t="s">
        <v>486</v>
      </c>
      <c r="D1748" t="s">
        <v>513</v>
      </c>
      <c r="E1748" t="s">
        <v>486</v>
      </c>
      <c r="F1748" t="s">
        <v>534</v>
      </c>
      <c r="G1748" t="s">
        <v>573</v>
      </c>
      <c r="H1748">
        <v>0</v>
      </c>
      <c r="I1748">
        <v>0</v>
      </c>
    </row>
    <row r="1749" spans="1:9" x14ac:dyDescent="0.2">
      <c r="A1749" t="s">
        <v>278</v>
      </c>
      <c r="B1749" t="s">
        <v>366</v>
      </c>
      <c r="C1749" t="s">
        <v>486</v>
      </c>
      <c r="D1749" t="s">
        <v>513</v>
      </c>
      <c r="E1749" t="s">
        <v>486</v>
      </c>
      <c r="F1749" t="s">
        <v>534</v>
      </c>
      <c r="G1749" t="s">
        <v>573</v>
      </c>
      <c r="H1749">
        <v>0</v>
      </c>
      <c r="I1749">
        <v>0</v>
      </c>
    </row>
    <row r="1750" spans="1:9" x14ac:dyDescent="0.2">
      <c r="A1750" t="s">
        <v>279</v>
      </c>
      <c r="B1750" t="s">
        <v>367</v>
      </c>
      <c r="C1750" t="s">
        <v>487</v>
      </c>
      <c r="D1750" t="s">
        <v>514</v>
      </c>
      <c r="E1750" t="s">
        <v>487</v>
      </c>
      <c r="F1750" t="s">
        <v>535</v>
      </c>
      <c r="G1750" t="s">
        <v>573</v>
      </c>
      <c r="H1750">
        <v>0</v>
      </c>
      <c r="I1750">
        <v>0</v>
      </c>
    </row>
    <row r="1751" spans="1:9" x14ac:dyDescent="0.2">
      <c r="A1751" t="s">
        <v>279</v>
      </c>
      <c r="B1751" t="s">
        <v>368</v>
      </c>
      <c r="C1751" t="s">
        <v>487</v>
      </c>
      <c r="D1751" t="s">
        <v>514</v>
      </c>
      <c r="E1751" t="s">
        <v>487</v>
      </c>
      <c r="F1751" t="s">
        <v>527</v>
      </c>
      <c r="G1751" t="s">
        <v>573</v>
      </c>
      <c r="H1751">
        <v>0</v>
      </c>
      <c r="I1751">
        <v>0</v>
      </c>
    </row>
    <row r="1752" spans="1:9" x14ac:dyDescent="0.2">
      <c r="A1752" t="s">
        <v>280</v>
      </c>
      <c r="B1752" t="s">
        <v>369</v>
      </c>
      <c r="C1752" t="s">
        <v>482</v>
      </c>
      <c r="D1752">
        <v>0</v>
      </c>
      <c r="E1752" t="s">
        <v>482</v>
      </c>
      <c r="F1752" t="s">
        <v>526</v>
      </c>
      <c r="G1752" t="s">
        <v>572</v>
      </c>
      <c r="H1752">
        <v>0</v>
      </c>
      <c r="I1752">
        <v>0</v>
      </c>
    </row>
    <row r="1753" spans="1:9" x14ac:dyDescent="0.2">
      <c r="A1753" t="s">
        <v>280</v>
      </c>
      <c r="B1753" t="s">
        <v>370</v>
      </c>
      <c r="C1753" t="s">
        <v>482</v>
      </c>
      <c r="D1753">
        <v>0</v>
      </c>
      <c r="E1753" t="s">
        <v>482</v>
      </c>
      <c r="F1753" t="s">
        <v>527</v>
      </c>
      <c r="G1753" t="s">
        <v>572</v>
      </c>
      <c r="H1753">
        <v>0</v>
      </c>
      <c r="I1753">
        <v>0</v>
      </c>
    </row>
    <row r="1754" spans="1:9" x14ac:dyDescent="0.2">
      <c r="A1754" t="s">
        <v>272</v>
      </c>
      <c r="B1754" t="s">
        <v>371</v>
      </c>
      <c r="C1754" t="s">
        <v>482</v>
      </c>
      <c r="D1754">
        <v>0</v>
      </c>
      <c r="E1754" t="s">
        <v>482</v>
      </c>
      <c r="F1754" t="s">
        <v>527</v>
      </c>
      <c r="G1754" t="s">
        <v>572</v>
      </c>
      <c r="H1754">
        <v>0</v>
      </c>
      <c r="I1754">
        <v>0</v>
      </c>
    </row>
    <row r="1755" spans="1:9" x14ac:dyDescent="0.2">
      <c r="A1755" t="s">
        <v>272</v>
      </c>
      <c r="B1755" t="s">
        <v>372</v>
      </c>
      <c r="C1755" t="s">
        <v>488</v>
      </c>
      <c r="D1755">
        <v>0</v>
      </c>
      <c r="E1755" t="s">
        <v>488</v>
      </c>
      <c r="F1755" t="s">
        <v>528</v>
      </c>
      <c r="G1755" t="s">
        <v>572</v>
      </c>
      <c r="H1755">
        <v>0</v>
      </c>
      <c r="I1755">
        <v>0</v>
      </c>
    </row>
    <row r="1756" spans="1:9" x14ac:dyDescent="0.2">
      <c r="A1756" t="s">
        <v>281</v>
      </c>
      <c r="B1756" t="s">
        <v>373</v>
      </c>
      <c r="C1756" t="s">
        <v>482</v>
      </c>
      <c r="D1756">
        <v>0</v>
      </c>
      <c r="E1756" t="s">
        <v>482</v>
      </c>
      <c r="F1756" t="s">
        <v>527</v>
      </c>
      <c r="G1756" t="s">
        <v>572</v>
      </c>
      <c r="H1756">
        <v>0</v>
      </c>
      <c r="I1756">
        <v>0</v>
      </c>
    </row>
    <row r="1757" spans="1:9" x14ac:dyDescent="0.2">
      <c r="A1757" t="s">
        <v>273</v>
      </c>
      <c r="B1757" t="s">
        <v>374</v>
      </c>
      <c r="C1757" t="s">
        <v>481</v>
      </c>
      <c r="D1757">
        <v>0</v>
      </c>
      <c r="E1757" t="s">
        <v>481</v>
      </c>
      <c r="F1757" t="s">
        <v>526</v>
      </c>
      <c r="G1757" t="s">
        <v>572</v>
      </c>
      <c r="H1757">
        <v>0</v>
      </c>
      <c r="I1757">
        <v>0</v>
      </c>
    </row>
    <row r="1758" spans="1:9" x14ac:dyDescent="0.2">
      <c r="A1758" t="s">
        <v>282</v>
      </c>
      <c r="B1758" t="s">
        <v>375</v>
      </c>
      <c r="C1758" t="s">
        <v>489</v>
      </c>
      <c r="D1758">
        <v>0</v>
      </c>
      <c r="E1758" t="s">
        <v>489</v>
      </c>
      <c r="F1758" t="s">
        <v>526</v>
      </c>
      <c r="G1758" t="s">
        <v>572</v>
      </c>
      <c r="H1758">
        <v>0</v>
      </c>
      <c r="I1758">
        <v>0</v>
      </c>
    </row>
    <row r="1759" spans="1:9" x14ac:dyDescent="0.2">
      <c r="A1759" t="s">
        <v>283</v>
      </c>
      <c r="B1759" t="s">
        <v>376</v>
      </c>
      <c r="C1759" t="s">
        <v>490</v>
      </c>
      <c r="D1759">
        <v>0</v>
      </c>
      <c r="E1759" t="s">
        <v>478</v>
      </c>
      <c r="F1759" t="s">
        <v>536</v>
      </c>
      <c r="G1759" t="s">
        <v>575</v>
      </c>
      <c r="H1759">
        <v>0</v>
      </c>
      <c r="I1759">
        <v>0</v>
      </c>
    </row>
    <row r="1760" spans="1:9" x14ac:dyDescent="0.2">
      <c r="A1760" t="s">
        <v>275</v>
      </c>
      <c r="B1760" t="s">
        <v>377</v>
      </c>
      <c r="C1760" t="s">
        <v>478</v>
      </c>
      <c r="D1760">
        <v>0</v>
      </c>
      <c r="E1760" t="s">
        <v>477</v>
      </c>
      <c r="F1760" t="s">
        <v>537</v>
      </c>
      <c r="G1760" t="s">
        <v>575</v>
      </c>
      <c r="H1760">
        <v>0</v>
      </c>
      <c r="I1760">
        <v>0</v>
      </c>
    </row>
    <row r="1761" spans="1:9" x14ac:dyDescent="0.2">
      <c r="A1761" t="s">
        <v>275</v>
      </c>
      <c r="B1761" t="s">
        <v>378</v>
      </c>
      <c r="C1761" t="s">
        <v>478</v>
      </c>
      <c r="D1761">
        <v>0</v>
      </c>
      <c r="E1761" t="s">
        <v>477</v>
      </c>
      <c r="F1761" t="s">
        <v>538</v>
      </c>
      <c r="G1761" t="s">
        <v>575</v>
      </c>
      <c r="H1761">
        <v>0</v>
      </c>
      <c r="I1761">
        <v>0</v>
      </c>
    </row>
    <row r="1762" spans="1:9" x14ac:dyDescent="0.2">
      <c r="A1762" t="s">
        <v>275</v>
      </c>
      <c r="B1762" t="s">
        <v>379</v>
      </c>
      <c r="C1762" t="s">
        <v>478</v>
      </c>
      <c r="D1762">
        <v>0</v>
      </c>
      <c r="E1762" t="s">
        <v>477</v>
      </c>
      <c r="F1762" t="s">
        <v>538</v>
      </c>
      <c r="G1762" t="s">
        <v>575</v>
      </c>
      <c r="H1762">
        <v>0</v>
      </c>
      <c r="I1762">
        <v>0</v>
      </c>
    </row>
    <row r="1763" spans="1:9" x14ac:dyDescent="0.2">
      <c r="A1763" t="s">
        <v>275</v>
      </c>
      <c r="B1763" t="s">
        <v>380</v>
      </c>
      <c r="C1763" t="s">
        <v>478</v>
      </c>
      <c r="D1763">
        <v>0</v>
      </c>
      <c r="E1763" t="s">
        <v>477</v>
      </c>
      <c r="F1763" t="s">
        <v>530</v>
      </c>
      <c r="G1763" t="s">
        <v>575</v>
      </c>
      <c r="H1763">
        <v>0</v>
      </c>
      <c r="I1763">
        <v>0</v>
      </c>
    </row>
    <row r="1764" spans="1:9" x14ac:dyDescent="0.2">
      <c r="A1764" t="s">
        <v>275</v>
      </c>
      <c r="B1764" t="s">
        <v>381</v>
      </c>
      <c r="C1764" t="s">
        <v>478</v>
      </c>
      <c r="D1764">
        <v>0</v>
      </c>
      <c r="E1764" t="s">
        <v>477</v>
      </c>
      <c r="F1764" t="s">
        <v>530</v>
      </c>
      <c r="G1764" t="s">
        <v>575</v>
      </c>
      <c r="H1764">
        <v>0</v>
      </c>
      <c r="I1764">
        <v>0</v>
      </c>
    </row>
    <row r="1765" spans="1:9" x14ac:dyDescent="0.2">
      <c r="A1765" t="s">
        <v>275</v>
      </c>
      <c r="B1765" t="s">
        <v>382</v>
      </c>
      <c r="C1765" t="s">
        <v>478</v>
      </c>
      <c r="D1765">
        <v>0</v>
      </c>
      <c r="E1765" t="s">
        <v>477</v>
      </c>
      <c r="F1765" t="s">
        <v>530</v>
      </c>
      <c r="G1765" t="s">
        <v>575</v>
      </c>
      <c r="H1765">
        <v>0</v>
      </c>
      <c r="I1765">
        <v>0</v>
      </c>
    </row>
    <row r="1766" spans="1:9" x14ac:dyDescent="0.2">
      <c r="A1766" t="s">
        <v>275</v>
      </c>
      <c r="B1766" t="s">
        <v>383</v>
      </c>
      <c r="C1766" t="s">
        <v>478</v>
      </c>
      <c r="D1766">
        <v>0</v>
      </c>
      <c r="E1766" t="s">
        <v>477</v>
      </c>
      <c r="F1766" t="s">
        <v>530</v>
      </c>
      <c r="G1766" t="s">
        <v>575</v>
      </c>
      <c r="H1766">
        <v>0</v>
      </c>
      <c r="I1766">
        <v>0</v>
      </c>
    </row>
    <row r="1767" spans="1:9" x14ac:dyDescent="0.2">
      <c r="A1767" t="s">
        <v>264</v>
      </c>
      <c r="B1767" t="s">
        <v>384</v>
      </c>
      <c r="C1767" t="s">
        <v>478</v>
      </c>
      <c r="D1767">
        <v>0</v>
      </c>
      <c r="E1767" t="s">
        <v>477</v>
      </c>
      <c r="F1767" t="s">
        <v>516</v>
      </c>
      <c r="G1767" t="s">
        <v>575</v>
      </c>
      <c r="H1767">
        <v>0</v>
      </c>
      <c r="I1767">
        <v>0</v>
      </c>
    </row>
    <row r="1768" spans="1:9" x14ac:dyDescent="0.2">
      <c r="A1768" t="s">
        <v>284</v>
      </c>
      <c r="B1768" t="s">
        <v>385</v>
      </c>
      <c r="C1768" t="s">
        <v>477</v>
      </c>
      <c r="D1768">
        <v>0</v>
      </c>
      <c r="E1768" t="s">
        <v>477</v>
      </c>
      <c r="F1768" t="s">
        <v>539</v>
      </c>
      <c r="G1768" t="s">
        <v>570</v>
      </c>
      <c r="H1768">
        <v>0</v>
      </c>
      <c r="I1768">
        <v>0</v>
      </c>
    </row>
    <row r="1769" spans="1:9" x14ac:dyDescent="0.2">
      <c r="A1769" t="s">
        <v>285</v>
      </c>
      <c r="B1769" t="s">
        <v>386</v>
      </c>
      <c r="C1769" t="s">
        <v>477</v>
      </c>
      <c r="D1769">
        <v>0</v>
      </c>
      <c r="E1769" t="s">
        <v>477</v>
      </c>
      <c r="F1769" t="s">
        <v>531</v>
      </c>
      <c r="G1769" t="s">
        <v>570</v>
      </c>
      <c r="H1769">
        <v>0</v>
      </c>
      <c r="I1769">
        <v>0</v>
      </c>
    </row>
    <row r="1770" spans="1:9" x14ac:dyDescent="0.2">
      <c r="A1770" t="s">
        <v>286</v>
      </c>
      <c r="B1770" t="s">
        <v>387</v>
      </c>
      <c r="C1770" t="s">
        <v>486</v>
      </c>
      <c r="D1770">
        <v>0</v>
      </c>
      <c r="E1770" t="s">
        <v>486</v>
      </c>
      <c r="F1770" t="s">
        <v>540</v>
      </c>
      <c r="G1770" t="s">
        <v>572</v>
      </c>
      <c r="H1770">
        <v>0</v>
      </c>
      <c r="I1770">
        <v>0</v>
      </c>
    </row>
    <row r="1771" spans="1:9" x14ac:dyDescent="0.2">
      <c r="A1771" t="s">
        <v>286</v>
      </c>
      <c r="B1771" t="s">
        <v>388</v>
      </c>
      <c r="C1771" t="s">
        <v>491</v>
      </c>
      <c r="D1771">
        <v>0</v>
      </c>
      <c r="E1771" t="s">
        <v>491</v>
      </c>
      <c r="F1771" t="s">
        <v>524</v>
      </c>
      <c r="G1771" t="s">
        <v>573</v>
      </c>
      <c r="H1771">
        <v>0</v>
      </c>
      <c r="I1771">
        <v>0</v>
      </c>
    </row>
    <row r="1772" spans="1:9" x14ac:dyDescent="0.2">
      <c r="A1772" t="s">
        <v>286</v>
      </c>
      <c r="B1772" t="s">
        <v>389</v>
      </c>
      <c r="C1772" t="s">
        <v>491</v>
      </c>
      <c r="D1772">
        <v>0</v>
      </c>
      <c r="E1772" t="s">
        <v>491</v>
      </c>
      <c r="F1772" t="s">
        <v>524</v>
      </c>
      <c r="G1772" t="s">
        <v>573</v>
      </c>
      <c r="H1772">
        <v>0</v>
      </c>
      <c r="I1772">
        <v>0</v>
      </c>
    </row>
    <row r="1773" spans="1:9" x14ac:dyDescent="0.2">
      <c r="A1773" t="s">
        <v>286</v>
      </c>
      <c r="B1773" t="s">
        <v>390</v>
      </c>
      <c r="C1773" t="s">
        <v>491</v>
      </c>
      <c r="D1773">
        <v>0</v>
      </c>
      <c r="E1773" t="s">
        <v>491</v>
      </c>
      <c r="F1773" t="s">
        <v>524</v>
      </c>
      <c r="G1773" t="s">
        <v>573</v>
      </c>
      <c r="H1773">
        <v>0</v>
      </c>
      <c r="I1773">
        <v>0</v>
      </c>
    </row>
    <row r="1774" spans="1:9" x14ac:dyDescent="0.2">
      <c r="A1774" t="s">
        <v>286</v>
      </c>
      <c r="B1774" t="s">
        <v>391</v>
      </c>
      <c r="C1774" t="s">
        <v>491</v>
      </c>
      <c r="D1774">
        <v>0</v>
      </c>
      <c r="E1774" t="s">
        <v>491</v>
      </c>
      <c r="F1774" t="s">
        <v>524</v>
      </c>
      <c r="G1774" t="s">
        <v>573</v>
      </c>
      <c r="H1774">
        <v>0</v>
      </c>
      <c r="I1774">
        <v>0</v>
      </c>
    </row>
    <row r="1775" spans="1:9" x14ac:dyDescent="0.2">
      <c r="A1775" t="s">
        <v>286</v>
      </c>
      <c r="B1775" t="s">
        <v>392</v>
      </c>
      <c r="C1775" t="s">
        <v>491</v>
      </c>
      <c r="D1775">
        <v>0</v>
      </c>
      <c r="E1775" t="s">
        <v>491</v>
      </c>
      <c r="F1775" t="s">
        <v>524</v>
      </c>
      <c r="G1775" t="s">
        <v>573</v>
      </c>
      <c r="H1775">
        <v>0</v>
      </c>
      <c r="I1775">
        <v>0</v>
      </c>
    </row>
    <row r="1776" spans="1:9" x14ac:dyDescent="0.2">
      <c r="A1776" t="s">
        <v>286</v>
      </c>
      <c r="B1776" t="s">
        <v>393</v>
      </c>
      <c r="C1776" t="s">
        <v>491</v>
      </c>
      <c r="D1776">
        <v>0</v>
      </c>
      <c r="E1776" t="s">
        <v>491</v>
      </c>
      <c r="F1776" t="s">
        <v>524</v>
      </c>
      <c r="G1776" t="s">
        <v>573</v>
      </c>
      <c r="H1776">
        <v>0</v>
      </c>
      <c r="I1776">
        <v>0</v>
      </c>
    </row>
    <row r="1777" spans="1:9" x14ac:dyDescent="0.2">
      <c r="A1777" t="s">
        <v>286</v>
      </c>
      <c r="B1777" t="s">
        <v>394</v>
      </c>
      <c r="C1777" t="s">
        <v>491</v>
      </c>
      <c r="D1777">
        <v>0</v>
      </c>
      <c r="E1777" t="s">
        <v>491</v>
      </c>
      <c r="F1777" t="s">
        <v>524</v>
      </c>
      <c r="G1777" t="s">
        <v>573</v>
      </c>
      <c r="H1777">
        <v>0</v>
      </c>
      <c r="I1777">
        <v>0</v>
      </c>
    </row>
    <row r="1778" spans="1:9" x14ac:dyDescent="0.2">
      <c r="A1778" t="s">
        <v>286</v>
      </c>
      <c r="B1778" t="s">
        <v>394</v>
      </c>
      <c r="C1778" t="s">
        <v>491</v>
      </c>
      <c r="D1778">
        <v>0</v>
      </c>
      <c r="E1778" t="s">
        <v>491</v>
      </c>
      <c r="F1778" t="s">
        <v>524</v>
      </c>
      <c r="G1778" t="s">
        <v>573</v>
      </c>
      <c r="H1778">
        <v>0</v>
      </c>
      <c r="I1778">
        <v>0</v>
      </c>
    </row>
    <row r="1779" spans="1:9" x14ac:dyDescent="0.2">
      <c r="A1779" t="s">
        <v>286</v>
      </c>
      <c r="B1779" t="s">
        <v>395</v>
      </c>
      <c r="C1779" t="s">
        <v>491</v>
      </c>
      <c r="D1779">
        <v>0</v>
      </c>
      <c r="E1779" t="s">
        <v>491</v>
      </c>
      <c r="F1779" t="s">
        <v>524</v>
      </c>
      <c r="G1779" t="s">
        <v>573</v>
      </c>
      <c r="H1779">
        <v>0</v>
      </c>
      <c r="I1779">
        <v>0</v>
      </c>
    </row>
    <row r="1780" spans="1:9" x14ac:dyDescent="0.2">
      <c r="A1780" t="s">
        <v>286</v>
      </c>
      <c r="B1780" t="s">
        <v>396</v>
      </c>
      <c r="C1780" t="s">
        <v>486</v>
      </c>
      <c r="D1780">
        <v>0</v>
      </c>
      <c r="E1780" t="s">
        <v>486</v>
      </c>
      <c r="F1780" t="s">
        <v>541</v>
      </c>
      <c r="G1780" t="s">
        <v>573</v>
      </c>
      <c r="H1780">
        <v>0</v>
      </c>
      <c r="I1780">
        <v>0</v>
      </c>
    </row>
    <row r="1781" spans="1:9" x14ac:dyDescent="0.2">
      <c r="A1781" t="s">
        <v>286</v>
      </c>
      <c r="B1781" t="s">
        <v>397</v>
      </c>
      <c r="C1781" t="s">
        <v>486</v>
      </c>
      <c r="D1781">
        <v>0</v>
      </c>
      <c r="E1781" t="s">
        <v>486</v>
      </c>
      <c r="F1781" t="s">
        <v>541</v>
      </c>
      <c r="G1781" t="s">
        <v>573</v>
      </c>
      <c r="H1781">
        <v>0</v>
      </c>
      <c r="I1781">
        <v>0</v>
      </c>
    </row>
    <row r="1782" spans="1:9" x14ac:dyDescent="0.2">
      <c r="A1782" t="s">
        <v>286</v>
      </c>
      <c r="B1782" t="s">
        <v>398</v>
      </c>
      <c r="C1782" t="s">
        <v>486</v>
      </c>
      <c r="D1782">
        <v>0</v>
      </c>
      <c r="E1782" t="s">
        <v>486</v>
      </c>
      <c r="F1782" t="s">
        <v>541</v>
      </c>
      <c r="G1782" t="s">
        <v>573</v>
      </c>
      <c r="H1782">
        <v>0</v>
      </c>
      <c r="I1782">
        <v>0</v>
      </c>
    </row>
    <row r="1783" spans="1:9" x14ac:dyDescent="0.2">
      <c r="A1783" t="s">
        <v>287</v>
      </c>
      <c r="B1783" t="s">
        <v>399</v>
      </c>
      <c r="C1783" t="s">
        <v>477</v>
      </c>
      <c r="D1783">
        <v>0</v>
      </c>
      <c r="E1783" t="s">
        <v>477</v>
      </c>
      <c r="F1783" t="s">
        <v>542</v>
      </c>
      <c r="G1783" t="s">
        <v>573</v>
      </c>
      <c r="H1783">
        <v>0</v>
      </c>
      <c r="I1783">
        <v>0</v>
      </c>
    </row>
    <row r="1784" spans="1:9" x14ac:dyDescent="0.2">
      <c r="A1784" t="s">
        <v>288</v>
      </c>
      <c r="B1784" t="s">
        <v>400</v>
      </c>
      <c r="C1784" t="s">
        <v>477</v>
      </c>
      <c r="D1784">
        <v>0</v>
      </c>
      <c r="E1784" t="s">
        <v>477</v>
      </c>
      <c r="F1784" t="s">
        <v>543</v>
      </c>
      <c r="G1784" t="s">
        <v>573</v>
      </c>
      <c r="H1784">
        <v>0</v>
      </c>
      <c r="I1784">
        <v>0</v>
      </c>
    </row>
    <row r="1785" spans="1:9" x14ac:dyDescent="0.2">
      <c r="A1785" t="s">
        <v>285</v>
      </c>
      <c r="B1785" t="s">
        <v>401</v>
      </c>
      <c r="C1785" t="s">
        <v>477</v>
      </c>
      <c r="D1785">
        <v>0</v>
      </c>
      <c r="E1785" t="s">
        <v>477</v>
      </c>
      <c r="F1785" t="s">
        <v>529</v>
      </c>
      <c r="G1785" t="s">
        <v>570</v>
      </c>
      <c r="H1785">
        <v>0</v>
      </c>
      <c r="I1785">
        <v>0</v>
      </c>
    </row>
    <row r="1786" spans="1:9" x14ac:dyDescent="0.2">
      <c r="A1786" t="s">
        <v>289</v>
      </c>
      <c r="B1786" t="s">
        <v>402</v>
      </c>
      <c r="C1786" t="s">
        <v>492</v>
      </c>
      <c r="D1786">
        <v>0</v>
      </c>
      <c r="E1786" t="s">
        <v>492</v>
      </c>
      <c r="F1786" t="s">
        <v>529</v>
      </c>
      <c r="G1786" t="s">
        <v>572</v>
      </c>
      <c r="H1786">
        <v>0</v>
      </c>
      <c r="I1786">
        <v>0</v>
      </c>
    </row>
    <row r="1787" spans="1:9" x14ac:dyDescent="0.2">
      <c r="A1787" t="s">
        <v>289</v>
      </c>
      <c r="B1787" t="s">
        <v>403</v>
      </c>
      <c r="C1787" t="s">
        <v>492</v>
      </c>
      <c r="D1787">
        <v>0</v>
      </c>
      <c r="E1787" t="s">
        <v>492</v>
      </c>
      <c r="F1787" t="s">
        <v>543</v>
      </c>
      <c r="G1787" t="s">
        <v>572</v>
      </c>
      <c r="H1787">
        <v>0</v>
      </c>
      <c r="I1787">
        <v>0</v>
      </c>
    </row>
    <row r="1788" spans="1:9" x14ac:dyDescent="0.2">
      <c r="A1788" t="s">
        <v>289</v>
      </c>
      <c r="B1788" t="s">
        <v>404</v>
      </c>
      <c r="C1788" t="s">
        <v>492</v>
      </c>
      <c r="D1788">
        <v>0</v>
      </c>
      <c r="E1788" t="s">
        <v>492</v>
      </c>
      <c r="F1788" t="s">
        <v>529</v>
      </c>
      <c r="G1788" t="s">
        <v>572</v>
      </c>
      <c r="H1788">
        <v>0</v>
      </c>
      <c r="I1788">
        <v>0</v>
      </c>
    </row>
    <row r="1789" spans="1:9" x14ac:dyDescent="0.2">
      <c r="A1789" t="s">
        <v>286</v>
      </c>
      <c r="B1789" t="s">
        <v>405</v>
      </c>
      <c r="C1789" t="s">
        <v>486</v>
      </c>
      <c r="D1789">
        <v>0</v>
      </c>
      <c r="E1789" t="s">
        <v>486</v>
      </c>
      <c r="F1789" t="s">
        <v>540</v>
      </c>
      <c r="G1789" t="s">
        <v>572</v>
      </c>
      <c r="H1789">
        <v>0</v>
      </c>
      <c r="I1789">
        <v>0</v>
      </c>
    </row>
    <row r="1790" spans="1:9" x14ac:dyDescent="0.2">
      <c r="A1790" t="s">
        <v>286</v>
      </c>
      <c r="B1790" t="s">
        <v>406</v>
      </c>
      <c r="C1790" t="s">
        <v>486</v>
      </c>
      <c r="D1790">
        <v>0</v>
      </c>
      <c r="E1790" t="s">
        <v>486</v>
      </c>
      <c r="F1790" t="s">
        <v>536</v>
      </c>
      <c r="G1790" t="s">
        <v>572</v>
      </c>
      <c r="H1790">
        <v>0</v>
      </c>
      <c r="I1790">
        <v>0</v>
      </c>
    </row>
    <row r="1791" spans="1:9" x14ac:dyDescent="0.2">
      <c r="A1791" t="s">
        <v>290</v>
      </c>
      <c r="B1791" t="s">
        <v>407</v>
      </c>
      <c r="C1791" t="s">
        <v>478</v>
      </c>
      <c r="D1791">
        <v>0</v>
      </c>
      <c r="E1791" t="s">
        <v>478</v>
      </c>
      <c r="F1791" t="s">
        <v>544</v>
      </c>
      <c r="G1791" t="s">
        <v>569</v>
      </c>
      <c r="H1791">
        <v>0</v>
      </c>
      <c r="I1791">
        <v>0</v>
      </c>
    </row>
    <row r="1792" spans="1:9" x14ac:dyDescent="0.2">
      <c r="A1792" t="s">
        <v>291</v>
      </c>
      <c r="B1792" t="s">
        <v>408</v>
      </c>
      <c r="C1792" t="s">
        <v>478</v>
      </c>
      <c r="D1792">
        <v>0</v>
      </c>
      <c r="E1792" t="s">
        <v>478</v>
      </c>
      <c r="F1792" t="s">
        <v>545</v>
      </c>
      <c r="G1792" t="s">
        <v>576</v>
      </c>
      <c r="H1792">
        <v>0</v>
      </c>
      <c r="I1792">
        <v>0</v>
      </c>
    </row>
    <row r="1793" spans="1:9" x14ac:dyDescent="0.2">
      <c r="A1793" t="s">
        <v>292</v>
      </c>
      <c r="B1793" t="s">
        <v>409</v>
      </c>
      <c r="C1793" t="s">
        <v>478</v>
      </c>
      <c r="D1793">
        <v>0</v>
      </c>
      <c r="E1793" t="s">
        <v>478</v>
      </c>
      <c r="F1793" t="s">
        <v>546</v>
      </c>
      <c r="G1793" t="s">
        <v>576</v>
      </c>
      <c r="H1793">
        <v>0</v>
      </c>
      <c r="I1793">
        <v>0</v>
      </c>
    </row>
    <row r="1794" spans="1:9" x14ac:dyDescent="0.2">
      <c r="A1794" t="s">
        <v>292</v>
      </c>
      <c r="B1794" t="s">
        <v>410</v>
      </c>
      <c r="C1794" t="s">
        <v>478</v>
      </c>
      <c r="D1794">
        <v>0</v>
      </c>
      <c r="E1794" t="s">
        <v>478</v>
      </c>
      <c r="F1794" t="s">
        <v>547</v>
      </c>
      <c r="G1794" t="s">
        <v>576</v>
      </c>
      <c r="H1794">
        <v>0</v>
      </c>
      <c r="I1794">
        <v>0</v>
      </c>
    </row>
    <row r="1795" spans="1:9" x14ac:dyDescent="0.2">
      <c r="A1795" t="s">
        <v>268</v>
      </c>
      <c r="B1795" t="s">
        <v>411</v>
      </c>
      <c r="C1795" t="s">
        <v>478</v>
      </c>
      <c r="D1795">
        <v>0</v>
      </c>
      <c r="E1795" t="s">
        <v>478</v>
      </c>
      <c r="F1795" t="s">
        <v>520</v>
      </c>
      <c r="G1795" t="s">
        <v>576</v>
      </c>
      <c r="H1795">
        <v>0</v>
      </c>
      <c r="I1795">
        <v>0</v>
      </c>
    </row>
    <row r="1796" spans="1:9" x14ac:dyDescent="0.2">
      <c r="A1796" t="s">
        <v>293</v>
      </c>
      <c r="B1796" t="s">
        <v>412</v>
      </c>
      <c r="C1796" t="s">
        <v>478</v>
      </c>
      <c r="D1796">
        <v>0</v>
      </c>
      <c r="E1796" t="s">
        <v>478</v>
      </c>
      <c r="F1796" t="s">
        <v>536</v>
      </c>
      <c r="G1796" t="s">
        <v>571</v>
      </c>
      <c r="H1796">
        <v>0</v>
      </c>
      <c r="I1796">
        <v>0</v>
      </c>
    </row>
    <row r="1797" spans="1:9" x14ac:dyDescent="0.2">
      <c r="A1797" t="s">
        <v>294</v>
      </c>
      <c r="B1797" t="s">
        <v>413</v>
      </c>
      <c r="C1797" t="s">
        <v>493</v>
      </c>
      <c r="D1797">
        <v>0</v>
      </c>
      <c r="E1797" t="s">
        <v>493</v>
      </c>
      <c r="F1797" t="s">
        <v>548</v>
      </c>
      <c r="G1797" t="s">
        <v>577</v>
      </c>
      <c r="H1797">
        <v>0</v>
      </c>
      <c r="I1797">
        <v>0</v>
      </c>
    </row>
    <row r="1798" spans="1:9" x14ac:dyDescent="0.2">
      <c r="A1798" t="s">
        <v>295</v>
      </c>
      <c r="B1798" t="s">
        <v>414</v>
      </c>
      <c r="C1798" t="s">
        <v>494</v>
      </c>
      <c r="D1798">
        <v>0</v>
      </c>
      <c r="E1798" t="s">
        <v>494</v>
      </c>
      <c r="F1798" t="s">
        <v>549</v>
      </c>
      <c r="G1798" t="s">
        <v>577</v>
      </c>
      <c r="H1798">
        <v>0</v>
      </c>
      <c r="I1798">
        <v>0</v>
      </c>
    </row>
    <row r="1799" spans="1:9" x14ac:dyDescent="0.2">
      <c r="A1799" t="s">
        <v>296</v>
      </c>
      <c r="B1799" t="s">
        <v>415</v>
      </c>
      <c r="C1799" t="s">
        <v>494</v>
      </c>
      <c r="D1799">
        <v>0</v>
      </c>
      <c r="E1799" t="s">
        <v>494</v>
      </c>
      <c r="F1799" t="s">
        <v>550</v>
      </c>
      <c r="G1799" t="s">
        <v>577</v>
      </c>
      <c r="H1799">
        <v>0</v>
      </c>
      <c r="I1799">
        <v>0</v>
      </c>
    </row>
    <row r="1800" spans="1:9" x14ac:dyDescent="0.2">
      <c r="A1800" t="s">
        <v>297</v>
      </c>
      <c r="B1800" t="s">
        <v>416</v>
      </c>
      <c r="C1800" t="s">
        <v>488</v>
      </c>
      <c r="D1800">
        <v>0</v>
      </c>
      <c r="E1800" t="s">
        <v>488</v>
      </c>
      <c r="F1800" t="s">
        <v>551</v>
      </c>
      <c r="G1800" t="s">
        <v>577</v>
      </c>
      <c r="H1800">
        <v>0</v>
      </c>
      <c r="I1800">
        <v>0</v>
      </c>
    </row>
    <row r="1801" spans="1:9" x14ac:dyDescent="0.2">
      <c r="A1801" t="s">
        <v>298</v>
      </c>
      <c r="B1801" t="s">
        <v>417</v>
      </c>
      <c r="C1801" t="s">
        <v>495</v>
      </c>
      <c r="D1801">
        <v>0</v>
      </c>
      <c r="E1801" t="s">
        <v>495</v>
      </c>
      <c r="F1801" t="s">
        <v>552</v>
      </c>
      <c r="G1801" t="s">
        <v>577</v>
      </c>
      <c r="H1801">
        <v>0</v>
      </c>
      <c r="I1801">
        <v>0</v>
      </c>
    </row>
    <row r="1802" spans="1:9" x14ac:dyDescent="0.2">
      <c r="A1802" t="s">
        <v>299</v>
      </c>
      <c r="B1802" t="s">
        <v>418</v>
      </c>
      <c r="C1802" t="s">
        <v>496</v>
      </c>
      <c r="D1802">
        <v>0</v>
      </c>
      <c r="E1802" t="s">
        <v>496</v>
      </c>
      <c r="F1802" t="s">
        <v>516</v>
      </c>
      <c r="G1802" t="s">
        <v>577</v>
      </c>
      <c r="H1802">
        <v>0</v>
      </c>
      <c r="I1802">
        <v>0</v>
      </c>
    </row>
    <row r="1803" spans="1:9" x14ac:dyDescent="0.2">
      <c r="A1803" t="s">
        <v>300</v>
      </c>
      <c r="B1803" t="s">
        <v>419</v>
      </c>
      <c r="C1803" t="s">
        <v>497</v>
      </c>
      <c r="D1803">
        <v>0</v>
      </c>
      <c r="E1803" t="s">
        <v>497</v>
      </c>
      <c r="F1803" t="s">
        <v>553</v>
      </c>
      <c r="G1803" t="s">
        <v>577</v>
      </c>
      <c r="H1803">
        <v>0</v>
      </c>
      <c r="I1803">
        <v>0</v>
      </c>
    </row>
    <row r="1804" spans="1:9" x14ac:dyDescent="0.2">
      <c r="A1804" t="s">
        <v>301</v>
      </c>
      <c r="B1804" t="s">
        <v>420</v>
      </c>
      <c r="C1804" t="s">
        <v>478</v>
      </c>
      <c r="D1804">
        <v>0</v>
      </c>
      <c r="E1804" t="s">
        <v>478</v>
      </c>
      <c r="F1804" t="s">
        <v>516</v>
      </c>
      <c r="G1804" t="s">
        <v>576</v>
      </c>
      <c r="H1804">
        <v>0</v>
      </c>
      <c r="I1804">
        <v>0</v>
      </c>
    </row>
    <row r="1805" spans="1:9" x14ac:dyDescent="0.2">
      <c r="A1805" t="s">
        <v>283</v>
      </c>
      <c r="B1805" t="s">
        <v>421</v>
      </c>
      <c r="C1805" t="s">
        <v>477</v>
      </c>
      <c r="D1805">
        <v>0</v>
      </c>
      <c r="E1805" t="s">
        <v>477</v>
      </c>
      <c r="F1805" t="s">
        <v>540</v>
      </c>
      <c r="G1805" t="s">
        <v>578</v>
      </c>
      <c r="H1805">
        <v>0</v>
      </c>
      <c r="I1805">
        <v>0</v>
      </c>
    </row>
    <row r="1806" spans="1:9" x14ac:dyDescent="0.2">
      <c r="A1806" t="s">
        <v>264</v>
      </c>
      <c r="B1806" t="s">
        <v>422</v>
      </c>
      <c r="C1806" t="s">
        <v>477</v>
      </c>
      <c r="D1806">
        <v>0</v>
      </c>
      <c r="E1806" t="s">
        <v>477</v>
      </c>
      <c r="F1806" t="s">
        <v>541</v>
      </c>
      <c r="G1806" t="s">
        <v>578</v>
      </c>
      <c r="H1806">
        <v>0</v>
      </c>
      <c r="I1806">
        <v>0</v>
      </c>
    </row>
    <row r="1807" spans="1:9" x14ac:dyDescent="0.2">
      <c r="A1807" t="s">
        <v>264</v>
      </c>
      <c r="B1807" t="s">
        <v>423</v>
      </c>
      <c r="C1807" t="s">
        <v>478</v>
      </c>
      <c r="D1807">
        <v>0</v>
      </c>
      <c r="E1807" t="s">
        <v>478</v>
      </c>
      <c r="F1807" t="s">
        <v>516</v>
      </c>
      <c r="G1807" t="s">
        <v>578</v>
      </c>
      <c r="H1807">
        <v>0</v>
      </c>
      <c r="I1807">
        <v>0</v>
      </c>
    </row>
    <row r="1808" spans="1:9" x14ac:dyDescent="0.2">
      <c r="A1808" t="s">
        <v>301</v>
      </c>
      <c r="B1808" t="s">
        <v>424</v>
      </c>
      <c r="C1808" t="s">
        <v>478</v>
      </c>
      <c r="D1808">
        <v>0</v>
      </c>
      <c r="E1808" t="s">
        <v>478</v>
      </c>
      <c r="F1808" t="s">
        <v>537</v>
      </c>
      <c r="G1808" t="s">
        <v>576</v>
      </c>
      <c r="H1808">
        <v>0</v>
      </c>
      <c r="I1808">
        <v>0</v>
      </c>
    </row>
    <row r="1809" spans="1:9" x14ac:dyDescent="0.2">
      <c r="A1809" t="s">
        <v>283</v>
      </c>
      <c r="B1809" t="s">
        <v>425</v>
      </c>
      <c r="C1809" t="s">
        <v>498</v>
      </c>
      <c r="D1809">
        <v>0</v>
      </c>
      <c r="E1809" t="s">
        <v>498</v>
      </c>
      <c r="F1809" t="s">
        <v>529</v>
      </c>
      <c r="G1809" t="s">
        <v>578</v>
      </c>
      <c r="H1809">
        <v>0</v>
      </c>
      <c r="I1809">
        <v>0</v>
      </c>
    </row>
    <row r="1810" spans="1:9" x14ac:dyDescent="0.2">
      <c r="A1810" t="s">
        <v>302</v>
      </c>
      <c r="B1810" t="s">
        <v>426</v>
      </c>
      <c r="C1810" t="s">
        <v>478</v>
      </c>
      <c r="D1810">
        <v>0</v>
      </c>
      <c r="E1810" t="s">
        <v>478</v>
      </c>
      <c r="F1810" t="s">
        <v>529</v>
      </c>
      <c r="G1810" t="s">
        <v>579</v>
      </c>
      <c r="H1810">
        <v>0</v>
      </c>
      <c r="I1810">
        <v>0</v>
      </c>
    </row>
    <row r="1811" spans="1:9" x14ac:dyDescent="0.2">
      <c r="A1811" t="s">
        <v>285</v>
      </c>
      <c r="B1811" t="s">
        <v>427</v>
      </c>
      <c r="C1811" t="s">
        <v>499</v>
      </c>
      <c r="D1811">
        <v>0</v>
      </c>
      <c r="E1811" t="s">
        <v>499</v>
      </c>
      <c r="F1811" t="s">
        <v>542</v>
      </c>
      <c r="G1811" t="s">
        <v>577</v>
      </c>
      <c r="H1811">
        <v>0</v>
      </c>
      <c r="I1811">
        <v>0</v>
      </c>
    </row>
    <row r="1812" spans="1:9" x14ac:dyDescent="0.2">
      <c r="A1812" t="s">
        <v>303</v>
      </c>
      <c r="B1812" t="s">
        <v>428</v>
      </c>
      <c r="C1812" t="s">
        <v>500</v>
      </c>
      <c r="D1812">
        <v>0</v>
      </c>
      <c r="E1812" t="s">
        <v>500</v>
      </c>
      <c r="F1812" t="s">
        <v>546</v>
      </c>
      <c r="G1812" t="s">
        <v>577</v>
      </c>
      <c r="H1812">
        <v>0</v>
      </c>
      <c r="I1812">
        <v>0</v>
      </c>
    </row>
    <row r="1813" spans="1:9" x14ac:dyDescent="0.2">
      <c r="A1813" t="s">
        <v>304</v>
      </c>
      <c r="B1813" t="s">
        <v>429</v>
      </c>
      <c r="C1813" t="s">
        <v>478</v>
      </c>
      <c r="D1813">
        <v>0</v>
      </c>
      <c r="E1813" t="s">
        <v>478</v>
      </c>
      <c r="F1813" t="s">
        <v>554</v>
      </c>
      <c r="G1813" t="s">
        <v>569</v>
      </c>
      <c r="H1813">
        <v>0</v>
      </c>
      <c r="I1813">
        <v>0</v>
      </c>
    </row>
    <row r="1814" spans="1:9" x14ac:dyDescent="0.2">
      <c r="A1814" t="s">
        <v>277</v>
      </c>
      <c r="B1814" t="s">
        <v>430</v>
      </c>
      <c r="C1814" t="s">
        <v>478</v>
      </c>
      <c r="D1814">
        <v>0</v>
      </c>
      <c r="E1814" t="s">
        <v>478</v>
      </c>
      <c r="F1814" t="s">
        <v>539</v>
      </c>
      <c r="G1814" t="s">
        <v>571</v>
      </c>
      <c r="H1814">
        <v>0</v>
      </c>
      <c r="I1814">
        <v>0</v>
      </c>
    </row>
    <row r="1815" spans="1:9" x14ac:dyDescent="0.2">
      <c r="A1815" t="s">
        <v>277</v>
      </c>
      <c r="B1815" t="s">
        <v>431</v>
      </c>
      <c r="C1815" t="s">
        <v>478</v>
      </c>
      <c r="D1815">
        <v>0</v>
      </c>
      <c r="E1815" t="s">
        <v>478</v>
      </c>
      <c r="F1815" t="s">
        <v>534</v>
      </c>
      <c r="G1815" t="s">
        <v>571</v>
      </c>
      <c r="H1815">
        <v>0</v>
      </c>
      <c r="I1815">
        <v>0</v>
      </c>
    </row>
    <row r="1816" spans="1:9" x14ac:dyDescent="0.2">
      <c r="A1816" t="s">
        <v>277</v>
      </c>
      <c r="B1816" t="s">
        <v>432</v>
      </c>
      <c r="C1816" t="s">
        <v>501</v>
      </c>
      <c r="D1816">
        <v>0</v>
      </c>
      <c r="E1816" t="s">
        <v>501</v>
      </c>
      <c r="F1816" t="s">
        <v>555</v>
      </c>
      <c r="G1816" t="s">
        <v>571</v>
      </c>
      <c r="H1816">
        <v>0</v>
      </c>
      <c r="I1816">
        <v>0</v>
      </c>
    </row>
    <row r="1817" spans="1:9" x14ac:dyDescent="0.2">
      <c r="A1817" t="s">
        <v>263</v>
      </c>
      <c r="B1817" t="s">
        <v>433</v>
      </c>
      <c r="C1817" t="s">
        <v>502</v>
      </c>
      <c r="D1817">
        <v>0</v>
      </c>
      <c r="E1817" t="s">
        <v>502</v>
      </c>
      <c r="F1817" t="s">
        <v>556</v>
      </c>
      <c r="G1817" t="s">
        <v>580</v>
      </c>
      <c r="H1817">
        <v>0</v>
      </c>
      <c r="I1817">
        <v>0</v>
      </c>
    </row>
    <row r="1818" spans="1:9" x14ac:dyDescent="0.2">
      <c r="A1818" t="s">
        <v>268</v>
      </c>
      <c r="B1818" t="s">
        <v>434</v>
      </c>
      <c r="C1818" t="s">
        <v>478</v>
      </c>
      <c r="D1818">
        <v>0</v>
      </c>
      <c r="E1818" t="s">
        <v>478</v>
      </c>
      <c r="F1818" t="s">
        <v>520</v>
      </c>
      <c r="G1818" t="s">
        <v>571</v>
      </c>
      <c r="H1818">
        <v>0</v>
      </c>
      <c r="I1818">
        <v>0</v>
      </c>
    </row>
    <row r="1819" spans="1:9" x14ac:dyDescent="0.2">
      <c r="A1819" t="s">
        <v>305</v>
      </c>
      <c r="B1819" t="s">
        <v>435</v>
      </c>
      <c r="C1819" t="s">
        <v>478</v>
      </c>
      <c r="D1819">
        <v>0</v>
      </c>
      <c r="E1819" t="s">
        <v>478</v>
      </c>
      <c r="F1819" t="s">
        <v>557</v>
      </c>
      <c r="G1819" t="s">
        <v>569</v>
      </c>
      <c r="H1819">
        <v>0</v>
      </c>
      <c r="I1819">
        <v>0</v>
      </c>
    </row>
    <row r="1820" spans="1:9" x14ac:dyDescent="0.2">
      <c r="A1820" t="s">
        <v>306</v>
      </c>
      <c r="B1820" t="s">
        <v>436</v>
      </c>
      <c r="C1820" t="s">
        <v>478</v>
      </c>
      <c r="D1820">
        <v>0</v>
      </c>
      <c r="E1820" t="s">
        <v>478</v>
      </c>
      <c r="F1820" t="s">
        <v>558</v>
      </c>
      <c r="G1820" t="s">
        <v>569</v>
      </c>
      <c r="H1820">
        <v>0</v>
      </c>
      <c r="I1820">
        <v>0</v>
      </c>
    </row>
    <row r="1821" spans="1:9" x14ac:dyDescent="0.2">
      <c r="A1821" t="s">
        <v>307</v>
      </c>
      <c r="B1821" t="s">
        <v>437</v>
      </c>
      <c r="C1821" t="s">
        <v>478</v>
      </c>
      <c r="D1821">
        <v>0</v>
      </c>
      <c r="E1821" t="s">
        <v>478</v>
      </c>
      <c r="F1821" t="s">
        <v>559</v>
      </c>
      <c r="G1821" t="s">
        <v>574</v>
      </c>
      <c r="H1821">
        <v>0</v>
      </c>
      <c r="I1821">
        <v>0</v>
      </c>
    </row>
    <row r="1822" spans="1:9" x14ac:dyDescent="0.2">
      <c r="A1822" t="s">
        <v>308</v>
      </c>
      <c r="B1822" t="s">
        <v>438</v>
      </c>
      <c r="C1822" t="s">
        <v>478</v>
      </c>
      <c r="D1822">
        <v>0</v>
      </c>
      <c r="E1822" t="s">
        <v>478</v>
      </c>
      <c r="F1822" t="s">
        <v>560</v>
      </c>
      <c r="G1822" t="s">
        <v>569</v>
      </c>
      <c r="H1822">
        <v>0</v>
      </c>
      <c r="I1822">
        <v>0</v>
      </c>
    </row>
    <row r="1823" spans="1:9" x14ac:dyDescent="0.2">
      <c r="A1823" t="s">
        <v>309</v>
      </c>
      <c r="B1823" t="s">
        <v>439</v>
      </c>
      <c r="C1823" t="s">
        <v>478</v>
      </c>
      <c r="D1823">
        <v>0</v>
      </c>
      <c r="E1823" t="s">
        <v>478</v>
      </c>
      <c r="F1823" t="s">
        <v>558</v>
      </c>
      <c r="G1823" t="s">
        <v>574</v>
      </c>
      <c r="H1823">
        <v>0</v>
      </c>
      <c r="I1823">
        <v>0</v>
      </c>
    </row>
    <row r="1824" spans="1:9" x14ac:dyDescent="0.2">
      <c r="A1824" t="s">
        <v>310</v>
      </c>
      <c r="B1824" t="s">
        <v>440</v>
      </c>
      <c r="C1824" t="s">
        <v>478</v>
      </c>
      <c r="D1824">
        <v>0</v>
      </c>
      <c r="E1824" t="s">
        <v>478</v>
      </c>
      <c r="F1824" t="s">
        <v>561</v>
      </c>
      <c r="G1824" t="s">
        <v>569</v>
      </c>
      <c r="H1824">
        <v>0</v>
      </c>
      <c r="I1824">
        <v>0</v>
      </c>
    </row>
    <row r="1825" spans="1:9" x14ac:dyDescent="0.2">
      <c r="A1825" t="s">
        <v>311</v>
      </c>
      <c r="B1825" t="s">
        <v>441</v>
      </c>
      <c r="C1825" t="s">
        <v>481</v>
      </c>
      <c r="D1825">
        <v>0</v>
      </c>
      <c r="E1825" t="s">
        <v>481</v>
      </c>
      <c r="F1825" t="s">
        <v>527</v>
      </c>
      <c r="G1825" t="s">
        <v>580</v>
      </c>
      <c r="H1825">
        <v>0</v>
      </c>
      <c r="I1825">
        <v>0</v>
      </c>
    </row>
    <row r="1826" spans="1:9" x14ac:dyDescent="0.2">
      <c r="A1826" t="s">
        <v>311</v>
      </c>
      <c r="B1826" t="s">
        <v>442</v>
      </c>
      <c r="C1826" t="s">
        <v>482</v>
      </c>
      <c r="D1826">
        <v>0</v>
      </c>
      <c r="E1826" t="s">
        <v>482</v>
      </c>
      <c r="F1826" t="s">
        <v>562</v>
      </c>
      <c r="G1826" t="s">
        <v>580</v>
      </c>
      <c r="H1826">
        <v>0</v>
      </c>
      <c r="I1826">
        <v>0</v>
      </c>
    </row>
    <row r="1827" spans="1:9" x14ac:dyDescent="0.2">
      <c r="A1827" t="s">
        <v>311</v>
      </c>
      <c r="B1827" t="s">
        <v>443</v>
      </c>
      <c r="C1827" t="s">
        <v>481</v>
      </c>
      <c r="D1827">
        <v>0</v>
      </c>
      <c r="E1827" t="s">
        <v>481</v>
      </c>
      <c r="F1827" t="s">
        <v>563</v>
      </c>
      <c r="G1827" t="s">
        <v>580</v>
      </c>
      <c r="H1827">
        <v>0</v>
      </c>
      <c r="I1827">
        <v>0</v>
      </c>
    </row>
    <row r="1828" spans="1:9" x14ac:dyDescent="0.2">
      <c r="A1828" t="s">
        <v>312</v>
      </c>
      <c r="B1828" t="s">
        <v>444</v>
      </c>
      <c r="C1828" t="s">
        <v>481</v>
      </c>
      <c r="D1828">
        <v>0</v>
      </c>
      <c r="E1828" t="s">
        <v>481</v>
      </c>
      <c r="F1828" t="s">
        <v>526</v>
      </c>
      <c r="G1828" t="s">
        <v>580</v>
      </c>
      <c r="H1828">
        <v>0</v>
      </c>
      <c r="I1828">
        <v>0</v>
      </c>
    </row>
    <row r="1829" spans="1:9" x14ac:dyDescent="0.2">
      <c r="A1829" t="s">
        <v>286</v>
      </c>
      <c r="B1829" t="s">
        <v>445</v>
      </c>
      <c r="C1829" t="s">
        <v>486</v>
      </c>
      <c r="D1829">
        <v>0</v>
      </c>
      <c r="E1829" t="s">
        <v>486</v>
      </c>
      <c r="F1829" t="s">
        <v>542</v>
      </c>
      <c r="G1829" t="s">
        <v>580</v>
      </c>
      <c r="H1829">
        <v>0</v>
      </c>
      <c r="I1829">
        <v>0</v>
      </c>
    </row>
    <row r="1830" spans="1:9" x14ac:dyDescent="0.2">
      <c r="A1830" t="s">
        <v>286</v>
      </c>
      <c r="B1830" t="s">
        <v>446</v>
      </c>
      <c r="C1830" t="s">
        <v>486</v>
      </c>
      <c r="D1830">
        <v>0</v>
      </c>
      <c r="E1830" t="s">
        <v>486</v>
      </c>
      <c r="F1830" t="s">
        <v>541</v>
      </c>
      <c r="G1830" t="s">
        <v>580</v>
      </c>
      <c r="H1830">
        <v>0</v>
      </c>
      <c r="I1830">
        <v>0</v>
      </c>
    </row>
    <row r="1831" spans="1:9" x14ac:dyDescent="0.2">
      <c r="A1831" t="s">
        <v>313</v>
      </c>
      <c r="B1831" t="s">
        <v>447</v>
      </c>
      <c r="C1831" t="s">
        <v>478</v>
      </c>
      <c r="D1831">
        <v>0</v>
      </c>
      <c r="E1831" t="s">
        <v>478</v>
      </c>
      <c r="F1831" t="s">
        <v>516</v>
      </c>
      <c r="G1831" t="s">
        <v>569</v>
      </c>
      <c r="H1831">
        <v>0</v>
      </c>
      <c r="I1831">
        <v>0</v>
      </c>
    </row>
    <row r="1832" spans="1:9" x14ac:dyDescent="0.2">
      <c r="A1832" t="s">
        <v>314</v>
      </c>
      <c r="B1832" t="s">
        <v>448</v>
      </c>
      <c r="C1832" t="s">
        <v>478</v>
      </c>
      <c r="D1832">
        <v>0</v>
      </c>
      <c r="E1832" t="s">
        <v>478</v>
      </c>
      <c r="F1832" t="s">
        <v>516</v>
      </c>
      <c r="G1832" t="s">
        <v>569</v>
      </c>
      <c r="H1832">
        <v>0</v>
      </c>
      <c r="I1832">
        <v>0</v>
      </c>
    </row>
    <row r="1833" spans="1:9" x14ac:dyDescent="0.2">
      <c r="A1833" t="s">
        <v>315</v>
      </c>
      <c r="B1833" t="s">
        <v>449</v>
      </c>
      <c r="C1833" t="s">
        <v>478</v>
      </c>
      <c r="D1833">
        <v>0</v>
      </c>
      <c r="E1833" t="s">
        <v>478</v>
      </c>
      <c r="F1833" t="s">
        <v>530</v>
      </c>
      <c r="G1833" t="s">
        <v>569</v>
      </c>
      <c r="H1833">
        <v>0</v>
      </c>
      <c r="I1833">
        <v>0</v>
      </c>
    </row>
    <row r="1834" spans="1:9" x14ac:dyDescent="0.2">
      <c r="A1834" t="s">
        <v>315</v>
      </c>
      <c r="B1834" t="s">
        <v>450</v>
      </c>
      <c r="C1834" t="s">
        <v>478</v>
      </c>
      <c r="D1834">
        <v>0</v>
      </c>
      <c r="E1834" t="s">
        <v>478</v>
      </c>
      <c r="F1834" t="s">
        <v>530</v>
      </c>
      <c r="G1834" t="s">
        <v>569</v>
      </c>
      <c r="H1834">
        <v>0</v>
      </c>
      <c r="I1834">
        <v>0</v>
      </c>
    </row>
    <row r="1835" spans="1:9" x14ac:dyDescent="0.2">
      <c r="A1835" t="s">
        <v>315</v>
      </c>
      <c r="B1835" t="s">
        <v>451</v>
      </c>
      <c r="C1835" t="s">
        <v>478</v>
      </c>
      <c r="D1835">
        <v>0</v>
      </c>
      <c r="E1835" t="s">
        <v>478</v>
      </c>
      <c r="F1835" t="s">
        <v>530</v>
      </c>
      <c r="G1835" t="s">
        <v>569</v>
      </c>
      <c r="H1835">
        <v>0</v>
      </c>
      <c r="I1835">
        <v>0</v>
      </c>
    </row>
    <row r="1836" spans="1:9" x14ac:dyDescent="0.2">
      <c r="A1836" t="s">
        <v>313</v>
      </c>
      <c r="B1836" t="s">
        <v>452</v>
      </c>
      <c r="C1836" t="s">
        <v>478</v>
      </c>
      <c r="D1836">
        <v>0</v>
      </c>
      <c r="E1836" t="s">
        <v>478</v>
      </c>
      <c r="F1836" t="s">
        <v>524</v>
      </c>
      <c r="G1836" t="s">
        <v>569</v>
      </c>
      <c r="H1836">
        <v>0</v>
      </c>
      <c r="I1836">
        <v>0</v>
      </c>
    </row>
    <row r="1837" spans="1:9" x14ac:dyDescent="0.2">
      <c r="A1837" t="s">
        <v>314</v>
      </c>
      <c r="B1837" t="s">
        <v>453</v>
      </c>
      <c r="C1837" t="s">
        <v>478</v>
      </c>
      <c r="D1837">
        <v>0</v>
      </c>
      <c r="E1837" t="s">
        <v>478</v>
      </c>
      <c r="F1837" t="s">
        <v>538</v>
      </c>
      <c r="G1837" t="s">
        <v>569</v>
      </c>
      <c r="H1837">
        <v>0</v>
      </c>
      <c r="I1837">
        <v>0</v>
      </c>
    </row>
    <row r="1838" spans="1:9" x14ac:dyDescent="0.2">
      <c r="A1838" t="s">
        <v>314</v>
      </c>
      <c r="B1838" t="s">
        <v>454</v>
      </c>
      <c r="C1838" t="s">
        <v>478</v>
      </c>
      <c r="D1838">
        <v>0</v>
      </c>
      <c r="E1838" t="s">
        <v>478</v>
      </c>
      <c r="F1838" t="s">
        <v>530</v>
      </c>
      <c r="G1838" t="s">
        <v>569</v>
      </c>
      <c r="H1838">
        <v>0</v>
      </c>
      <c r="I1838">
        <v>0</v>
      </c>
    </row>
    <row r="1839" spans="1:9" x14ac:dyDescent="0.2">
      <c r="A1839" t="s">
        <v>314</v>
      </c>
      <c r="B1839" t="s">
        <v>455</v>
      </c>
      <c r="C1839" t="s">
        <v>478</v>
      </c>
      <c r="D1839">
        <v>0</v>
      </c>
      <c r="E1839" t="s">
        <v>478</v>
      </c>
      <c r="F1839" t="s">
        <v>538</v>
      </c>
      <c r="G1839" t="s">
        <v>569</v>
      </c>
      <c r="H1839">
        <v>0</v>
      </c>
      <c r="I1839">
        <v>0</v>
      </c>
    </row>
    <row r="1840" spans="1:9" x14ac:dyDescent="0.2">
      <c r="A1840" t="s">
        <v>314</v>
      </c>
      <c r="B1840" t="s">
        <v>456</v>
      </c>
      <c r="C1840" t="s">
        <v>478</v>
      </c>
      <c r="D1840">
        <v>0</v>
      </c>
      <c r="E1840" t="s">
        <v>478</v>
      </c>
      <c r="F1840" t="s">
        <v>530</v>
      </c>
      <c r="G1840" t="s">
        <v>569</v>
      </c>
      <c r="H1840">
        <v>0</v>
      </c>
      <c r="I1840">
        <v>0</v>
      </c>
    </row>
    <row r="1841" spans="1:9" x14ac:dyDescent="0.2">
      <c r="A1841" t="s">
        <v>277</v>
      </c>
      <c r="B1841" t="s">
        <v>457</v>
      </c>
      <c r="C1841" t="s">
        <v>501</v>
      </c>
      <c r="D1841">
        <v>0</v>
      </c>
      <c r="E1841" t="s">
        <v>501</v>
      </c>
      <c r="F1841" t="s">
        <v>564</v>
      </c>
      <c r="G1841" t="s">
        <v>571</v>
      </c>
      <c r="H1841">
        <v>0</v>
      </c>
      <c r="I1841">
        <v>0</v>
      </c>
    </row>
    <row r="1842" spans="1:9" x14ac:dyDescent="0.2">
      <c r="A1842" t="s">
        <v>263</v>
      </c>
      <c r="B1842" t="s">
        <v>458</v>
      </c>
      <c r="C1842" t="s">
        <v>476</v>
      </c>
      <c r="D1842">
        <v>0</v>
      </c>
      <c r="E1842" t="s">
        <v>476</v>
      </c>
      <c r="F1842" t="s">
        <v>565</v>
      </c>
      <c r="G1842" t="s">
        <v>580</v>
      </c>
      <c r="H1842">
        <v>0</v>
      </c>
      <c r="I1842">
        <v>0</v>
      </c>
    </row>
    <row r="1843" spans="1:9" x14ac:dyDescent="0.2">
      <c r="A1843" t="s">
        <v>316</v>
      </c>
      <c r="B1843" t="s">
        <v>459</v>
      </c>
      <c r="C1843" t="s">
        <v>478</v>
      </c>
      <c r="D1843">
        <v>0</v>
      </c>
      <c r="E1843" t="s">
        <v>478</v>
      </c>
      <c r="F1843" t="s">
        <v>557</v>
      </c>
      <c r="G1843" t="s">
        <v>569</v>
      </c>
      <c r="H1843">
        <v>0</v>
      </c>
      <c r="I1843">
        <v>0</v>
      </c>
    </row>
    <row r="1844" spans="1:9" x14ac:dyDescent="0.2">
      <c r="A1844" t="s">
        <v>317</v>
      </c>
      <c r="B1844" t="s">
        <v>460</v>
      </c>
      <c r="C1844" t="s">
        <v>478</v>
      </c>
      <c r="D1844">
        <v>0</v>
      </c>
      <c r="E1844" t="s">
        <v>478</v>
      </c>
      <c r="F1844" t="s">
        <v>560</v>
      </c>
      <c r="G1844" t="s">
        <v>569</v>
      </c>
      <c r="H1844">
        <v>0</v>
      </c>
      <c r="I1844">
        <v>0</v>
      </c>
    </row>
    <row r="1845" spans="1:9" x14ac:dyDescent="0.2">
      <c r="A1845" t="s">
        <v>318</v>
      </c>
      <c r="B1845" t="s">
        <v>461</v>
      </c>
      <c r="C1845" t="s">
        <v>478</v>
      </c>
      <c r="D1845">
        <v>0</v>
      </c>
      <c r="E1845" t="s">
        <v>478</v>
      </c>
      <c r="F1845" t="s">
        <v>561</v>
      </c>
      <c r="G1845" t="s">
        <v>574</v>
      </c>
      <c r="H1845">
        <v>0</v>
      </c>
      <c r="I1845">
        <v>0</v>
      </c>
    </row>
    <row r="1846" spans="1:9" x14ac:dyDescent="0.2">
      <c r="A1846" t="s">
        <v>319</v>
      </c>
      <c r="B1846" t="s">
        <v>462</v>
      </c>
      <c r="C1846" t="s">
        <v>482</v>
      </c>
      <c r="D1846">
        <v>0</v>
      </c>
      <c r="E1846" t="s">
        <v>482</v>
      </c>
      <c r="F1846" t="s">
        <v>526</v>
      </c>
      <c r="G1846" t="s">
        <v>580</v>
      </c>
      <c r="H1846">
        <v>0</v>
      </c>
      <c r="I1846">
        <v>0</v>
      </c>
    </row>
    <row r="1847" spans="1:9" x14ac:dyDescent="0.2">
      <c r="A1847" t="s">
        <v>320</v>
      </c>
      <c r="B1847" t="s">
        <v>463</v>
      </c>
      <c r="C1847" t="s">
        <v>488</v>
      </c>
      <c r="D1847">
        <v>0</v>
      </c>
      <c r="E1847" t="s">
        <v>488</v>
      </c>
      <c r="F1847" t="s">
        <v>562</v>
      </c>
      <c r="G1847" t="s">
        <v>580</v>
      </c>
      <c r="H1847">
        <v>0</v>
      </c>
      <c r="I1847">
        <v>0</v>
      </c>
    </row>
    <row r="1848" spans="1:9" x14ac:dyDescent="0.2">
      <c r="A1848" t="s">
        <v>319</v>
      </c>
      <c r="B1848" t="s">
        <v>464</v>
      </c>
      <c r="C1848" t="s">
        <v>482</v>
      </c>
      <c r="D1848">
        <v>0</v>
      </c>
      <c r="E1848" t="s">
        <v>482</v>
      </c>
      <c r="F1848" t="s">
        <v>563</v>
      </c>
      <c r="G1848" t="s">
        <v>580</v>
      </c>
      <c r="H1848">
        <v>0</v>
      </c>
      <c r="I1848">
        <v>0</v>
      </c>
    </row>
    <row r="1849" spans="1:9" x14ac:dyDescent="0.2">
      <c r="A1849" t="s">
        <v>319</v>
      </c>
      <c r="B1849" t="s">
        <v>465</v>
      </c>
      <c r="C1849" t="s">
        <v>481</v>
      </c>
      <c r="D1849">
        <v>0</v>
      </c>
      <c r="E1849" t="s">
        <v>481</v>
      </c>
      <c r="F1849" t="s">
        <v>526</v>
      </c>
      <c r="G1849" t="s">
        <v>580</v>
      </c>
      <c r="H1849">
        <v>0</v>
      </c>
      <c r="I1849">
        <v>0</v>
      </c>
    </row>
    <row r="1850" spans="1:9" x14ac:dyDescent="0.2">
      <c r="A1850" t="s">
        <v>321</v>
      </c>
      <c r="B1850" t="s">
        <v>466</v>
      </c>
      <c r="C1850" t="s">
        <v>488</v>
      </c>
      <c r="D1850">
        <v>0</v>
      </c>
      <c r="E1850" t="s">
        <v>488</v>
      </c>
      <c r="F1850" t="s">
        <v>547</v>
      </c>
      <c r="G1850" t="s">
        <v>574</v>
      </c>
      <c r="H1850">
        <v>0</v>
      </c>
      <c r="I1850">
        <v>0</v>
      </c>
    </row>
    <row r="1851" spans="1:9" x14ac:dyDescent="0.2">
      <c r="A1851" t="s">
        <v>322</v>
      </c>
      <c r="B1851" t="s">
        <v>467</v>
      </c>
      <c r="C1851" t="s">
        <v>482</v>
      </c>
      <c r="D1851">
        <v>0</v>
      </c>
      <c r="E1851" t="s">
        <v>482</v>
      </c>
      <c r="F1851" t="s">
        <v>566</v>
      </c>
      <c r="G1851" t="s">
        <v>574</v>
      </c>
      <c r="H1851">
        <v>0</v>
      </c>
      <c r="I1851">
        <v>0</v>
      </c>
    </row>
    <row r="1852" spans="1:9" x14ac:dyDescent="0.2">
      <c r="A1852" t="s">
        <v>283</v>
      </c>
      <c r="B1852" t="s">
        <v>468</v>
      </c>
      <c r="C1852" t="s">
        <v>478</v>
      </c>
      <c r="D1852">
        <v>0</v>
      </c>
      <c r="E1852" t="s">
        <v>478</v>
      </c>
      <c r="F1852" t="s">
        <v>524</v>
      </c>
      <c r="G1852" t="s">
        <v>581</v>
      </c>
      <c r="H1852">
        <v>0</v>
      </c>
      <c r="I1852">
        <v>0</v>
      </c>
    </row>
    <row r="1853" spans="1:9" x14ac:dyDescent="0.2">
      <c r="A1853" t="s">
        <v>275</v>
      </c>
      <c r="B1853" t="s">
        <v>469</v>
      </c>
      <c r="C1853" t="s">
        <v>478</v>
      </c>
      <c r="D1853">
        <v>0</v>
      </c>
      <c r="E1853" t="s">
        <v>478</v>
      </c>
      <c r="F1853" t="s">
        <v>530</v>
      </c>
      <c r="G1853" t="s">
        <v>581</v>
      </c>
      <c r="H1853">
        <v>0</v>
      </c>
      <c r="I1853">
        <v>0</v>
      </c>
    </row>
    <row r="1854" spans="1:9" x14ac:dyDescent="0.2">
      <c r="A1854" t="s">
        <v>275</v>
      </c>
      <c r="B1854" t="s">
        <v>470</v>
      </c>
      <c r="C1854" t="s">
        <v>478</v>
      </c>
      <c r="D1854">
        <v>0</v>
      </c>
      <c r="E1854" t="s">
        <v>478</v>
      </c>
      <c r="F1854" t="s">
        <v>530</v>
      </c>
      <c r="G1854" t="s">
        <v>581</v>
      </c>
      <c r="H1854">
        <v>0</v>
      </c>
      <c r="I1854">
        <v>0</v>
      </c>
    </row>
    <row r="1855" spans="1:9" x14ac:dyDescent="0.2">
      <c r="A1855" t="s">
        <v>275</v>
      </c>
      <c r="B1855" t="s">
        <v>471</v>
      </c>
      <c r="C1855" t="s">
        <v>478</v>
      </c>
      <c r="D1855">
        <v>0</v>
      </c>
      <c r="E1855" t="s">
        <v>478</v>
      </c>
      <c r="F1855" t="s">
        <v>530</v>
      </c>
      <c r="G1855" t="s">
        <v>581</v>
      </c>
      <c r="H1855">
        <v>0</v>
      </c>
      <c r="I1855">
        <v>0</v>
      </c>
    </row>
    <row r="1856" spans="1:9" x14ac:dyDescent="0.2">
      <c r="A1856" t="s">
        <v>275</v>
      </c>
      <c r="B1856" t="s">
        <v>472</v>
      </c>
      <c r="C1856" t="s">
        <v>478</v>
      </c>
      <c r="D1856">
        <v>0</v>
      </c>
      <c r="E1856" t="s">
        <v>478</v>
      </c>
      <c r="F1856" t="s">
        <v>530</v>
      </c>
      <c r="G1856" t="s">
        <v>581</v>
      </c>
      <c r="H1856">
        <v>0</v>
      </c>
      <c r="I1856">
        <v>0</v>
      </c>
    </row>
    <row r="1857" spans="1:9" x14ac:dyDescent="0.2">
      <c r="A1857" t="s">
        <v>286</v>
      </c>
      <c r="B1857" t="s">
        <v>473</v>
      </c>
      <c r="C1857" t="s">
        <v>486</v>
      </c>
      <c r="D1857">
        <v>0</v>
      </c>
      <c r="E1857" t="s">
        <v>486</v>
      </c>
      <c r="F1857" t="s">
        <v>542</v>
      </c>
      <c r="G1857" t="s">
        <v>580</v>
      </c>
      <c r="H1857">
        <v>0</v>
      </c>
      <c r="I1857">
        <v>0</v>
      </c>
    </row>
    <row r="1858" spans="1:9" x14ac:dyDescent="0.2">
      <c r="A1858" t="s">
        <v>286</v>
      </c>
      <c r="B1858" t="s">
        <v>474</v>
      </c>
      <c r="C1858" t="s">
        <v>486</v>
      </c>
      <c r="D1858">
        <v>0</v>
      </c>
      <c r="E1858" t="s">
        <v>486</v>
      </c>
      <c r="F1858" t="s">
        <v>542</v>
      </c>
      <c r="G1858" t="s">
        <v>580</v>
      </c>
      <c r="H1858">
        <v>0</v>
      </c>
      <c r="I1858">
        <v>0</v>
      </c>
    </row>
    <row r="1859" spans="1:9" x14ac:dyDescent="0.2">
      <c r="A1859" t="s">
        <v>289</v>
      </c>
      <c r="B1859" t="s">
        <v>475</v>
      </c>
      <c r="C1859" t="s">
        <v>478</v>
      </c>
      <c r="D1859">
        <v>0</v>
      </c>
      <c r="E1859" t="s">
        <v>478</v>
      </c>
      <c r="F1859" t="s">
        <v>559</v>
      </c>
      <c r="G1859" t="s">
        <v>574</v>
      </c>
      <c r="H1859">
        <v>0</v>
      </c>
      <c r="I1859">
        <v>0</v>
      </c>
    </row>
    <row r="1860" spans="1:9" x14ac:dyDescent="0.2">
      <c r="A1860" t="s">
        <v>302</v>
      </c>
      <c r="B1860" t="s">
        <v>302</v>
      </c>
      <c r="C1860" t="s">
        <v>478</v>
      </c>
      <c r="D1860">
        <v>0</v>
      </c>
      <c r="E1860" t="s">
        <v>478</v>
      </c>
      <c r="F1860" t="s">
        <v>567</v>
      </c>
      <c r="G1860" t="s">
        <v>579</v>
      </c>
      <c r="H1860">
        <v>0</v>
      </c>
      <c r="I1860">
        <v>0</v>
      </c>
    </row>
    <row r="1861" spans="1:9" x14ac:dyDescent="0.2">
      <c r="A1861" t="s">
        <v>323</v>
      </c>
      <c r="B1861" t="s">
        <v>302</v>
      </c>
      <c r="C1861" t="s">
        <v>478</v>
      </c>
      <c r="D1861">
        <v>0</v>
      </c>
      <c r="E1861" t="s">
        <v>478</v>
      </c>
      <c r="F1861" t="s">
        <v>568</v>
      </c>
      <c r="G1861" t="s">
        <v>569</v>
      </c>
      <c r="H1861">
        <v>0</v>
      </c>
      <c r="I186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autoPageBreaks="0"/>
  </sheetPr>
  <dimension ref="A1:U58"/>
  <sheetViews>
    <sheetView showGridLines="0" workbookViewId="0">
      <selection activeCell="C20" sqref="C20"/>
    </sheetView>
  </sheetViews>
  <sheetFormatPr defaultRowHeight="12.75" x14ac:dyDescent="0.2"/>
  <cols>
    <col min="2" max="2" width="24.85546875" bestFit="1" customWidth="1"/>
    <col min="3" max="3" width="9.42578125" customWidth="1"/>
    <col min="4" max="4" width="9.85546875" customWidth="1"/>
    <col min="5" max="5" width="15.140625" customWidth="1"/>
    <col min="6" max="6" width="3.140625" hidden="1" customWidth="1"/>
    <col min="7" max="7" width="8.140625" customWidth="1"/>
    <col min="8" max="8" width="14.5703125" customWidth="1"/>
    <col min="9" max="9" width="12.85546875" customWidth="1"/>
    <col min="10" max="10" width="14.42578125" customWidth="1"/>
    <col min="11" max="11" width="13.7109375" customWidth="1"/>
    <col min="12" max="12" width="18.85546875" bestFit="1" customWidth="1"/>
    <col min="13" max="13" width="2.140625" customWidth="1"/>
    <col min="14" max="14" width="16.7109375" customWidth="1"/>
    <col min="15" max="15" width="15.85546875" customWidth="1"/>
    <col min="16" max="16" width="17.28515625" customWidth="1"/>
    <col min="17" max="17" width="14.7109375" bestFit="1" customWidth="1"/>
    <col min="18" max="18" width="18.140625" customWidth="1"/>
  </cols>
  <sheetData>
    <row r="1" spans="2:12" ht="13.5" thickBot="1" x14ac:dyDescent="0.25"/>
    <row r="2" spans="2:12" ht="13.5" thickTop="1" x14ac:dyDescent="0.2">
      <c r="B2" s="170"/>
      <c r="C2" s="171"/>
      <c r="D2" s="171"/>
      <c r="E2" s="171"/>
      <c r="F2" s="171"/>
      <c r="G2" s="172"/>
      <c r="H2" s="172"/>
      <c r="I2" s="172"/>
      <c r="J2" s="172"/>
      <c r="K2" s="177"/>
    </row>
    <row r="3" spans="2:12" ht="18" x14ac:dyDescent="0.25">
      <c r="B3" s="165"/>
      <c r="C3" s="135"/>
      <c r="D3" s="135"/>
      <c r="E3" s="135"/>
      <c r="F3" s="135"/>
      <c r="G3" s="187" t="s">
        <v>241</v>
      </c>
      <c r="H3" s="187"/>
      <c r="I3" s="187"/>
      <c r="J3" s="187"/>
      <c r="K3" s="188"/>
    </row>
    <row r="4" spans="2:12" x14ac:dyDescent="0.2">
      <c r="B4" s="164"/>
      <c r="C4" s="135"/>
      <c r="D4" s="135"/>
      <c r="E4" s="135"/>
      <c r="F4" s="135"/>
      <c r="G4" s="192"/>
      <c r="H4" s="192"/>
      <c r="I4" s="192"/>
      <c r="J4" s="192"/>
      <c r="K4" s="193"/>
    </row>
    <row r="5" spans="2:12" x14ac:dyDescent="0.2">
      <c r="B5" s="164"/>
      <c r="C5" s="135"/>
      <c r="D5" s="135"/>
      <c r="E5" s="135"/>
      <c r="F5" s="135"/>
      <c r="G5" s="192" t="s">
        <v>246</v>
      </c>
      <c r="H5" s="192"/>
      <c r="I5" s="192"/>
      <c r="J5" s="192"/>
      <c r="K5" s="193"/>
    </row>
    <row r="6" spans="2:12" x14ac:dyDescent="0.2">
      <c r="B6" s="164"/>
      <c r="C6" s="135"/>
      <c r="D6" s="135"/>
      <c r="E6" s="135"/>
      <c r="F6" s="135"/>
      <c r="G6" s="136"/>
      <c r="H6" s="136"/>
      <c r="I6" s="136"/>
      <c r="J6" s="136"/>
      <c r="K6" s="176" t="s">
        <v>245</v>
      </c>
    </row>
    <row r="7" spans="2:12" x14ac:dyDescent="0.2">
      <c r="B7" s="164"/>
      <c r="C7" s="135"/>
      <c r="D7" s="135"/>
      <c r="E7" s="135"/>
      <c r="F7" s="135"/>
      <c r="G7" s="136"/>
      <c r="H7" s="136"/>
      <c r="I7" s="136"/>
      <c r="J7" s="136"/>
      <c r="K7" s="176"/>
    </row>
    <row r="8" spans="2:12" ht="9.75" customHeight="1" thickBot="1" x14ac:dyDescent="0.25">
      <c r="B8" s="178"/>
      <c r="C8" s="179"/>
      <c r="D8" s="179"/>
      <c r="E8" s="179"/>
      <c r="F8" s="179"/>
      <c r="G8" s="159"/>
      <c r="H8" s="159"/>
      <c r="I8" s="159"/>
      <c r="J8" s="159"/>
      <c r="K8" s="161"/>
    </row>
    <row r="9" spans="2:12" ht="6" customHeight="1" thickTop="1" x14ac:dyDescent="0.2">
      <c r="B9" s="166"/>
      <c r="C9" s="137"/>
      <c r="D9" s="137"/>
      <c r="E9" s="137"/>
      <c r="F9" s="137"/>
      <c r="G9" s="137"/>
      <c r="H9" s="194" t="s">
        <v>143</v>
      </c>
      <c r="I9" s="195"/>
      <c r="J9" s="195"/>
      <c r="K9" s="196"/>
      <c r="L9" s="2"/>
    </row>
    <row r="10" spans="2:12" ht="15" customHeight="1" x14ac:dyDescent="0.2">
      <c r="B10" s="167" t="s">
        <v>37</v>
      </c>
      <c r="C10" s="137"/>
      <c r="D10" s="137" t="s">
        <v>23</v>
      </c>
      <c r="E10" s="137"/>
      <c r="F10" s="137"/>
      <c r="G10" s="137"/>
      <c r="H10" s="197"/>
      <c r="I10" s="198"/>
      <c r="J10" s="198"/>
      <c r="K10" s="199"/>
      <c r="L10" s="2"/>
    </row>
    <row r="11" spans="2:12" ht="15.75" customHeight="1" x14ac:dyDescent="0.2">
      <c r="B11" s="166"/>
      <c r="C11" s="137"/>
      <c r="D11" s="137"/>
      <c r="E11" s="138">
        <f>Tabeller!H5</f>
        <v>20</v>
      </c>
      <c r="F11" s="137"/>
      <c r="G11" s="137"/>
      <c r="H11" s="180" t="s">
        <v>97</v>
      </c>
      <c r="I11" s="151" t="s">
        <v>144</v>
      </c>
      <c r="J11" s="150" t="s">
        <v>97</v>
      </c>
      <c r="K11" s="173" t="s">
        <v>144</v>
      </c>
      <c r="L11" s="2"/>
    </row>
    <row r="12" spans="2:12" x14ac:dyDescent="0.2">
      <c r="B12" s="166"/>
      <c r="C12" s="137"/>
      <c r="D12" s="137"/>
      <c r="E12" s="137"/>
      <c r="F12" s="137"/>
      <c r="G12" s="137"/>
      <c r="H12" s="181" t="str">
        <f>VLOOKUP(Tabeller!$A$33,dimensioner,2)</f>
        <v>Ø63</v>
      </c>
      <c r="I12" s="153">
        <f>VLOOKUP(Tabeller!$A$33,dimensioner,3)</f>
        <v>63</v>
      </c>
      <c r="J12" s="152" t="str">
        <f>VLOOKUP(Tabeller!$A$33,dimensioner,22)</f>
        <v>Ø500</v>
      </c>
      <c r="K12" s="174">
        <f>VLOOKUP(Tabeller!$A$33,dimensioner,23)</f>
        <v>500</v>
      </c>
      <c r="L12" s="2"/>
    </row>
    <row r="13" spans="2:12" ht="12.75" customHeight="1" x14ac:dyDescent="0.2">
      <c r="B13" s="166"/>
      <c r="C13" s="137"/>
      <c r="D13" s="137"/>
      <c r="E13" s="137"/>
      <c r="F13" s="137"/>
      <c r="G13" s="137"/>
      <c r="H13" s="181" t="str">
        <f>VLOOKUP(Tabeller!$A$33,dimensioner,4)</f>
        <v>Ø80</v>
      </c>
      <c r="I13" s="153">
        <f>VLOOKUP(Tabeller!$A$33,dimensioner,5)</f>
        <v>80</v>
      </c>
      <c r="J13" s="152" t="str">
        <f>VLOOKUP(Tabeller!$A$33,dimensioner,24)</f>
        <v>Ø560</v>
      </c>
      <c r="K13" s="174">
        <f>VLOOKUP(Tabeller!$A$33,dimensioner,25)</f>
        <v>560</v>
      </c>
      <c r="L13" s="2"/>
    </row>
    <row r="14" spans="2:12" ht="12" customHeight="1" x14ac:dyDescent="0.2">
      <c r="B14" s="166"/>
      <c r="C14" s="137"/>
      <c r="D14" s="137"/>
      <c r="E14" s="137"/>
      <c r="F14" s="137"/>
      <c r="G14" s="137"/>
      <c r="H14" s="181" t="str">
        <f>VLOOKUP(Tabeller!$A$33,dimensioner,6)</f>
        <v>Ø100</v>
      </c>
      <c r="I14" s="153">
        <f>VLOOKUP(Tabeller!$A$33,dimensioner,7)</f>
        <v>100</v>
      </c>
      <c r="J14" s="152" t="str">
        <f>VLOOKUP(Tabeller!$A$33,dimensioner,26)</f>
        <v>Ø630</v>
      </c>
      <c r="K14" s="174">
        <f>VLOOKUP(Tabeller!$A$33,dimensioner,27)</f>
        <v>630</v>
      </c>
      <c r="L14" s="2"/>
    </row>
    <row r="15" spans="2:12" ht="14.25" customHeight="1" x14ac:dyDescent="0.2">
      <c r="B15" s="168" t="s">
        <v>40</v>
      </c>
      <c r="C15" s="137"/>
      <c r="D15" s="139" t="s">
        <v>95</v>
      </c>
      <c r="E15" s="137"/>
      <c r="F15" s="137"/>
      <c r="G15" s="137"/>
      <c r="H15" s="181" t="str">
        <f>VLOOKUP(Tabeller!$A$33,dimensioner,8)</f>
        <v>Ø125</v>
      </c>
      <c r="I15" s="153">
        <f>VLOOKUP(Tabeller!$A$33,dimensioner,9)</f>
        <v>125</v>
      </c>
      <c r="J15" s="152" t="str">
        <f>VLOOKUP(Tabeller!$A$33,dimensioner,28)</f>
        <v>Ø710</v>
      </c>
      <c r="K15" s="174">
        <f>VLOOKUP(Tabeller!$A$33,dimensioner,29)</f>
        <v>710</v>
      </c>
      <c r="L15" s="2"/>
    </row>
    <row r="16" spans="2:12" ht="14.25" customHeight="1" x14ac:dyDescent="0.2">
      <c r="B16" s="166"/>
      <c r="C16" s="137"/>
      <c r="D16" s="137"/>
      <c r="E16" s="137"/>
      <c r="F16" s="137"/>
      <c r="G16" s="137"/>
      <c r="H16" s="181" t="str">
        <f>VLOOKUP(Tabeller!$A$33,dimensioner,10)</f>
        <v>Ø160</v>
      </c>
      <c r="I16" s="153">
        <f>VLOOKUP(Tabeller!$A$33,dimensioner,11)</f>
        <v>160</v>
      </c>
      <c r="J16" s="152" t="str">
        <f>VLOOKUP(Tabeller!$A$33,dimensioner,30)</f>
        <v>Ø800</v>
      </c>
      <c r="K16" s="174">
        <f>VLOOKUP(Tabeller!$A$33,dimensioner,31)</f>
        <v>800</v>
      </c>
      <c r="L16" s="2"/>
    </row>
    <row r="17" spans="1:21" ht="14.25" customHeight="1" x14ac:dyDescent="0.2">
      <c r="B17" s="168" t="s">
        <v>39</v>
      </c>
      <c r="C17" s="137"/>
      <c r="D17" s="137"/>
      <c r="E17" s="137"/>
      <c r="F17" s="137"/>
      <c r="G17" s="137"/>
      <c r="H17" s="181" t="str">
        <f>VLOOKUP(Tabeller!$A$33,dimensioner,12)</f>
        <v>Ø200</v>
      </c>
      <c r="I17" s="153">
        <f>VLOOKUP(Tabeller!$A$33,dimensioner,13)</f>
        <v>200</v>
      </c>
      <c r="J17" s="152" t="str">
        <f>VLOOKUP(Tabeller!$A$33,dimensioner,32)</f>
        <v>Ø900</v>
      </c>
      <c r="K17" s="174">
        <f>VLOOKUP(Tabeller!$A$33,dimensioner,33)</f>
        <v>900</v>
      </c>
      <c r="L17" s="2"/>
    </row>
    <row r="18" spans="1:21" ht="14.25" customHeight="1" x14ac:dyDescent="0.2">
      <c r="B18" s="166"/>
      <c r="C18" s="137"/>
      <c r="D18" s="137"/>
      <c r="E18" s="137"/>
      <c r="F18" s="137"/>
      <c r="G18" s="137"/>
      <c r="H18" s="181" t="str">
        <f>VLOOKUP(Tabeller!$A$33,dimensioner,14)</f>
        <v>Ø250</v>
      </c>
      <c r="I18" s="153">
        <f>VLOOKUP(Tabeller!$A$33,dimensioner,15)</f>
        <v>250</v>
      </c>
      <c r="J18" s="152" t="str">
        <f>VLOOKUP(Tabeller!$A$33,dimensioner,34)</f>
        <v>Ø1000</v>
      </c>
      <c r="K18" s="174">
        <f>VLOOKUP(Tabeller!$A$33,dimensioner,35)</f>
        <v>1000</v>
      </c>
      <c r="L18" s="2"/>
    </row>
    <row r="19" spans="1:21" ht="14.25" customHeight="1" x14ac:dyDescent="0.2">
      <c r="B19" s="168" t="s">
        <v>41</v>
      </c>
      <c r="C19" s="144">
        <f>Template!D2</f>
        <v>0</v>
      </c>
      <c r="D19" s="137"/>
      <c r="E19" s="137"/>
      <c r="F19" s="137"/>
      <c r="G19" s="137"/>
      <c r="H19" s="181" t="str">
        <f>VLOOKUP(Tabeller!$A$33,dimensioner,16)</f>
        <v>Ø315</v>
      </c>
      <c r="I19" s="153">
        <f>VLOOKUP(Tabeller!$A$33,dimensioner,17)</f>
        <v>315</v>
      </c>
      <c r="J19" s="152" t="str">
        <f>VLOOKUP(Tabeller!$A$33,dimensioner,36)</f>
        <v>Ø1250</v>
      </c>
      <c r="K19" s="174">
        <f>VLOOKUP(Tabeller!$A$33,dimensioner,37)</f>
        <v>1250</v>
      </c>
      <c r="L19" s="2"/>
    </row>
    <row r="20" spans="1:21" ht="14.25" customHeight="1" x14ac:dyDescent="0.2">
      <c r="B20" s="166"/>
      <c r="C20" s="144">
        <f>Template!D3</f>
        <v>0</v>
      </c>
      <c r="D20" s="137"/>
      <c r="E20" s="137"/>
      <c r="F20" s="137"/>
      <c r="G20" s="137"/>
      <c r="H20" s="181" t="str">
        <f>VLOOKUP(Tabeller!$A$33,dimensioner,18)</f>
        <v>Ø400</v>
      </c>
      <c r="I20" s="153">
        <f>VLOOKUP(Tabeller!$A$33,dimensioner,19)</f>
        <v>400</v>
      </c>
      <c r="J20" s="152" t="str">
        <f>VLOOKUP(Tabeller!$A$33,dimensioner,38)</f>
        <v>Ø1400</v>
      </c>
      <c r="K20" s="174">
        <f>VLOOKUP(Tabeller!$A$33,dimensioner,39)</f>
        <v>1400</v>
      </c>
      <c r="L20" s="2"/>
    </row>
    <row r="21" spans="1:21" ht="14.25" customHeight="1" thickBot="1" x14ac:dyDescent="0.25">
      <c r="B21" s="166"/>
      <c r="C21" s="144">
        <f>Template!D4</f>
        <v>0</v>
      </c>
      <c r="D21" s="137"/>
      <c r="E21" s="137"/>
      <c r="F21" s="137"/>
      <c r="G21" s="137"/>
      <c r="H21" s="182" t="str">
        <f>VLOOKUP(Tabeller!$A$33,dimensioner,20)</f>
        <v>Ø450</v>
      </c>
      <c r="I21" s="183">
        <f>VLOOKUP(Tabeller!$A$33,dimensioner,21)</f>
        <v>450</v>
      </c>
      <c r="J21" s="184" t="str">
        <f>VLOOKUP(Tabeller!$A$33,dimensioner,40)</f>
        <v>Ø1500</v>
      </c>
      <c r="K21" s="185">
        <f>VLOOKUP(Tabeller!$A$33,dimensioner,41)</f>
        <v>1500</v>
      </c>
      <c r="L21" s="2"/>
    </row>
    <row r="22" spans="1:21" ht="14.25" customHeight="1" thickTop="1" x14ac:dyDescent="0.2">
      <c r="B22" s="166"/>
      <c r="C22" s="144">
        <f>Template!D5</f>
        <v>0</v>
      </c>
      <c r="D22" s="137"/>
      <c r="E22" s="137"/>
      <c r="F22" s="137"/>
      <c r="G22" s="137"/>
      <c r="H22" s="146" t="s">
        <v>23</v>
      </c>
      <c r="I22" s="137"/>
      <c r="J22" s="137"/>
      <c r="K22" s="175"/>
    </row>
    <row r="23" spans="1:21" ht="14.25" customHeight="1" thickBot="1" x14ac:dyDescent="0.25">
      <c r="B23" s="169"/>
      <c r="C23" s="162"/>
      <c r="D23" s="162"/>
      <c r="E23" s="162"/>
      <c r="F23" s="137"/>
      <c r="G23" s="137"/>
      <c r="H23" s="137"/>
      <c r="I23" s="137"/>
      <c r="J23" s="137"/>
      <c r="K23" s="175"/>
    </row>
    <row r="24" spans="1:21" ht="14.25" customHeight="1" thickTop="1" x14ac:dyDescent="0.25">
      <c r="B24" s="200" t="s">
        <v>244</v>
      </c>
      <c r="C24" s="201"/>
      <c r="D24" s="201"/>
      <c r="E24" s="201"/>
      <c r="F24" s="142"/>
      <c r="G24" s="202" t="s">
        <v>84</v>
      </c>
      <c r="H24" s="203"/>
      <c r="I24" s="203"/>
      <c r="J24" s="203"/>
      <c r="K24" s="204"/>
    </row>
    <row r="25" spans="1:21" ht="12.75" customHeight="1" x14ac:dyDescent="0.2">
      <c r="A25" s="186"/>
      <c r="B25" s="189" t="s">
        <v>62</v>
      </c>
      <c r="C25" s="189"/>
      <c r="D25" s="189"/>
      <c r="E25" s="189"/>
      <c r="F25" s="147"/>
      <c r="G25" s="190" t="s">
        <v>142</v>
      </c>
      <c r="H25" s="189"/>
      <c r="I25" s="189"/>
      <c r="J25" s="189"/>
      <c r="K25" s="191"/>
    </row>
    <row r="26" spans="1:21" ht="13.5" customHeight="1" x14ac:dyDescent="0.2">
      <c r="B26" s="154"/>
      <c r="C26" s="136"/>
      <c r="D26" s="136"/>
      <c r="E26" s="136"/>
      <c r="F26" s="136"/>
      <c r="G26" s="154"/>
      <c r="H26" s="136"/>
      <c r="I26" s="136"/>
      <c r="J26" s="136"/>
      <c r="K26" s="155"/>
    </row>
    <row r="27" spans="1:21" ht="14.25" customHeight="1" x14ac:dyDescent="0.2">
      <c r="B27" s="156" t="s">
        <v>90</v>
      </c>
      <c r="C27" s="71">
        <v>400</v>
      </c>
      <c r="D27" s="136" t="s">
        <v>25</v>
      </c>
      <c r="E27" s="136"/>
      <c r="F27" s="136"/>
      <c r="G27" s="156" t="s">
        <v>243</v>
      </c>
      <c r="H27" s="136"/>
      <c r="I27" s="134">
        <v>0.7</v>
      </c>
      <c r="J27" s="136" t="s">
        <v>66</v>
      </c>
      <c r="K27" s="155"/>
    </row>
    <row r="28" spans="1:21" ht="7.5" customHeight="1" x14ac:dyDescent="0.2">
      <c r="B28" s="154"/>
      <c r="C28" s="136"/>
      <c r="D28" s="136"/>
      <c r="E28" s="136"/>
      <c r="F28" s="136"/>
      <c r="G28" s="154"/>
      <c r="H28" s="136"/>
      <c r="I28" s="148"/>
      <c r="J28" s="136"/>
      <c r="K28" s="155"/>
      <c r="T28" s="55"/>
      <c r="U28" t="s">
        <v>23</v>
      </c>
    </row>
    <row r="29" spans="1:21" ht="12.75" customHeight="1" x14ac:dyDescent="0.2">
      <c r="B29" s="156" t="s">
        <v>87</v>
      </c>
      <c r="C29" s="140">
        <f>Tabeller!$A$54/Tabeller!$A$60</f>
        <v>0</v>
      </c>
      <c r="D29" s="136" t="s">
        <v>88</v>
      </c>
      <c r="E29" s="136"/>
      <c r="F29" s="136"/>
      <c r="G29" s="157" t="s">
        <v>89</v>
      </c>
      <c r="H29" s="136"/>
      <c r="I29" s="141" t="e">
        <f>'Tor Wadmark'!F37</f>
        <v>#DIV/0!</v>
      </c>
      <c r="J29" s="136" t="s">
        <v>25</v>
      </c>
      <c r="K29" s="155"/>
    </row>
    <row r="30" spans="1:21" ht="12.75" customHeight="1" x14ac:dyDescent="0.2">
      <c r="B30" s="156"/>
      <c r="C30" s="140"/>
      <c r="D30" s="136"/>
      <c r="E30" s="136"/>
      <c r="F30" s="136"/>
      <c r="G30" s="157" t="s">
        <v>89</v>
      </c>
      <c r="H30" s="136"/>
      <c r="I30" s="141" t="e">
        <f>'Tor Wadmark'!F59</f>
        <v>#DIV/0!</v>
      </c>
      <c r="J30" s="136" t="s">
        <v>25</v>
      </c>
      <c r="K30" s="155"/>
    </row>
    <row r="31" spans="1:21" ht="12.75" customHeight="1" x14ac:dyDescent="0.2">
      <c r="B31" s="156"/>
      <c r="C31" s="140"/>
      <c r="D31" s="136"/>
      <c r="E31" s="136"/>
      <c r="F31" s="136"/>
      <c r="G31" s="157" t="s">
        <v>89</v>
      </c>
      <c r="H31" s="136"/>
      <c r="I31" s="141" t="e">
        <f>'Tor Wadmark'!F81</f>
        <v>#DIV/0!</v>
      </c>
      <c r="J31" s="136" t="s">
        <v>25</v>
      </c>
      <c r="K31" s="155"/>
    </row>
    <row r="32" spans="1:21" ht="12.75" customHeight="1" x14ac:dyDescent="0.2">
      <c r="B32" s="156"/>
      <c r="C32" s="140"/>
      <c r="D32" s="136"/>
      <c r="E32" s="136"/>
      <c r="F32" s="136"/>
      <c r="G32" s="157" t="s">
        <v>89</v>
      </c>
      <c r="H32" s="136"/>
      <c r="I32" s="141" t="e">
        <f>'Tor Wadmark'!F103</f>
        <v>#DIV/0!</v>
      </c>
      <c r="J32" s="136" t="s">
        <v>25</v>
      </c>
      <c r="K32" s="155"/>
    </row>
    <row r="33" spans="2:18" ht="8.25" customHeight="1" x14ac:dyDescent="0.2">
      <c r="B33" s="154"/>
      <c r="C33" s="136"/>
      <c r="D33" s="136"/>
      <c r="E33" s="136"/>
      <c r="F33" s="136"/>
      <c r="G33" s="154"/>
      <c r="H33" s="136"/>
      <c r="I33" s="148"/>
      <c r="J33" s="136"/>
      <c r="K33" s="155"/>
    </row>
    <row r="34" spans="2:18" ht="12.75" customHeight="1" x14ac:dyDescent="0.2">
      <c r="B34" s="156" t="s">
        <v>67</v>
      </c>
      <c r="C34" s="140">
        <f>0.5*Tabeller!$A$39*Tabeller!$A$63^2</f>
        <v>0</v>
      </c>
      <c r="D34" s="136" t="s">
        <v>65</v>
      </c>
      <c r="E34" s="136"/>
      <c r="F34" s="136"/>
      <c r="G34" s="156" t="s">
        <v>87</v>
      </c>
      <c r="H34" s="136"/>
      <c r="I34" s="141" t="e">
        <f>Tabeller!$A$54/((PI()/4)*(Beregning!$I$29/1000)^2)</f>
        <v>#DIV/0!</v>
      </c>
      <c r="J34" s="136" t="s">
        <v>88</v>
      </c>
      <c r="K34" s="155"/>
    </row>
    <row r="35" spans="2:18" ht="7.5" customHeight="1" x14ac:dyDescent="0.2">
      <c r="B35" s="154"/>
      <c r="C35" s="136"/>
      <c r="D35" s="136"/>
      <c r="E35" s="136"/>
      <c r="F35" s="136"/>
      <c r="G35" s="154"/>
      <c r="H35" s="136"/>
      <c r="I35" s="136"/>
      <c r="J35" s="136"/>
      <c r="K35" s="155"/>
    </row>
    <row r="36" spans="2:18" ht="13.5" thickBot="1" x14ac:dyDescent="0.25">
      <c r="B36" s="158" t="s">
        <v>242</v>
      </c>
      <c r="C36" s="163" t="e">
        <f>('Colebrook-White'!$E$25/(Beregning!$C$27/1000))*Beregning!$C$34</f>
        <v>#DIV/0!</v>
      </c>
      <c r="D36" s="159" t="s">
        <v>66</v>
      </c>
      <c r="E36" s="159"/>
      <c r="F36" s="136"/>
      <c r="G36" s="158" t="s">
        <v>67</v>
      </c>
      <c r="H36" s="159"/>
      <c r="I36" s="160" t="e">
        <f>0.5*Tabeller!$A$39*(Tabeller!$A$54/(($I$29/1000)^2*(PI()/4)))^2</f>
        <v>#DIV/0!</v>
      </c>
      <c r="J36" s="159" t="s">
        <v>65</v>
      </c>
      <c r="K36" s="161"/>
    </row>
    <row r="37" spans="2:18" ht="13.5" thickTop="1" x14ac:dyDescent="0.2"/>
    <row r="39" spans="2:18" x14ac:dyDescent="0.2">
      <c r="O39" s="56"/>
      <c r="P39" s="56"/>
      <c r="R39" s="56"/>
    </row>
    <row r="40" spans="2:18" x14ac:dyDescent="0.2">
      <c r="O40" s="56"/>
      <c r="P40" s="56"/>
      <c r="R40" s="56"/>
    </row>
    <row r="41" spans="2:18" x14ac:dyDescent="0.2">
      <c r="O41" s="56"/>
      <c r="P41" s="56"/>
      <c r="R41" s="56"/>
    </row>
    <row r="42" spans="2:18" x14ac:dyDescent="0.2">
      <c r="O42" s="56"/>
      <c r="P42" s="56"/>
      <c r="R42" s="56"/>
    </row>
    <row r="43" spans="2:18" x14ac:dyDescent="0.2">
      <c r="O43" s="56"/>
      <c r="P43" s="56"/>
      <c r="R43" s="56"/>
    </row>
    <row r="44" spans="2:18" x14ac:dyDescent="0.2">
      <c r="O44" s="56"/>
      <c r="P44" s="56"/>
      <c r="R44" s="56"/>
    </row>
    <row r="45" spans="2:18" x14ac:dyDescent="0.2">
      <c r="O45" s="56"/>
      <c r="P45" s="56"/>
      <c r="R45" s="56"/>
    </row>
    <row r="46" spans="2:18" x14ac:dyDescent="0.2">
      <c r="O46" s="56"/>
      <c r="P46" s="56"/>
      <c r="R46" s="56"/>
    </row>
    <row r="47" spans="2:18" x14ac:dyDescent="0.2">
      <c r="O47" s="56"/>
      <c r="P47" s="56"/>
      <c r="R47" s="56"/>
    </row>
    <row r="48" spans="2:18" x14ac:dyDescent="0.2">
      <c r="O48" s="56"/>
      <c r="P48" s="56"/>
      <c r="R48" s="56"/>
    </row>
    <row r="49" spans="15:18" x14ac:dyDescent="0.2">
      <c r="O49" s="56"/>
      <c r="P49" s="56"/>
      <c r="R49" s="56"/>
    </row>
    <row r="50" spans="15:18" x14ac:dyDescent="0.2">
      <c r="O50" s="56"/>
      <c r="P50" s="56"/>
      <c r="R50" s="56"/>
    </row>
    <row r="51" spans="15:18" x14ac:dyDescent="0.2">
      <c r="O51" s="56"/>
      <c r="P51" s="56"/>
      <c r="R51" s="56"/>
    </row>
    <row r="52" spans="15:18" x14ac:dyDescent="0.2">
      <c r="O52" s="56"/>
      <c r="P52" s="56"/>
      <c r="R52" s="56"/>
    </row>
    <row r="53" spans="15:18" x14ac:dyDescent="0.2">
      <c r="O53" s="56"/>
      <c r="P53" s="56"/>
      <c r="R53" s="56"/>
    </row>
    <row r="54" spans="15:18" x14ac:dyDescent="0.2">
      <c r="O54" s="56"/>
      <c r="P54" s="56"/>
      <c r="R54" s="56"/>
    </row>
    <row r="55" spans="15:18" x14ac:dyDescent="0.2">
      <c r="O55" s="56"/>
      <c r="P55" s="56"/>
      <c r="R55" s="56"/>
    </row>
    <row r="56" spans="15:18" x14ac:dyDescent="0.2">
      <c r="O56" s="56"/>
      <c r="P56" s="56"/>
      <c r="R56" s="56"/>
    </row>
    <row r="57" spans="15:18" x14ac:dyDescent="0.2">
      <c r="O57" s="56"/>
      <c r="P57" s="56"/>
      <c r="R57" s="56"/>
    </row>
    <row r="58" spans="15:18" x14ac:dyDescent="0.2">
      <c r="O58" s="56"/>
      <c r="P58" s="56"/>
      <c r="R58" s="56"/>
    </row>
  </sheetData>
  <sheetProtection selectLockedCells="1"/>
  <mergeCells count="8">
    <mergeCell ref="G3:K3"/>
    <mergeCell ref="B25:E25"/>
    <mergeCell ref="G25:K25"/>
    <mergeCell ref="G4:K4"/>
    <mergeCell ref="H9:K10"/>
    <mergeCell ref="B24:E24"/>
    <mergeCell ref="G24:K24"/>
    <mergeCell ref="G5:K5"/>
  </mergeCells>
  <phoneticPr fontId="3" type="noConversion"/>
  <pageMargins left="0.75" right="0.38" top="1" bottom="1" header="0" footer="0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" r:id="rId4" name="Option Button 18">
              <controlPr defaultSize="0" autoFill="0" autoLine="0" autoPict="0">
                <anchor moveWithCells="1">
                  <from>
                    <xdr:col>1</xdr:col>
                    <xdr:colOff>1143000</xdr:colOff>
                    <xdr:row>9</xdr:row>
                    <xdr:rowOff>0</xdr:rowOff>
                  </from>
                  <to>
                    <xdr:col>2</xdr:col>
                    <xdr:colOff>47625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5" name="Option Button 19">
              <controlPr defaultSize="0" autoFill="0" autoLine="0" autoPict="0">
                <anchor moveWithCells="1">
                  <from>
                    <xdr:col>1</xdr:col>
                    <xdr:colOff>1143000</xdr:colOff>
                    <xdr:row>10</xdr:row>
                    <xdr:rowOff>0</xdr:rowOff>
                  </from>
                  <to>
                    <xdr:col>4</xdr:col>
                    <xdr:colOff>409575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6" name="Drop Down 23">
              <controlPr defaultSize="0" autoLine="0" autoPict="0">
                <anchor moveWithCells="1">
                  <from>
                    <xdr:col>1</xdr:col>
                    <xdr:colOff>1200150</xdr:colOff>
                    <xdr:row>14</xdr:row>
                    <xdr:rowOff>0</xdr:rowOff>
                  </from>
                  <to>
                    <xdr:col>2</xdr:col>
                    <xdr:colOff>85725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" name="Drop Down 24">
              <controlPr defaultSize="0" autoLine="0" autoPict="0">
                <anchor moveWithCells="1">
                  <from>
                    <xdr:col>1</xdr:col>
                    <xdr:colOff>1209675</xdr:colOff>
                    <xdr:row>15</xdr:row>
                    <xdr:rowOff>161925</xdr:rowOff>
                  </from>
                  <to>
                    <xdr:col>6</xdr:col>
                    <xdr:colOff>304800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8" name="Drop Down 44">
              <controlPr defaultSize="0" autoLine="0" autoPict="0">
                <anchor moveWithCells="1">
                  <from>
                    <xdr:col>3</xdr:col>
                    <xdr:colOff>47625</xdr:colOff>
                    <xdr:row>17</xdr:row>
                    <xdr:rowOff>161925</xdr:rowOff>
                  </from>
                  <to>
                    <xdr:col>3</xdr:col>
                    <xdr:colOff>647700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9" name="Option Button 67">
              <controlPr defaultSize="0" autoFill="0" autoLine="0" autoPict="0">
                <anchor moveWithCells="1">
                  <from>
                    <xdr:col>1</xdr:col>
                    <xdr:colOff>1143000</xdr:colOff>
                    <xdr:row>11</xdr:row>
                    <xdr:rowOff>114300</xdr:rowOff>
                  </from>
                  <to>
                    <xdr:col>4</xdr:col>
                    <xdr:colOff>28575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0" name="Spinner 68">
              <controlPr defaultSize="0" autoPict="0">
                <anchor moveWithCells="1" sizeWithCells="1">
                  <from>
                    <xdr:col>4</xdr:col>
                    <xdr:colOff>238125</xdr:colOff>
                    <xdr:row>9</xdr:row>
                    <xdr:rowOff>180975</xdr:rowOff>
                  </from>
                  <to>
                    <xdr:col>4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AT78"/>
  <sheetViews>
    <sheetView workbookViewId="0">
      <selection activeCell="A33" sqref="A33"/>
    </sheetView>
  </sheetViews>
  <sheetFormatPr defaultRowHeight="12.75" x14ac:dyDescent="0.2"/>
  <cols>
    <col min="1" max="1" width="53.5703125" customWidth="1"/>
    <col min="2" max="2" width="13.42578125" bestFit="1" customWidth="1"/>
    <col min="3" max="3" width="15.7109375" bestFit="1" customWidth="1"/>
    <col min="5" max="5" width="50" bestFit="1" customWidth="1"/>
    <col min="6" max="6" width="13.42578125" bestFit="1" customWidth="1"/>
    <col min="7" max="7" width="15.7109375" bestFit="1" customWidth="1"/>
    <col min="8" max="8" width="11.140625" bestFit="1" customWidth="1"/>
    <col min="9" max="9" width="8.140625" bestFit="1" customWidth="1"/>
    <col min="10" max="10" width="12" bestFit="1" customWidth="1"/>
    <col min="11" max="12" width="12.5703125" bestFit="1" customWidth="1"/>
    <col min="13" max="13" width="8.140625" bestFit="1" customWidth="1"/>
    <col min="14" max="14" width="6.28515625" customWidth="1"/>
    <col min="15" max="15" width="8.140625" customWidth="1"/>
    <col min="16" max="16" width="6.28515625" customWidth="1"/>
    <col min="17" max="17" width="8.140625" bestFit="1" customWidth="1"/>
    <col min="18" max="18" width="6.28515625" customWidth="1"/>
    <col min="19" max="19" width="8.140625" bestFit="1" customWidth="1"/>
    <col min="20" max="20" width="6.28515625" customWidth="1"/>
    <col min="21" max="21" width="8.140625" bestFit="1" customWidth="1"/>
    <col min="22" max="22" width="6.28515625" customWidth="1"/>
    <col min="24" max="24" width="6.28515625" customWidth="1"/>
    <col min="26" max="26" width="6.28515625" customWidth="1"/>
    <col min="28" max="28" width="6.28515625" customWidth="1"/>
    <col min="30" max="30" width="6.28515625" customWidth="1"/>
    <col min="32" max="32" width="6.28515625" customWidth="1"/>
    <col min="34" max="34" width="6.28515625" customWidth="1"/>
    <col min="36" max="36" width="6.28515625" customWidth="1"/>
    <col min="38" max="38" width="6.28515625" customWidth="1"/>
    <col min="40" max="40" width="6.28515625" customWidth="1"/>
    <col min="42" max="42" width="6.28515625" customWidth="1"/>
    <col min="44" max="44" width="6.28515625" customWidth="1"/>
    <col min="46" max="46" width="6.28515625" customWidth="1"/>
  </cols>
  <sheetData>
    <row r="1" spans="1:16" ht="15.75" x14ac:dyDescent="0.25">
      <c r="A1" s="205" t="s">
        <v>28</v>
      </c>
      <c r="B1" s="206"/>
      <c r="C1" s="207"/>
      <c r="E1" s="224" t="s">
        <v>85</v>
      </c>
      <c r="F1" s="225"/>
      <c r="G1" s="225"/>
      <c r="H1" s="225"/>
      <c r="I1" s="225"/>
      <c r="J1" s="225"/>
      <c r="K1" s="225"/>
      <c r="L1" s="225"/>
    </row>
    <row r="2" spans="1:16" ht="13.5" customHeight="1" thickBot="1" x14ac:dyDescent="0.25">
      <c r="A2" s="208" t="s">
        <v>38</v>
      </c>
      <c r="B2" s="209"/>
      <c r="C2" s="210"/>
      <c r="E2" s="224"/>
      <c r="F2" s="225"/>
      <c r="G2" s="225"/>
      <c r="H2" s="225"/>
      <c r="I2" s="225"/>
      <c r="J2" s="225"/>
      <c r="K2" s="225"/>
      <c r="L2" s="225"/>
    </row>
    <row r="3" spans="1:16" ht="13.5" thickBot="1" x14ac:dyDescent="0.25">
      <c r="A3" s="9"/>
      <c r="B3" s="10"/>
      <c r="C3" s="11"/>
      <c r="E3" s="36"/>
      <c r="F3" s="37"/>
      <c r="G3" s="218" t="s">
        <v>92</v>
      </c>
      <c r="H3" s="219"/>
      <c r="I3" s="220"/>
      <c r="J3" s="221" t="s">
        <v>91</v>
      </c>
      <c r="K3" s="222"/>
      <c r="L3" s="223"/>
      <c r="M3" s="74"/>
      <c r="N3" s="75"/>
      <c r="O3" s="5"/>
      <c r="P3" s="2"/>
    </row>
    <row r="4" spans="1:16" x14ac:dyDescent="0.2">
      <c r="A4" s="12" t="s">
        <v>21</v>
      </c>
      <c r="B4" s="13" t="s">
        <v>22</v>
      </c>
      <c r="C4" s="14" t="s">
        <v>20</v>
      </c>
      <c r="E4" s="80" t="s">
        <v>29</v>
      </c>
      <c r="F4" s="88" t="s">
        <v>22</v>
      </c>
      <c r="G4" s="91" t="s">
        <v>86</v>
      </c>
      <c r="H4" s="81" t="s">
        <v>93</v>
      </c>
      <c r="I4" s="92" t="s">
        <v>94</v>
      </c>
      <c r="J4" s="91" t="s">
        <v>86</v>
      </c>
      <c r="K4" s="81" t="s">
        <v>93</v>
      </c>
      <c r="L4" s="92" t="s">
        <v>94</v>
      </c>
      <c r="M4" s="5"/>
      <c r="N4" s="5"/>
      <c r="O4" s="72"/>
      <c r="P4" s="2"/>
    </row>
    <row r="5" spans="1:16" ht="13.5" thickBot="1" x14ac:dyDescent="0.25">
      <c r="A5" s="15"/>
      <c r="B5" s="16" t="s">
        <v>24</v>
      </c>
      <c r="C5" s="17" t="s">
        <v>25</v>
      </c>
      <c r="E5" s="39" t="s">
        <v>32</v>
      </c>
      <c r="F5" s="90" t="s">
        <v>24</v>
      </c>
      <c r="G5" s="38"/>
      <c r="H5" s="39">
        <v>20</v>
      </c>
      <c r="I5" s="40"/>
      <c r="J5" s="38"/>
      <c r="K5" s="39">
        <f>H5</f>
        <v>20</v>
      </c>
      <c r="L5" s="40"/>
      <c r="M5" s="67"/>
      <c r="N5" s="67"/>
      <c r="O5" s="5"/>
      <c r="P5" s="2"/>
    </row>
    <row r="6" spans="1:16" x14ac:dyDescent="0.2">
      <c r="A6" s="12" t="s">
        <v>222</v>
      </c>
      <c r="B6" s="13">
        <v>1</v>
      </c>
      <c r="C6" s="14">
        <v>0.15</v>
      </c>
      <c r="E6" s="85">
        <v>-20</v>
      </c>
      <c r="F6" s="69">
        <v>1</v>
      </c>
      <c r="G6" s="69"/>
      <c r="H6" s="69"/>
      <c r="I6" s="89">
        <v>1.3765000000000001</v>
      </c>
      <c r="J6" s="69"/>
      <c r="K6" s="69"/>
      <c r="L6" s="93">
        <v>1.173E-5</v>
      </c>
      <c r="M6" s="5"/>
      <c r="N6" s="5"/>
      <c r="O6" s="5"/>
      <c r="P6" s="2"/>
    </row>
    <row r="7" spans="1:16" x14ac:dyDescent="0.2">
      <c r="A7" s="18" t="s">
        <v>26</v>
      </c>
      <c r="B7" s="19">
        <v>2</v>
      </c>
      <c r="C7" s="20">
        <v>0.15</v>
      </c>
      <c r="E7" s="81">
        <v>0</v>
      </c>
      <c r="F7" s="82">
        <v>2</v>
      </c>
      <c r="G7" s="82">
        <v>999.8</v>
      </c>
      <c r="H7" s="84">
        <f>(996.5+152.3*10^-2*$H$5-96.6*10^-4*$H$5^2)+(-1.7-146.1*10^-2*$H$5+76.7*10^-4*$H$5^2)*10^-2*E7+(-38.4+62.1*10^-2*$H$5-30.8*10^-4*$H$5^2)*10^-4*E7^2</f>
        <v>1023.096</v>
      </c>
      <c r="I7" s="86">
        <v>1.2754000000000001</v>
      </c>
      <c r="J7" s="83">
        <v>1.751E-6</v>
      </c>
      <c r="K7" s="87">
        <f>(1.293*EXP(4.388*10^-2*$K$5))*10^-6*EXP((-1.709-1.921*10^-2*$K$5-0.6*10^-4*$K$5^2)*10^-2*E7)</f>
        <v>3.1098207870553244E-6</v>
      </c>
      <c r="L7" s="87">
        <v>1.341E-5</v>
      </c>
      <c r="M7" s="5"/>
      <c r="N7" s="68"/>
      <c r="O7" s="5"/>
      <c r="P7" s="2"/>
    </row>
    <row r="8" spans="1:16" x14ac:dyDescent="0.2">
      <c r="A8" s="18" t="s">
        <v>146</v>
      </c>
      <c r="B8" s="19">
        <v>3</v>
      </c>
      <c r="C8" s="20">
        <v>1.3</v>
      </c>
      <c r="E8" s="81">
        <v>10</v>
      </c>
      <c r="F8" s="82">
        <v>3</v>
      </c>
      <c r="G8" s="84">
        <v>999.7</v>
      </c>
      <c r="H8" s="84">
        <f t="shared" ref="H8:H26" si="0">(996.5+152.3*10^-2*$H$5-96.6*10^-4*$H$5^2)+(-1.7-146.1*10^-2*$H$5+76.7*10^-4*$H$5^2)*10^-2*E8+(-38.4+62.1*10^-2*$H$5-30.8*10^-4*$H$5^2)*10^-4*E8^2</f>
        <v>1020.03868</v>
      </c>
      <c r="I8" s="86">
        <v>1.2317499999999999</v>
      </c>
      <c r="J8" s="83">
        <v>1.3E-6</v>
      </c>
      <c r="K8" s="87">
        <f t="shared" ref="K8:K26" si="1">(1.293*EXP(4.388*10^-2*$K$5))*10^-6*EXP((-1.709-1.921*10^-2*$K$5-0.6*10^-4*$K$5^2)*10^-2*E8)</f>
        <v>2.5164397369773472E-6</v>
      </c>
      <c r="L8" s="87">
        <v>1.4270000000000001E-5</v>
      </c>
      <c r="M8" s="57"/>
      <c r="N8" s="68"/>
      <c r="O8" s="67"/>
      <c r="P8" s="2"/>
    </row>
    <row r="9" spans="1:16" x14ac:dyDescent="0.2">
      <c r="A9" s="18" t="s">
        <v>63</v>
      </c>
      <c r="B9" s="19">
        <v>4</v>
      </c>
      <c r="C9" s="20">
        <v>0.15</v>
      </c>
      <c r="E9" s="81">
        <v>15</v>
      </c>
      <c r="F9" s="82">
        <v>4</v>
      </c>
      <c r="G9" s="84">
        <v>999.2</v>
      </c>
      <c r="H9" s="84">
        <f t="shared" si="0"/>
        <v>1018.30593</v>
      </c>
      <c r="I9" s="86">
        <v>1.2099249999999999</v>
      </c>
      <c r="J9" s="83">
        <v>1.1370000000000001E-6</v>
      </c>
      <c r="K9" s="87">
        <f t="shared" si="1"/>
        <v>2.263664815726443E-6</v>
      </c>
      <c r="L9" s="87">
        <v>1.47E-5</v>
      </c>
      <c r="M9" s="5"/>
      <c r="N9" s="68"/>
      <c r="O9" s="5"/>
      <c r="P9" s="2"/>
    </row>
    <row r="10" spans="1:16" x14ac:dyDescent="0.2">
      <c r="A10" s="18" t="s">
        <v>27</v>
      </c>
      <c r="B10" s="19">
        <v>5</v>
      </c>
      <c r="C10" s="20">
        <v>2.5000000000000001E-2</v>
      </c>
      <c r="E10" s="81">
        <v>20</v>
      </c>
      <c r="F10" s="82">
        <v>5</v>
      </c>
      <c r="G10" s="84">
        <v>998.2</v>
      </c>
      <c r="H10" s="84">
        <f t="shared" si="0"/>
        <v>1016.43712</v>
      </c>
      <c r="I10" s="86">
        <v>1.1880999999999999</v>
      </c>
      <c r="J10" s="83">
        <v>1.003E-6</v>
      </c>
      <c r="K10" s="87">
        <f t="shared" si="1"/>
        <v>2.0362809896305333E-6</v>
      </c>
      <c r="L10" s="87">
        <v>1.5130000000000001E-5</v>
      </c>
      <c r="M10" s="57"/>
      <c r="N10" s="68"/>
      <c r="O10" s="5"/>
      <c r="P10" s="2"/>
    </row>
    <row r="11" spans="1:16" x14ac:dyDescent="0.2">
      <c r="A11" s="18" t="s">
        <v>64</v>
      </c>
      <c r="B11" s="19">
        <v>6</v>
      </c>
      <c r="C11" s="20">
        <v>1.5E-3</v>
      </c>
      <c r="E11" s="81">
        <v>25</v>
      </c>
      <c r="F11" s="82">
        <v>6</v>
      </c>
      <c r="G11" s="84">
        <v>997.1</v>
      </c>
      <c r="H11" s="84">
        <f t="shared" si="0"/>
        <v>1014.4322500000001</v>
      </c>
      <c r="I11" s="86">
        <v>1.1690750000000001</v>
      </c>
      <c r="J11" s="83">
        <v>8.9299999999999996E-7</v>
      </c>
      <c r="K11" s="87">
        <f t="shared" si="1"/>
        <v>1.8317377378152387E-6</v>
      </c>
      <c r="L11" s="87">
        <v>1.5577500000000001E-5</v>
      </c>
      <c r="M11" s="5"/>
      <c r="N11" s="68"/>
      <c r="O11" s="5"/>
      <c r="P11" s="2"/>
    </row>
    <row r="12" spans="1:16" x14ac:dyDescent="0.2">
      <c r="A12" s="18" t="s">
        <v>223</v>
      </c>
      <c r="B12" s="19">
        <v>7</v>
      </c>
      <c r="C12" s="20">
        <v>0.15</v>
      </c>
      <c r="E12" s="81">
        <v>30</v>
      </c>
      <c r="F12" s="82">
        <v>7</v>
      </c>
      <c r="G12" s="84">
        <v>995.7</v>
      </c>
      <c r="H12" s="84">
        <f t="shared" si="0"/>
        <v>1012.29132</v>
      </c>
      <c r="I12" s="86">
        <v>1.15005</v>
      </c>
      <c r="J12" s="83">
        <v>8.0100000000000004E-7</v>
      </c>
      <c r="K12" s="87">
        <f t="shared" si="1"/>
        <v>1.6477407377580409E-6</v>
      </c>
      <c r="L12" s="87">
        <v>1.6025E-5</v>
      </c>
      <c r="M12" s="57"/>
      <c r="N12" s="68"/>
      <c r="O12" s="5"/>
      <c r="P12" s="2"/>
    </row>
    <row r="13" spans="1:16" x14ac:dyDescent="0.2">
      <c r="A13" s="18" t="s">
        <v>224</v>
      </c>
      <c r="B13" s="19">
        <v>8</v>
      </c>
      <c r="C13" s="20">
        <v>1.5E-3</v>
      </c>
      <c r="E13" s="81">
        <v>35</v>
      </c>
      <c r="F13" s="82">
        <v>8</v>
      </c>
      <c r="G13" s="84">
        <v>994</v>
      </c>
      <c r="H13" s="84">
        <f t="shared" si="0"/>
        <v>1010.01433</v>
      </c>
      <c r="I13" s="86">
        <v>1.1310249999999999</v>
      </c>
      <c r="J13" s="83">
        <v>7.23E-7</v>
      </c>
      <c r="K13" s="87">
        <f t="shared" si="1"/>
        <v>1.4822261303114948E-6</v>
      </c>
      <c r="L13" s="87">
        <v>1.6472499999999999E-5</v>
      </c>
      <c r="M13" s="5"/>
      <c r="N13" s="68"/>
      <c r="O13" s="5"/>
      <c r="P13" s="2"/>
    </row>
    <row r="14" spans="1:16" x14ac:dyDescent="0.2">
      <c r="A14" s="18" t="s">
        <v>118</v>
      </c>
      <c r="B14" s="19">
        <v>9</v>
      </c>
      <c r="C14" s="94">
        <v>1</v>
      </c>
      <c r="E14" s="81">
        <v>40</v>
      </c>
      <c r="F14" s="82">
        <v>9</v>
      </c>
      <c r="G14" s="84">
        <v>992.2</v>
      </c>
      <c r="H14" s="84">
        <f t="shared" si="0"/>
        <v>1007.60128</v>
      </c>
      <c r="I14" s="86">
        <v>1.1120000000000001</v>
      </c>
      <c r="J14" s="83">
        <v>6.5700000000000002E-7</v>
      </c>
      <c r="K14" s="87">
        <f t="shared" si="1"/>
        <v>1.3333373697900293E-6</v>
      </c>
      <c r="L14" s="87">
        <v>1.6920000000000001E-5</v>
      </c>
      <c r="M14" s="57"/>
      <c r="N14" s="68"/>
      <c r="O14" s="5"/>
      <c r="P14" s="2"/>
    </row>
    <row r="15" spans="1:16" x14ac:dyDescent="0.2">
      <c r="A15" s="18" t="s">
        <v>196</v>
      </c>
      <c r="B15" s="19">
        <v>10</v>
      </c>
      <c r="C15" s="20">
        <v>0.05</v>
      </c>
      <c r="E15" s="81">
        <v>45</v>
      </c>
      <c r="F15" s="82">
        <v>10</v>
      </c>
      <c r="G15" s="84">
        <v>990.2</v>
      </c>
      <c r="H15" s="84">
        <f t="shared" si="0"/>
        <v>1005.0521699999999</v>
      </c>
      <c r="I15" s="86">
        <v>1.0952999999999999</v>
      </c>
      <c r="J15" s="83">
        <v>5.9999999999999997E-7</v>
      </c>
      <c r="K15" s="87">
        <f t="shared" si="1"/>
        <v>1.1994043994521838E-6</v>
      </c>
      <c r="L15" s="87">
        <v>1.7410000000000001E-5</v>
      </c>
      <c r="M15" s="5"/>
      <c r="N15" s="68"/>
      <c r="O15" s="5"/>
      <c r="P15" s="2"/>
    </row>
    <row r="16" spans="1:16" x14ac:dyDescent="0.2">
      <c r="A16" s="18" t="s">
        <v>195</v>
      </c>
      <c r="B16" s="19">
        <v>11</v>
      </c>
      <c r="C16" s="20">
        <v>0.03</v>
      </c>
      <c r="E16" s="81">
        <v>50</v>
      </c>
      <c r="F16" s="82">
        <v>11</v>
      </c>
      <c r="G16" s="84">
        <v>988</v>
      </c>
      <c r="H16" s="84">
        <f t="shared" si="0"/>
        <v>1002.367</v>
      </c>
      <c r="I16" s="86">
        <v>1.0786</v>
      </c>
      <c r="J16" s="83">
        <v>5.51E-7</v>
      </c>
      <c r="K16" s="87">
        <f t="shared" si="1"/>
        <v>1.0789249187936558E-6</v>
      </c>
      <c r="L16" s="87">
        <v>1.7900000000000001E-5</v>
      </c>
      <c r="M16" s="57"/>
      <c r="N16" s="68"/>
      <c r="O16" s="5"/>
      <c r="P16" s="2"/>
    </row>
    <row r="17" spans="1:16" x14ac:dyDescent="0.2">
      <c r="A17" s="18" t="s">
        <v>119</v>
      </c>
      <c r="B17" s="19">
        <v>12</v>
      </c>
      <c r="C17" s="20">
        <v>0.01</v>
      </c>
      <c r="E17" s="81">
        <v>55</v>
      </c>
      <c r="F17" s="82">
        <v>12</v>
      </c>
      <c r="G17" s="84">
        <v>985.7</v>
      </c>
      <c r="H17" s="84">
        <f t="shared" si="0"/>
        <v>999.54577000000006</v>
      </c>
      <c r="I17" s="86">
        <v>1.0619000000000001</v>
      </c>
      <c r="J17" s="83">
        <v>5.0800000000000005E-7</v>
      </c>
      <c r="K17" s="87">
        <f t="shared" si="1"/>
        <v>9.7054753252996089E-7</v>
      </c>
      <c r="L17" s="87">
        <v>1.8389999999999998E-5</v>
      </c>
      <c r="M17" s="5"/>
      <c r="N17" s="68"/>
      <c r="O17" s="5"/>
      <c r="P17" s="2"/>
    </row>
    <row r="18" spans="1:16" x14ac:dyDescent="0.2">
      <c r="A18" s="18" t="s">
        <v>120</v>
      </c>
      <c r="B18" s="19">
        <v>13</v>
      </c>
      <c r="C18" s="20">
        <v>0.01</v>
      </c>
      <c r="E18" s="81">
        <v>60</v>
      </c>
      <c r="F18" s="82">
        <v>13</v>
      </c>
      <c r="G18" s="84">
        <v>983.2</v>
      </c>
      <c r="H18" s="84">
        <f t="shared" si="0"/>
        <v>996.58848</v>
      </c>
      <c r="I18" s="86">
        <v>1.0451999999999999</v>
      </c>
      <c r="J18" s="83">
        <v>4.7100000000000002E-7</v>
      </c>
      <c r="K18" s="87">
        <f t="shared" si="1"/>
        <v>8.7305659225407699E-7</v>
      </c>
      <c r="L18" s="87">
        <v>1.8879999999999999E-5</v>
      </c>
      <c r="M18" s="57"/>
      <c r="N18" s="68"/>
      <c r="O18" s="5"/>
      <c r="P18" s="2"/>
    </row>
    <row r="19" spans="1:16" x14ac:dyDescent="0.2">
      <c r="A19" s="18" t="s">
        <v>121</v>
      </c>
      <c r="B19" s="19">
        <v>14</v>
      </c>
      <c r="C19" s="20">
        <v>0.01</v>
      </c>
      <c r="E19" s="81">
        <v>65</v>
      </c>
      <c r="F19" s="82">
        <v>14</v>
      </c>
      <c r="G19" s="84">
        <v>980.5</v>
      </c>
      <c r="H19" s="84">
        <f t="shared" si="0"/>
        <v>993.49513000000002</v>
      </c>
      <c r="I19" s="86">
        <v>1.030375</v>
      </c>
      <c r="J19" s="83">
        <v>4.3799999999999998E-7</v>
      </c>
      <c r="K19" s="87">
        <f t="shared" si="1"/>
        <v>7.8535856074083762E-7</v>
      </c>
      <c r="L19" s="87">
        <v>1.9415E-5</v>
      </c>
      <c r="M19" s="5"/>
      <c r="N19" s="68"/>
      <c r="O19" s="5"/>
      <c r="P19" s="2"/>
    </row>
    <row r="20" spans="1:16" x14ac:dyDescent="0.2">
      <c r="A20" s="18" t="s">
        <v>239</v>
      </c>
      <c r="B20" s="19">
        <v>15</v>
      </c>
      <c r="C20" s="20">
        <v>0.01</v>
      </c>
      <c r="E20" s="81">
        <v>70</v>
      </c>
      <c r="F20" s="82">
        <v>15</v>
      </c>
      <c r="G20" s="84">
        <v>977.7</v>
      </c>
      <c r="H20" s="84">
        <f t="shared" si="0"/>
        <v>990.26571999999999</v>
      </c>
      <c r="I20" s="86">
        <v>1.01555</v>
      </c>
      <c r="J20" s="83">
        <v>4.0999999999999999E-7</v>
      </c>
      <c r="K20" s="87">
        <f t="shared" si="1"/>
        <v>7.0646974594909457E-7</v>
      </c>
      <c r="L20" s="87">
        <v>1.995E-5</v>
      </c>
      <c r="M20" s="57"/>
      <c r="N20" s="68"/>
      <c r="O20" s="5"/>
      <c r="P20" s="2"/>
    </row>
    <row r="21" spans="1:16" x14ac:dyDescent="0.2">
      <c r="A21" s="18" t="s">
        <v>240</v>
      </c>
      <c r="B21" s="19">
        <v>16</v>
      </c>
      <c r="C21" s="20">
        <v>0.01</v>
      </c>
      <c r="E21" s="81">
        <v>75</v>
      </c>
      <c r="F21" s="82">
        <v>16</v>
      </c>
      <c r="G21" s="84">
        <v>974.8</v>
      </c>
      <c r="H21" s="84">
        <f t="shared" si="0"/>
        <v>986.90025000000003</v>
      </c>
      <c r="I21" s="86">
        <v>1.0007250000000001</v>
      </c>
      <c r="J21" s="83">
        <v>3.84E-7</v>
      </c>
      <c r="K21" s="87">
        <f t="shared" si="1"/>
        <v>6.3550526713628987E-7</v>
      </c>
      <c r="L21" s="87">
        <v>2.0485000000000001E-5</v>
      </c>
      <c r="M21" s="5"/>
      <c r="N21" s="68"/>
      <c r="O21" s="5"/>
      <c r="P21" s="2"/>
    </row>
    <row r="22" spans="1:16" x14ac:dyDescent="0.2">
      <c r="A22" s="18" t="s">
        <v>122</v>
      </c>
      <c r="B22" s="19">
        <v>17</v>
      </c>
      <c r="C22" s="20">
        <v>0.01</v>
      </c>
      <c r="E22" s="81">
        <v>80</v>
      </c>
      <c r="F22" s="82">
        <v>17</v>
      </c>
      <c r="G22" s="84">
        <v>971.6</v>
      </c>
      <c r="H22" s="84">
        <f t="shared" si="0"/>
        <v>983.39872000000003</v>
      </c>
      <c r="I22" s="86">
        <v>0.9859</v>
      </c>
      <c r="J22" s="83">
        <v>3.6100000000000002E-7</v>
      </c>
      <c r="K22" s="87">
        <f t="shared" si="1"/>
        <v>5.7166912932046253E-7</v>
      </c>
      <c r="L22" s="87">
        <v>2.1019999999999999E-5</v>
      </c>
      <c r="M22" s="57"/>
      <c r="N22" s="68"/>
      <c r="O22" s="5"/>
      <c r="P22" s="2"/>
    </row>
    <row r="23" spans="1:16" x14ac:dyDescent="0.2">
      <c r="A23" s="18" t="s">
        <v>34</v>
      </c>
      <c r="B23" s="19">
        <v>18</v>
      </c>
      <c r="C23" s="20">
        <v>0.05</v>
      </c>
      <c r="E23" s="81">
        <v>85</v>
      </c>
      <c r="F23" s="82">
        <v>18</v>
      </c>
      <c r="G23" s="84">
        <v>968.4</v>
      </c>
      <c r="H23" s="84">
        <f t="shared" si="0"/>
        <v>979.76112999999998</v>
      </c>
      <c r="I23" s="86">
        <v>0.97265000000000001</v>
      </c>
      <c r="J23" s="83">
        <v>3.41E-7</v>
      </c>
      <c r="K23" s="87">
        <f t="shared" si="1"/>
        <v>5.1424529475682422E-7</v>
      </c>
      <c r="L23" s="87">
        <v>2.1552500000000001E-5</v>
      </c>
      <c r="M23" s="5"/>
      <c r="N23" s="68"/>
      <c r="O23" s="5"/>
      <c r="P23" s="2"/>
    </row>
    <row r="24" spans="1:16" x14ac:dyDescent="0.2">
      <c r="A24" s="18" t="s">
        <v>35</v>
      </c>
      <c r="B24" s="19">
        <v>19</v>
      </c>
      <c r="C24" s="20">
        <v>0.2</v>
      </c>
      <c r="E24" s="81">
        <v>90</v>
      </c>
      <c r="F24" s="82">
        <v>19</v>
      </c>
      <c r="G24" s="84">
        <v>965.2</v>
      </c>
      <c r="H24" s="84">
        <f t="shared" si="0"/>
        <v>975.98748000000001</v>
      </c>
      <c r="I24" s="86">
        <v>0.95940000000000003</v>
      </c>
      <c r="J24" s="83">
        <v>3.2300000000000002E-7</v>
      </c>
      <c r="K24" s="87">
        <f t="shared" si="1"/>
        <v>4.6258965127936843E-7</v>
      </c>
      <c r="L24" s="87">
        <v>2.2084999999999999E-5</v>
      </c>
      <c r="M24" s="57"/>
      <c r="N24" s="68"/>
      <c r="O24" s="5"/>
      <c r="P24" s="2"/>
    </row>
    <row r="25" spans="1:16" x14ac:dyDescent="0.2">
      <c r="A25" s="18" t="s">
        <v>36</v>
      </c>
      <c r="B25" s="19">
        <v>20</v>
      </c>
      <c r="C25" s="20">
        <v>1</v>
      </c>
      <c r="E25" s="81">
        <v>95</v>
      </c>
      <c r="F25" s="82">
        <v>20</v>
      </c>
      <c r="G25" s="84">
        <v>961.6</v>
      </c>
      <c r="H25" s="84">
        <f t="shared" si="0"/>
        <v>972.0777700000001</v>
      </c>
      <c r="I25" s="86">
        <v>0.94615000000000005</v>
      </c>
      <c r="J25" s="83">
        <v>3.0600000000000001E-7</v>
      </c>
      <c r="K25" s="87">
        <f t="shared" si="1"/>
        <v>4.161227874179359E-7</v>
      </c>
      <c r="L25" s="87">
        <v>2.2617500000000002E-5</v>
      </c>
      <c r="M25" s="5"/>
      <c r="N25" s="68"/>
      <c r="O25" s="5"/>
      <c r="P25" s="2"/>
    </row>
    <row r="26" spans="1:16" x14ac:dyDescent="0.2">
      <c r="C26" t="s">
        <v>23</v>
      </c>
      <c r="E26" s="81">
        <v>100</v>
      </c>
      <c r="F26" s="82">
        <v>21</v>
      </c>
      <c r="G26" s="82">
        <v>958.1</v>
      </c>
      <c r="H26" s="84">
        <f t="shared" si="0"/>
        <v>968.03200000000004</v>
      </c>
      <c r="I26" s="86">
        <v>0.93289999999999995</v>
      </c>
      <c r="J26" s="82">
        <v>2.91E-7</v>
      </c>
      <c r="K26" s="87">
        <f t="shared" si="1"/>
        <v>3.743234932506056E-7</v>
      </c>
      <c r="L26" s="87">
        <v>2.315E-5</v>
      </c>
      <c r="M26" s="5"/>
      <c r="N26" s="5"/>
      <c r="O26" s="73"/>
      <c r="P26" s="2"/>
    </row>
    <row r="27" spans="1:16" x14ac:dyDescent="0.2">
      <c r="E27" s="81">
        <v>120</v>
      </c>
      <c r="F27" s="82">
        <v>22</v>
      </c>
      <c r="G27" s="82" t="s">
        <v>23</v>
      </c>
      <c r="H27" s="82"/>
      <c r="I27" s="86">
        <v>0.88539999999999996</v>
      </c>
      <c r="J27" s="82"/>
      <c r="K27" s="87"/>
      <c r="L27" s="87">
        <v>2.533E-5</v>
      </c>
      <c r="M27" s="5"/>
      <c r="N27" s="5"/>
      <c r="O27" s="5"/>
      <c r="P27" s="2"/>
    </row>
    <row r="28" spans="1:16" ht="13.5" thickBot="1" x14ac:dyDescent="0.25">
      <c r="E28" s="81">
        <v>140</v>
      </c>
      <c r="F28" s="82">
        <v>23</v>
      </c>
      <c r="G28" s="82"/>
      <c r="H28" s="82"/>
      <c r="I28" s="86">
        <v>0.84250000000000003</v>
      </c>
      <c r="J28" s="82"/>
      <c r="K28" s="87"/>
      <c r="L28" s="87">
        <v>2.7529999999999999E-5</v>
      </c>
      <c r="M28" s="5"/>
      <c r="N28" s="5"/>
      <c r="O28" s="5"/>
      <c r="P28" s="2"/>
    </row>
    <row r="29" spans="1:16" x14ac:dyDescent="0.2">
      <c r="A29" s="6" t="s">
        <v>56</v>
      </c>
      <c r="E29" s="81">
        <v>160</v>
      </c>
      <c r="F29" s="82">
        <v>24</v>
      </c>
      <c r="G29" s="82"/>
      <c r="H29" s="82"/>
      <c r="I29" s="86">
        <v>0.80359999999999998</v>
      </c>
      <c r="J29" s="82"/>
      <c r="K29" s="87"/>
      <c r="L29" s="87">
        <v>2.9879999999999999E-5</v>
      </c>
      <c r="M29" s="5"/>
      <c r="N29" s="5"/>
      <c r="O29" s="5"/>
    </row>
    <row r="30" spans="1:16" ht="13.5" thickBot="1" x14ac:dyDescent="0.25">
      <c r="A30" s="7">
        <v>3</v>
      </c>
      <c r="E30" s="81">
        <v>180</v>
      </c>
      <c r="F30" s="82">
        <v>25</v>
      </c>
      <c r="G30" s="82"/>
      <c r="H30" s="82"/>
      <c r="I30" s="86">
        <v>0.7681</v>
      </c>
      <c r="J30" s="82"/>
      <c r="K30" s="87"/>
      <c r="L30" s="87">
        <v>3.243E-5</v>
      </c>
      <c r="M30" s="5"/>
      <c r="N30" s="5"/>
      <c r="O30" s="5"/>
    </row>
    <row r="31" spans="1:16" ht="13.5" thickBot="1" x14ac:dyDescent="0.25">
      <c r="E31" s="81">
        <v>200</v>
      </c>
      <c r="F31" s="82">
        <v>26</v>
      </c>
      <c r="G31" s="82"/>
      <c r="H31" s="82"/>
      <c r="I31" s="86">
        <v>0.73560000000000003</v>
      </c>
      <c r="J31" s="82"/>
      <c r="K31" s="87"/>
      <c r="L31" s="87">
        <v>3.4940000000000001E-5</v>
      </c>
      <c r="M31" s="5"/>
      <c r="N31" s="5"/>
      <c r="O31" s="5"/>
    </row>
    <row r="32" spans="1:16" x14ac:dyDescent="0.2">
      <c r="A32" s="6" t="s">
        <v>55</v>
      </c>
      <c r="E32" s="81">
        <v>220</v>
      </c>
      <c r="F32" s="82">
        <v>27</v>
      </c>
      <c r="G32" s="82"/>
      <c r="H32" s="82"/>
      <c r="I32" s="86">
        <v>0.70750000000000002</v>
      </c>
      <c r="J32" s="82"/>
      <c r="K32" s="87"/>
      <c r="L32" s="87">
        <v>3.6188E-5</v>
      </c>
      <c r="M32" s="5"/>
      <c r="N32" s="5"/>
      <c r="O32" s="5"/>
    </row>
    <row r="33" spans="1:15" ht="13.5" thickBot="1" x14ac:dyDescent="0.25">
      <c r="A33" s="7">
        <v>1</v>
      </c>
      <c r="E33" s="81">
        <v>240</v>
      </c>
      <c r="F33" s="82">
        <v>28</v>
      </c>
      <c r="G33" s="82"/>
      <c r="H33" s="82"/>
      <c r="I33" s="86">
        <v>0.6794</v>
      </c>
      <c r="J33" s="82"/>
      <c r="K33" s="87"/>
      <c r="L33" s="87">
        <v>3.8683999999999998E-5</v>
      </c>
      <c r="M33" s="5"/>
      <c r="N33" s="5"/>
      <c r="O33" s="5"/>
    </row>
    <row r="34" spans="1:15" ht="13.5" thickBot="1" x14ac:dyDescent="0.25">
      <c r="E34" s="81">
        <v>260</v>
      </c>
      <c r="F34" s="82">
        <v>29</v>
      </c>
      <c r="G34" s="82"/>
      <c r="H34" s="82"/>
      <c r="I34" s="86">
        <v>0.6421</v>
      </c>
      <c r="J34" s="82"/>
      <c r="K34" s="87"/>
      <c r="L34" s="87">
        <v>4.2561999999999997E-5</v>
      </c>
      <c r="M34" s="5"/>
      <c r="N34" s="5"/>
      <c r="O34" s="5"/>
    </row>
    <row r="35" spans="1:15" x14ac:dyDescent="0.2">
      <c r="A35" s="6" t="s">
        <v>54</v>
      </c>
      <c r="E35" s="81">
        <v>280</v>
      </c>
      <c r="F35" s="82">
        <v>30</v>
      </c>
      <c r="G35" s="82"/>
      <c r="H35" s="82"/>
      <c r="I35" s="86">
        <v>0.61880000000000002</v>
      </c>
      <c r="J35" s="82"/>
      <c r="K35" s="87"/>
      <c r="L35" s="87">
        <v>4.5325999999999999E-5</v>
      </c>
      <c r="M35" s="5"/>
      <c r="N35" s="5"/>
      <c r="O35" s="5"/>
    </row>
    <row r="36" spans="1:15" ht="13.5" thickBot="1" x14ac:dyDescent="0.25">
      <c r="A36" s="7">
        <v>5</v>
      </c>
      <c r="E36" s="81">
        <v>300</v>
      </c>
      <c r="F36" s="82">
        <v>31</v>
      </c>
      <c r="G36" s="82"/>
      <c r="H36" s="82"/>
      <c r="I36" s="86">
        <v>0.60719999999999996</v>
      </c>
      <c r="J36" s="82"/>
      <c r="K36" s="87"/>
      <c r="L36" s="87">
        <v>4.8090000000000002E-5</v>
      </c>
      <c r="M36" s="5"/>
      <c r="N36" s="5"/>
      <c r="O36" s="5"/>
    </row>
    <row r="37" spans="1:15" ht="13.5" thickBot="1" x14ac:dyDescent="0.25">
      <c r="I37" s="2"/>
      <c r="J37" s="5"/>
      <c r="K37" s="5"/>
      <c r="L37" s="5"/>
      <c r="M37" s="5"/>
    </row>
    <row r="38" spans="1:15" ht="13.5" thickBot="1" x14ac:dyDescent="0.25">
      <c r="A38" s="6" t="s">
        <v>49</v>
      </c>
      <c r="J38" s="5"/>
      <c r="K38" s="5"/>
      <c r="L38" s="5"/>
      <c r="M38" s="5"/>
    </row>
    <row r="39" spans="1:15" ht="16.5" thickBot="1" x14ac:dyDescent="0.3">
      <c r="A39" s="7">
        <f>VLOOKUP(A36,Stoffælles,1+A30)</f>
        <v>1.1880999999999999</v>
      </c>
      <c r="E39" s="215" t="s">
        <v>33</v>
      </c>
      <c r="F39" s="216"/>
      <c r="G39" s="217"/>
      <c r="J39" s="5"/>
      <c r="K39" s="5"/>
      <c r="L39" s="5"/>
      <c r="M39" s="5"/>
    </row>
    <row r="40" spans="1:15" ht="16.5" thickBot="1" x14ac:dyDescent="0.3">
      <c r="D40" s="5"/>
      <c r="E40" s="21"/>
      <c r="F40" s="22"/>
      <c r="G40" s="23"/>
      <c r="H40" s="78"/>
      <c r="I40" s="5"/>
      <c r="J40" s="5"/>
      <c r="K40" s="5"/>
      <c r="L40" s="5"/>
      <c r="M40" s="5"/>
    </row>
    <row r="41" spans="1:15" x14ac:dyDescent="0.2">
      <c r="A41" s="6" t="s">
        <v>50</v>
      </c>
      <c r="D41" s="5"/>
      <c r="E41" s="24" t="s">
        <v>42</v>
      </c>
      <c r="F41" s="25" t="s">
        <v>22</v>
      </c>
      <c r="G41" s="26" t="s">
        <v>43</v>
      </c>
      <c r="H41" s="79"/>
      <c r="I41" s="5"/>
      <c r="J41" s="5"/>
      <c r="K41" s="5"/>
      <c r="L41" s="5"/>
      <c r="M41" s="5"/>
    </row>
    <row r="42" spans="1:15" ht="13.5" thickBot="1" x14ac:dyDescent="0.25">
      <c r="A42" s="7">
        <f>VLOOKUP(A36,Stoffælles,4+A30)</f>
        <v>1.5130000000000001E-5</v>
      </c>
      <c r="D42" s="5"/>
      <c r="E42" s="27"/>
      <c r="F42" s="28" t="s">
        <v>24</v>
      </c>
      <c r="G42" s="29" t="s">
        <v>24</v>
      </c>
      <c r="H42" s="5"/>
      <c r="I42" s="5"/>
      <c r="J42" s="5"/>
      <c r="K42" s="5"/>
      <c r="L42" s="5"/>
      <c r="M42" s="5"/>
    </row>
    <row r="43" spans="1:15" ht="13.5" thickBot="1" x14ac:dyDescent="0.25">
      <c r="D43" s="5"/>
      <c r="E43" s="27" t="s">
        <v>44</v>
      </c>
      <c r="F43" s="30">
        <v>1</v>
      </c>
      <c r="G43" s="31">
        <f>2.77777777777777E-07/(A39/1000)</f>
        <v>2.337999981295994E-4</v>
      </c>
      <c r="H43" s="67"/>
      <c r="I43" s="5"/>
      <c r="J43" s="5"/>
      <c r="K43" s="5"/>
      <c r="L43" s="5"/>
      <c r="M43" s="5"/>
    </row>
    <row r="44" spans="1:15" x14ac:dyDescent="0.2">
      <c r="A44" s="6" t="s">
        <v>52</v>
      </c>
      <c r="D44" s="5"/>
      <c r="E44" s="27" t="s">
        <v>45</v>
      </c>
      <c r="F44" s="30">
        <v>2</v>
      </c>
      <c r="G44" s="31">
        <v>1E-3</v>
      </c>
      <c r="H44" s="77"/>
      <c r="I44" s="5"/>
      <c r="J44" s="5"/>
      <c r="K44" s="5"/>
      <c r="L44" s="5"/>
      <c r="M44" s="5"/>
    </row>
    <row r="45" spans="1:15" ht="13.5" thickBot="1" x14ac:dyDescent="0.25">
      <c r="A45" s="7">
        <f>VLOOKUP(A33,Tabel1,2)</f>
        <v>0.15</v>
      </c>
      <c r="D45" s="5"/>
      <c r="E45" s="27" t="s">
        <v>46</v>
      </c>
      <c r="F45" s="30">
        <v>3</v>
      </c>
      <c r="G45" s="32">
        <v>2.7777777777777702E-7</v>
      </c>
      <c r="H45" s="77"/>
      <c r="I45" s="5"/>
      <c r="J45" s="5"/>
      <c r="K45" s="5"/>
      <c r="L45" s="5"/>
      <c r="M45" s="5"/>
    </row>
    <row r="46" spans="1:15" ht="13.5" thickBot="1" x14ac:dyDescent="0.25">
      <c r="D46" s="5"/>
      <c r="E46" s="27" t="s">
        <v>47</v>
      </c>
      <c r="F46" s="30">
        <v>4</v>
      </c>
      <c r="G46" s="31">
        <v>2.7777777777777702E-4</v>
      </c>
      <c r="H46" s="77"/>
      <c r="I46" s="5"/>
      <c r="J46" s="5"/>
      <c r="K46" s="5"/>
      <c r="L46" s="5"/>
      <c r="M46" s="5"/>
    </row>
    <row r="47" spans="1:15" ht="13.5" thickBot="1" x14ac:dyDescent="0.25">
      <c r="A47" s="6" t="s">
        <v>53</v>
      </c>
      <c r="D47" s="5"/>
      <c r="E47" s="33" t="s">
        <v>48</v>
      </c>
      <c r="F47" s="34">
        <v>5</v>
      </c>
      <c r="G47" s="35">
        <v>1</v>
      </c>
      <c r="H47" s="77"/>
      <c r="I47" s="5"/>
    </row>
    <row r="48" spans="1:15" ht="13.5" thickBot="1" x14ac:dyDescent="0.25">
      <c r="A48" s="7">
        <v>4</v>
      </c>
      <c r="D48" s="5"/>
      <c r="E48" s="5"/>
      <c r="F48" s="5"/>
      <c r="G48" s="76"/>
      <c r="H48" s="77"/>
      <c r="I48" s="5"/>
    </row>
    <row r="49" spans="1:46" ht="13.5" thickBot="1" x14ac:dyDescent="0.25">
      <c r="D49" s="5"/>
      <c r="E49" s="5"/>
      <c r="F49" s="5"/>
      <c r="G49" s="76"/>
      <c r="H49" s="77"/>
      <c r="I49" s="5"/>
    </row>
    <row r="50" spans="1:46" ht="15.75" x14ac:dyDescent="0.25">
      <c r="A50" s="6" t="s">
        <v>58</v>
      </c>
      <c r="D50" s="5"/>
      <c r="E50" s="211" t="s">
        <v>51</v>
      </c>
      <c r="F50" s="212"/>
      <c r="G50" s="212"/>
      <c r="H50" s="116"/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  <c r="W50" s="117"/>
      <c r="X50" s="117"/>
      <c r="Y50" s="117"/>
      <c r="Z50" s="117"/>
      <c r="AA50" s="117"/>
      <c r="AB50" s="117"/>
      <c r="AC50" s="117"/>
      <c r="AD50" s="117"/>
      <c r="AE50" s="117"/>
      <c r="AF50" s="117"/>
      <c r="AG50" s="117"/>
      <c r="AH50" s="117"/>
      <c r="AI50" s="117"/>
      <c r="AJ50" s="117"/>
      <c r="AK50" s="117"/>
      <c r="AL50" s="117"/>
      <c r="AM50" s="117"/>
      <c r="AN50" s="117"/>
      <c r="AO50" s="117"/>
      <c r="AP50" s="117"/>
      <c r="AQ50" s="117"/>
      <c r="AR50" s="117"/>
      <c r="AS50" s="117"/>
      <c r="AT50" s="118"/>
    </row>
    <row r="51" spans="1:46" ht="13.5" thickBot="1" x14ac:dyDescent="0.25">
      <c r="A51" s="7">
        <f>VLOOKUP(A48,tabel4,2)</f>
        <v>2.7777777777777702E-4</v>
      </c>
      <c r="D51" s="5"/>
      <c r="E51" s="213" t="s">
        <v>96</v>
      </c>
      <c r="F51" s="214"/>
      <c r="G51" s="214"/>
      <c r="H51" s="97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  <c r="AK51" s="98"/>
      <c r="AL51" s="98"/>
      <c r="AM51" s="98"/>
      <c r="AN51" s="98"/>
      <c r="AO51" s="98"/>
      <c r="AP51" s="98"/>
      <c r="AQ51" s="98"/>
      <c r="AR51" s="98"/>
      <c r="AS51" s="98"/>
      <c r="AT51" s="102"/>
    </row>
    <row r="52" spans="1:46" ht="13.5" thickBot="1" x14ac:dyDescent="0.25">
      <c r="D52" s="5"/>
      <c r="E52" s="100"/>
      <c r="F52" s="101"/>
      <c r="G52" s="101"/>
      <c r="H52" s="119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1"/>
      <c r="AL52" s="101"/>
      <c r="AM52" s="101"/>
      <c r="AN52" s="101"/>
      <c r="AO52" s="101"/>
      <c r="AP52" s="101"/>
      <c r="AQ52" s="101"/>
      <c r="AR52" s="101"/>
      <c r="AS52" s="101"/>
      <c r="AT52" s="120"/>
    </row>
    <row r="53" spans="1:46" x14ac:dyDescent="0.2">
      <c r="A53" s="6" t="s">
        <v>57</v>
      </c>
      <c r="D53" s="5"/>
      <c r="E53" s="109" t="s">
        <v>21</v>
      </c>
      <c r="F53" s="110" t="s">
        <v>22</v>
      </c>
      <c r="G53" s="113" t="s">
        <v>148</v>
      </c>
      <c r="H53" s="114" t="s">
        <v>98</v>
      </c>
      <c r="I53" s="113" t="s">
        <v>149</v>
      </c>
      <c r="J53" s="114" t="s">
        <v>99</v>
      </c>
      <c r="K53" s="113" t="s">
        <v>150</v>
      </c>
      <c r="L53" s="114" t="s">
        <v>100</v>
      </c>
      <c r="M53" s="113" t="s">
        <v>151</v>
      </c>
      <c r="N53" s="114" t="s">
        <v>101</v>
      </c>
      <c r="O53" s="113" t="s">
        <v>152</v>
      </c>
      <c r="P53" s="114" t="s">
        <v>102</v>
      </c>
      <c r="Q53" s="113" t="s">
        <v>153</v>
      </c>
      <c r="R53" s="114" t="s">
        <v>103</v>
      </c>
      <c r="S53" s="113" t="s">
        <v>154</v>
      </c>
      <c r="T53" s="114" t="s">
        <v>104</v>
      </c>
      <c r="U53" s="113" t="s">
        <v>155</v>
      </c>
      <c r="V53" s="114" t="s">
        <v>105</v>
      </c>
      <c r="W53" s="113" t="s">
        <v>156</v>
      </c>
      <c r="X53" s="114" t="s">
        <v>106</v>
      </c>
      <c r="Y53" s="113" t="s">
        <v>157</v>
      </c>
      <c r="Z53" s="114" t="s">
        <v>107</v>
      </c>
      <c r="AA53" s="113" t="s">
        <v>158</v>
      </c>
      <c r="AB53" s="114" t="s">
        <v>108</v>
      </c>
      <c r="AC53" s="113" t="s">
        <v>159</v>
      </c>
      <c r="AD53" s="114" t="s">
        <v>109</v>
      </c>
      <c r="AE53" s="113" t="s">
        <v>160</v>
      </c>
      <c r="AF53" s="114" t="s">
        <v>110</v>
      </c>
      <c r="AG53" s="113" t="s">
        <v>161</v>
      </c>
      <c r="AH53" s="114" t="s">
        <v>111</v>
      </c>
      <c r="AI53" s="113" t="s">
        <v>162</v>
      </c>
      <c r="AJ53" s="114" t="s">
        <v>112</v>
      </c>
      <c r="AK53" s="113" t="s">
        <v>163</v>
      </c>
      <c r="AL53" s="114" t="s">
        <v>113</v>
      </c>
      <c r="AM53" s="113" t="s">
        <v>164</v>
      </c>
      <c r="AN53" s="114" t="s">
        <v>114</v>
      </c>
      <c r="AO53" s="113" t="s">
        <v>165</v>
      </c>
      <c r="AP53" s="114" t="s">
        <v>115</v>
      </c>
      <c r="AQ53" s="113" t="s">
        <v>166</v>
      </c>
      <c r="AR53" s="114" t="s">
        <v>116</v>
      </c>
      <c r="AS53" s="113" t="s">
        <v>167</v>
      </c>
      <c r="AT53" s="115" t="s">
        <v>117</v>
      </c>
    </row>
    <row r="54" spans="1:46" ht="13.5" thickBot="1" x14ac:dyDescent="0.25">
      <c r="A54" s="8">
        <f>Beregning!C19*Tabeller!A51</f>
        <v>0</v>
      </c>
      <c r="D54" s="5"/>
      <c r="E54" s="96"/>
      <c r="F54" s="105" t="s">
        <v>24</v>
      </c>
      <c r="G54" s="105"/>
      <c r="H54" s="111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08"/>
    </row>
    <row r="55" spans="1:46" ht="13.5" thickBot="1" x14ac:dyDescent="0.25">
      <c r="A55" s="8">
        <f>Beregning!C20*Tabeller!A51</f>
        <v>0</v>
      </c>
      <c r="D55" s="5"/>
      <c r="E55" s="103" t="s">
        <v>222</v>
      </c>
      <c r="F55" s="104">
        <v>1</v>
      </c>
      <c r="G55" s="130" t="s">
        <v>123</v>
      </c>
      <c r="H55" s="121">
        <v>63</v>
      </c>
      <c r="I55" s="130" t="s">
        <v>124</v>
      </c>
      <c r="J55" s="121">
        <v>80</v>
      </c>
      <c r="K55" s="130" t="s">
        <v>125</v>
      </c>
      <c r="L55" s="121">
        <v>100</v>
      </c>
      <c r="M55" s="130" t="s">
        <v>126</v>
      </c>
      <c r="N55" s="121">
        <v>125</v>
      </c>
      <c r="O55" s="130" t="s">
        <v>127</v>
      </c>
      <c r="P55" s="121">
        <v>160</v>
      </c>
      <c r="Q55" s="130" t="s">
        <v>128</v>
      </c>
      <c r="R55" s="121">
        <v>200</v>
      </c>
      <c r="S55" s="130" t="s">
        <v>129</v>
      </c>
      <c r="T55" s="121">
        <v>250</v>
      </c>
      <c r="U55" s="121" t="s">
        <v>130</v>
      </c>
      <c r="V55" s="121">
        <v>315</v>
      </c>
      <c r="W55" s="121" t="s">
        <v>131</v>
      </c>
      <c r="X55" s="121">
        <v>400</v>
      </c>
      <c r="Y55" s="121" t="s">
        <v>132</v>
      </c>
      <c r="Z55" s="121">
        <v>450</v>
      </c>
      <c r="AA55" s="121" t="s">
        <v>133</v>
      </c>
      <c r="AB55" s="121">
        <v>500</v>
      </c>
      <c r="AC55" s="121" t="s">
        <v>134</v>
      </c>
      <c r="AD55" s="121">
        <v>560</v>
      </c>
      <c r="AE55" s="121" t="s">
        <v>135</v>
      </c>
      <c r="AF55" s="121">
        <v>630</v>
      </c>
      <c r="AG55" s="121" t="s">
        <v>136</v>
      </c>
      <c r="AH55" s="121">
        <v>710</v>
      </c>
      <c r="AI55" s="121" t="s">
        <v>137</v>
      </c>
      <c r="AJ55" s="121">
        <v>800</v>
      </c>
      <c r="AK55" s="121" t="s">
        <v>138</v>
      </c>
      <c r="AL55" s="121">
        <v>900</v>
      </c>
      <c r="AM55" s="121" t="s">
        <v>139</v>
      </c>
      <c r="AN55" s="121">
        <v>1000</v>
      </c>
      <c r="AO55" s="121" t="s">
        <v>140</v>
      </c>
      <c r="AP55" s="121">
        <v>1250</v>
      </c>
      <c r="AQ55" s="121" t="s">
        <v>141</v>
      </c>
      <c r="AR55" s="121">
        <v>1400</v>
      </c>
      <c r="AS55" s="121" t="s">
        <v>145</v>
      </c>
      <c r="AT55" s="122">
        <v>1500</v>
      </c>
    </row>
    <row r="56" spans="1:46" ht="13.5" thickBot="1" x14ac:dyDescent="0.25">
      <c r="A56" s="8">
        <f>Beregning!C21*Tabeller!A51</f>
        <v>0</v>
      </c>
      <c r="D56" s="5"/>
      <c r="E56" s="95" t="s">
        <v>26</v>
      </c>
      <c r="F56" s="106">
        <v>2</v>
      </c>
      <c r="G56" s="131" t="s">
        <v>147</v>
      </c>
      <c r="H56" s="126" t="s">
        <v>147</v>
      </c>
      <c r="I56" s="131" t="s">
        <v>147</v>
      </c>
      <c r="J56" s="126" t="s">
        <v>147</v>
      </c>
      <c r="K56" s="131" t="s">
        <v>147</v>
      </c>
      <c r="L56" s="126" t="s">
        <v>147</v>
      </c>
      <c r="M56" s="131" t="s">
        <v>147</v>
      </c>
      <c r="N56" s="126" t="s">
        <v>147</v>
      </c>
      <c r="O56" s="131" t="s">
        <v>147</v>
      </c>
      <c r="P56" s="126" t="s">
        <v>147</v>
      </c>
      <c r="Q56" s="131" t="s">
        <v>147</v>
      </c>
      <c r="R56" s="126" t="s">
        <v>147</v>
      </c>
      <c r="S56" s="131" t="s">
        <v>147</v>
      </c>
      <c r="T56" s="126" t="s">
        <v>147</v>
      </c>
      <c r="U56" s="126" t="s">
        <v>147</v>
      </c>
      <c r="V56" s="126" t="s">
        <v>147</v>
      </c>
      <c r="W56" s="126" t="s">
        <v>147</v>
      </c>
      <c r="X56" s="126" t="s">
        <v>147</v>
      </c>
      <c r="Y56" s="126" t="s">
        <v>147</v>
      </c>
      <c r="Z56" s="126" t="s">
        <v>147</v>
      </c>
      <c r="AA56" s="126" t="s">
        <v>147</v>
      </c>
      <c r="AB56" s="126" t="s">
        <v>147</v>
      </c>
      <c r="AC56" s="126" t="s">
        <v>147</v>
      </c>
      <c r="AD56" s="126" t="s">
        <v>147</v>
      </c>
      <c r="AE56" s="126" t="s">
        <v>147</v>
      </c>
      <c r="AF56" s="126" t="s">
        <v>147</v>
      </c>
      <c r="AG56" s="126" t="s">
        <v>147</v>
      </c>
      <c r="AH56" s="126" t="s">
        <v>147</v>
      </c>
      <c r="AI56" s="126" t="s">
        <v>147</v>
      </c>
      <c r="AJ56" s="126" t="s">
        <v>147</v>
      </c>
      <c r="AK56" s="126" t="s">
        <v>147</v>
      </c>
      <c r="AL56" s="126" t="s">
        <v>147</v>
      </c>
      <c r="AM56" s="126" t="s">
        <v>147</v>
      </c>
      <c r="AN56" s="126" t="s">
        <v>147</v>
      </c>
      <c r="AO56" s="126" t="s">
        <v>147</v>
      </c>
      <c r="AP56" s="126" t="s">
        <v>147</v>
      </c>
      <c r="AQ56" s="126" t="s">
        <v>147</v>
      </c>
      <c r="AR56" s="126" t="s">
        <v>147</v>
      </c>
      <c r="AS56" s="126" t="s">
        <v>147</v>
      </c>
      <c r="AT56" s="127" t="s">
        <v>147</v>
      </c>
    </row>
    <row r="57" spans="1:46" ht="13.5" thickBot="1" x14ac:dyDescent="0.25">
      <c r="A57" s="8">
        <f>Beregning!C22*Tabeller!A51</f>
        <v>0</v>
      </c>
      <c r="D57" s="5"/>
      <c r="E57" s="95" t="s">
        <v>146</v>
      </c>
      <c r="F57" s="106">
        <v>3</v>
      </c>
      <c r="G57" s="132">
        <v>6</v>
      </c>
      <c r="H57" s="124">
        <v>6.2</v>
      </c>
      <c r="I57" s="132">
        <v>8</v>
      </c>
      <c r="J57" s="124">
        <v>8.9</v>
      </c>
      <c r="K57" s="132">
        <v>10</v>
      </c>
      <c r="L57" s="124">
        <v>12.4</v>
      </c>
      <c r="M57" s="132">
        <v>15</v>
      </c>
      <c r="N57" s="124">
        <v>16</v>
      </c>
      <c r="O57" s="132">
        <v>20</v>
      </c>
      <c r="P57" s="124">
        <v>21.7</v>
      </c>
      <c r="Q57" s="132">
        <v>25</v>
      </c>
      <c r="R57" s="124">
        <v>27.2</v>
      </c>
      <c r="S57" s="132">
        <v>32</v>
      </c>
      <c r="T57" s="124">
        <v>36</v>
      </c>
      <c r="U57" s="124">
        <v>40</v>
      </c>
      <c r="V57" s="124">
        <v>42</v>
      </c>
      <c r="W57" s="124">
        <v>50</v>
      </c>
      <c r="X57" s="124">
        <v>53</v>
      </c>
      <c r="Y57" s="124">
        <v>65</v>
      </c>
      <c r="Z57" s="124">
        <v>69</v>
      </c>
      <c r="AA57" s="124">
        <v>80</v>
      </c>
      <c r="AB57" s="124">
        <v>81</v>
      </c>
      <c r="AC57" s="124">
        <v>100</v>
      </c>
      <c r="AD57" s="124">
        <v>105</v>
      </c>
      <c r="AE57" s="124">
        <v>125</v>
      </c>
      <c r="AF57" s="124">
        <v>130</v>
      </c>
      <c r="AG57" s="124">
        <v>150</v>
      </c>
      <c r="AH57" s="124">
        <v>155</v>
      </c>
      <c r="AI57" s="128" t="s">
        <v>147</v>
      </c>
      <c r="AJ57" s="128" t="s">
        <v>147</v>
      </c>
      <c r="AK57" s="128" t="s">
        <v>147</v>
      </c>
      <c r="AL57" s="128" t="s">
        <v>147</v>
      </c>
      <c r="AM57" s="128" t="s">
        <v>147</v>
      </c>
      <c r="AN57" s="128" t="s">
        <v>147</v>
      </c>
      <c r="AO57" s="128" t="s">
        <v>147</v>
      </c>
      <c r="AP57" s="128" t="s">
        <v>147</v>
      </c>
      <c r="AQ57" s="128" t="s">
        <v>147</v>
      </c>
      <c r="AR57" s="128" t="s">
        <v>147</v>
      </c>
      <c r="AS57" s="128" t="s">
        <v>147</v>
      </c>
      <c r="AT57" s="129" t="s">
        <v>147</v>
      </c>
    </row>
    <row r="58" spans="1:46" ht="13.5" thickBot="1" x14ac:dyDescent="0.25">
      <c r="D58" s="5"/>
      <c r="E58" s="95" t="s">
        <v>63</v>
      </c>
      <c r="F58" s="106">
        <v>4</v>
      </c>
      <c r="G58" s="132" t="s">
        <v>168</v>
      </c>
      <c r="H58" s="124">
        <v>4.4000000000000004</v>
      </c>
      <c r="I58" s="132" t="s">
        <v>169</v>
      </c>
      <c r="J58" s="124">
        <v>6.4</v>
      </c>
      <c r="K58" s="132" t="s">
        <v>170</v>
      </c>
      <c r="L58" s="124">
        <v>8.4</v>
      </c>
      <c r="M58" s="132" t="s">
        <v>171</v>
      </c>
      <c r="N58" s="124">
        <v>10</v>
      </c>
      <c r="O58" s="132" t="s">
        <v>172</v>
      </c>
      <c r="P58" s="124">
        <v>13</v>
      </c>
      <c r="Q58" s="132" t="s">
        <v>173</v>
      </c>
      <c r="R58" s="124">
        <v>16</v>
      </c>
      <c r="S58" s="132" t="s">
        <v>174</v>
      </c>
      <c r="T58" s="124">
        <v>20</v>
      </c>
      <c r="U58" s="124" t="s">
        <v>175</v>
      </c>
      <c r="V58" s="124">
        <v>25.6</v>
      </c>
      <c r="W58" s="124" t="s">
        <v>176</v>
      </c>
      <c r="X58" s="124">
        <v>32</v>
      </c>
      <c r="Y58" s="124" t="s">
        <v>177</v>
      </c>
      <c r="Z58" s="124">
        <v>39</v>
      </c>
      <c r="AA58" s="124" t="s">
        <v>178</v>
      </c>
      <c r="AB58" s="124">
        <v>51</v>
      </c>
      <c r="AC58" s="128" t="s">
        <v>147</v>
      </c>
      <c r="AD58" s="128" t="s">
        <v>147</v>
      </c>
      <c r="AE58" s="128" t="s">
        <v>147</v>
      </c>
      <c r="AF58" s="128" t="s">
        <v>147</v>
      </c>
      <c r="AG58" s="128" t="s">
        <v>147</v>
      </c>
      <c r="AH58" s="128" t="s">
        <v>147</v>
      </c>
      <c r="AI58" s="128" t="s">
        <v>147</v>
      </c>
      <c r="AJ58" s="128" t="s">
        <v>147</v>
      </c>
      <c r="AK58" s="128" t="s">
        <v>147</v>
      </c>
      <c r="AL58" s="128" t="s">
        <v>147</v>
      </c>
      <c r="AM58" s="128" t="s">
        <v>147</v>
      </c>
      <c r="AN58" s="128" t="s">
        <v>147</v>
      </c>
      <c r="AO58" s="128" t="s">
        <v>147</v>
      </c>
      <c r="AP58" s="128" t="s">
        <v>147</v>
      </c>
      <c r="AQ58" s="128" t="s">
        <v>147</v>
      </c>
      <c r="AR58" s="128" t="s">
        <v>147</v>
      </c>
      <c r="AS58" s="128" t="s">
        <v>147</v>
      </c>
      <c r="AT58" s="129" t="s">
        <v>147</v>
      </c>
    </row>
    <row r="59" spans="1:46" x14ac:dyDescent="0.2">
      <c r="A59" s="6" t="s">
        <v>59</v>
      </c>
      <c r="D59" s="5"/>
      <c r="E59" s="95" t="s">
        <v>27</v>
      </c>
      <c r="F59" s="106">
        <v>5</v>
      </c>
      <c r="G59" s="132">
        <v>50</v>
      </c>
      <c r="H59" s="124">
        <v>50</v>
      </c>
      <c r="I59" s="132">
        <v>65</v>
      </c>
      <c r="J59" s="124">
        <v>65</v>
      </c>
      <c r="K59" s="132">
        <v>80</v>
      </c>
      <c r="L59" s="124">
        <v>80</v>
      </c>
      <c r="M59" s="132">
        <v>100</v>
      </c>
      <c r="N59" s="124">
        <v>100</v>
      </c>
      <c r="O59" s="132">
        <v>125</v>
      </c>
      <c r="P59" s="124">
        <v>125</v>
      </c>
      <c r="Q59" s="132">
        <v>150</v>
      </c>
      <c r="R59" s="124">
        <v>150</v>
      </c>
      <c r="S59" s="132">
        <v>200</v>
      </c>
      <c r="T59" s="124">
        <v>200</v>
      </c>
      <c r="U59" s="124">
        <v>250</v>
      </c>
      <c r="V59" s="124">
        <v>250</v>
      </c>
      <c r="W59" s="124">
        <v>300</v>
      </c>
      <c r="X59" s="124">
        <v>300</v>
      </c>
      <c r="Y59" s="124">
        <v>350</v>
      </c>
      <c r="Z59" s="124">
        <v>350</v>
      </c>
      <c r="AA59" s="124">
        <v>400</v>
      </c>
      <c r="AB59" s="124">
        <v>400</v>
      </c>
      <c r="AC59" s="124">
        <v>450</v>
      </c>
      <c r="AD59" s="124">
        <v>450</v>
      </c>
      <c r="AE59" s="124">
        <v>500</v>
      </c>
      <c r="AF59" s="124">
        <v>500</v>
      </c>
      <c r="AG59" s="124">
        <v>600</v>
      </c>
      <c r="AH59" s="124">
        <v>600</v>
      </c>
      <c r="AI59" s="124">
        <v>700</v>
      </c>
      <c r="AJ59" s="124">
        <v>700</v>
      </c>
      <c r="AK59" s="124">
        <v>800</v>
      </c>
      <c r="AL59" s="124">
        <v>800</v>
      </c>
      <c r="AM59" s="124">
        <v>900</v>
      </c>
      <c r="AN59" s="124">
        <v>1000</v>
      </c>
      <c r="AO59" s="124">
        <v>1000</v>
      </c>
      <c r="AP59" s="128" t="s">
        <v>147</v>
      </c>
      <c r="AQ59" s="128" t="s">
        <v>147</v>
      </c>
      <c r="AR59" s="128" t="s">
        <v>147</v>
      </c>
      <c r="AS59" s="128" t="s">
        <v>147</v>
      </c>
      <c r="AT59" s="129" t="s">
        <v>147</v>
      </c>
    </row>
    <row r="60" spans="1:46" ht="13.5" thickBot="1" x14ac:dyDescent="0.25">
      <c r="A60" s="7">
        <f>PI()*(Beregning!C27/2000)^2</f>
        <v>0.12566370614359174</v>
      </c>
      <c r="D60" s="5"/>
      <c r="E60" s="95" t="s">
        <v>64</v>
      </c>
      <c r="F60" s="106">
        <v>6</v>
      </c>
      <c r="G60" s="132" t="s">
        <v>168</v>
      </c>
      <c r="H60" s="124">
        <v>4.4000000000000004</v>
      </c>
      <c r="I60" s="132" t="s">
        <v>169</v>
      </c>
      <c r="J60" s="124">
        <v>6.4</v>
      </c>
      <c r="K60" s="132" t="s">
        <v>170</v>
      </c>
      <c r="L60" s="124">
        <v>8.4</v>
      </c>
      <c r="M60" s="132" t="s">
        <v>171</v>
      </c>
      <c r="N60" s="124">
        <v>10</v>
      </c>
      <c r="O60" s="132" t="s">
        <v>172</v>
      </c>
      <c r="P60" s="124">
        <v>13</v>
      </c>
      <c r="Q60" s="132" t="s">
        <v>173</v>
      </c>
      <c r="R60" s="124">
        <v>16</v>
      </c>
      <c r="S60" s="132" t="s">
        <v>174</v>
      </c>
      <c r="T60" s="124">
        <v>20</v>
      </c>
      <c r="U60" s="124" t="s">
        <v>175</v>
      </c>
      <c r="V60" s="124">
        <v>25.6</v>
      </c>
      <c r="W60" s="124" t="s">
        <v>176</v>
      </c>
      <c r="X60" s="124">
        <v>32</v>
      </c>
      <c r="Y60" s="124" t="s">
        <v>177</v>
      </c>
      <c r="Z60" s="124">
        <v>39</v>
      </c>
      <c r="AA60" s="124" t="s">
        <v>178</v>
      </c>
      <c r="AB60" s="124">
        <v>51</v>
      </c>
      <c r="AC60" s="128" t="s">
        <v>147</v>
      </c>
      <c r="AD60" s="128" t="s">
        <v>147</v>
      </c>
      <c r="AE60" s="128" t="s">
        <v>147</v>
      </c>
      <c r="AF60" s="128" t="s">
        <v>147</v>
      </c>
      <c r="AG60" s="128" t="s">
        <v>147</v>
      </c>
      <c r="AH60" s="128" t="s">
        <v>147</v>
      </c>
      <c r="AI60" s="128" t="s">
        <v>147</v>
      </c>
      <c r="AJ60" s="128" t="s">
        <v>147</v>
      </c>
      <c r="AK60" s="128" t="s">
        <v>147</v>
      </c>
      <c r="AL60" s="128" t="s">
        <v>147</v>
      </c>
      <c r="AM60" s="128" t="s">
        <v>147</v>
      </c>
      <c r="AN60" s="128" t="s">
        <v>147</v>
      </c>
      <c r="AO60" s="128" t="s">
        <v>147</v>
      </c>
      <c r="AP60" s="128" t="s">
        <v>147</v>
      </c>
      <c r="AQ60" s="128" t="s">
        <v>147</v>
      </c>
      <c r="AR60" s="128" t="s">
        <v>147</v>
      </c>
      <c r="AS60" s="128" t="s">
        <v>147</v>
      </c>
      <c r="AT60" s="129" t="s">
        <v>147</v>
      </c>
    </row>
    <row r="61" spans="1:46" ht="13.5" thickBot="1" x14ac:dyDescent="0.25">
      <c r="D61" s="5"/>
      <c r="E61" s="95" t="s">
        <v>217</v>
      </c>
      <c r="F61" s="106">
        <v>7</v>
      </c>
      <c r="G61" s="132" t="s">
        <v>172</v>
      </c>
      <c r="H61" s="126">
        <v>13</v>
      </c>
      <c r="I61" s="132" t="s">
        <v>173</v>
      </c>
      <c r="J61" s="126">
        <v>16</v>
      </c>
      <c r="K61" s="132" t="s">
        <v>218</v>
      </c>
      <c r="L61" s="126">
        <v>19.600000000000001</v>
      </c>
      <c r="M61" s="132" t="s">
        <v>175</v>
      </c>
      <c r="N61" s="126">
        <v>25.6</v>
      </c>
      <c r="O61" s="132" t="s">
        <v>176</v>
      </c>
      <c r="P61" s="126">
        <v>32</v>
      </c>
      <c r="Q61" s="132" t="s">
        <v>177</v>
      </c>
      <c r="R61" s="126">
        <v>39</v>
      </c>
      <c r="S61" s="132" t="s">
        <v>178</v>
      </c>
      <c r="T61" s="126">
        <v>51</v>
      </c>
      <c r="U61" s="124" t="s">
        <v>219</v>
      </c>
      <c r="V61" s="126">
        <v>72.099999999999994</v>
      </c>
      <c r="W61" s="124" t="s">
        <v>220</v>
      </c>
      <c r="X61" s="126">
        <v>84.9</v>
      </c>
      <c r="Y61" s="124" t="s">
        <v>221</v>
      </c>
      <c r="Z61" s="126">
        <v>104</v>
      </c>
      <c r="AA61" s="126" t="s">
        <v>147</v>
      </c>
      <c r="AB61" s="126" t="s">
        <v>147</v>
      </c>
      <c r="AC61" s="126" t="s">
        <v>147</v>
      </c>
      <c r="AD61" s="126" t="s">
        <v>147</v>
      </c>
      <c r="AE61" s="126" t="s">
        <v>147</v>
      </c>
      <c r="AF61" s="126" t="s">
        <v>147</v>
      </c>
      <c r="AG61" s="126" t="s">
        <v>147</v>
      </c>
      <c r="AH61" s="126" t="s">
        <v>147</v>
      </c>
      <c r="AI61" s="126" t="s">
        <v>147</v>
      </c>
      <c r="AJ61" s="126" t="s">
        <v>147</v>
      </c>
      <c r="AK61" s="126" t="s">
        <v>147</v>
      </c>
      <c r="AL61" s="126" t="s">
        <v>147</v>
      </c>
      <c r="AM61" s="126" t="s">
        <v>147</v>
      </c>
      <c r="AN61" s="126" t="s">
        <v>147</v>
      </c>
      <c r="AO61" s="126" t="s">
        <v>147</v>
      </c>
      <c r="AP61" s="126" t="s">
        <v>147</v>
      </c>
      <c r="AQ61" s="126" t="s">
        <v>147</v>
      </c>
      <c r="AR61" s="126" t="s">
        <v>147</v>
      </c>
      <c r="AS61" s="126" t="s">
        <v>147</v>
      </c>
      <c r="AT61" s="127" t="s">
        <v>147</v>
      </c>
    </row>
    <row r="62" spans="1:46" x14ac:dyDescent="0.2">
      <c r="A62" s="6" t="s">
        <v>60</v>
      </c>
      <c r="D62" s="5"/>
      <c r="E62" s="95" t="s">
        <v>217</v>
      </c>
      <c r="F62" s="106">
        <v>8</v>
      </c>
      <c r="G62" s="132" t="s">
        <v>172</v>
      </c>
      <c r="H62" s="126">
        <v>13</v>
      </c>
      <c r="I62" s="132" t="s">
        <v>173</v>
      </c>
      <c r="J62" s="126">
        <v>16</v>
      </c>
      <c r="K62" s="132" t="s">
        <v>218</v>
      </c>
      <c r="L62" s="126">
        <v>19.600000000000001</v>
      </c>
      <c r="M62" s="132" t="s">
        <v>175</v>
      </c>
      <c r="N62" s="126">
        <v>25.6</v>
      </c>
      <c r="O62" s="132" t="s">
        <v>176</v>
      </c>
      <c r="P62" s="126">
        <v>32</v>
      </c>
      <c r="Q62" s="132" t="s">
        <v>177</v>
      </c>
      <c r="R62" s="126">
        <v>39</v>
      </c>
      <c r="S62" s="132" t="s">
        <v>178</v>
      </c>
      <c r="T62" s="126">
        <v>51</v>
      </c>
      <c r="U62" s="124" t="s">
        <v>219</v>
      </c>
      <c r="V62" s="126">
        <v>72.099999999999994</v>
      </c>
      <c r="W62" s="124" t="s">
        <v>220</v>
      </c>
      <c r="X62" s="126">
        <v>84.9</v>
      </c>
      <c r="Y62" s="124" t="s">
        <v>221</v>
      </c>
      <c r="Z62" s="126">
        <v>104</v>
      </c>
      <c r="AA62" s="126" t="s">
        <v>147</v>
      </c>
      <c r="AB62" s="126" t="s">
        <v>147</v>
      </c>
      <c r="AC62" s="126" t="s">
        <v>147</v>
      </c>
      <c r="AD62" s="126" t="s">
        <v>147</v>
      </c>
      <c r="AE62" s="126" t="s">
        <v>147</v>
      </c>
      <c r="AF62" s="126" t="s">
        <v>147</v>
      </c>
      <c r="AG62" s="126" t="s">
        <v>147</v>
      </c>
      <c r="AH62" s="126" t="s">
        <v>147</v>
      </c>
      <c r="AI62" s="126" t="s">
        <v>147</v>
      </c>
      <c r="AJ62" s="126" t="s">
        <v>147</v>
      </c>
      <c r="AK62" s="126" t="s">
        <v>147</v>
      </c>
      <c r="AL62" s="126" t="s">
        <v>147</v>
      </c>
      <c r="AM62" s="126" t="s">
        <v>147</v>
      </c>
      <c r="AN62" s="126" t="s">
        <v>147</v>
      </c>
      <c r="AO62" s="126" t="s">
        <v>147</v>
      </c>
      <c r="AP62" s="126" t="s">
        <v>147</v>
      </c>
      <c r="AQ62" s="126" t="s">
        <v>147</v>
      </c>
      <c r="AR62" s="126" t="s">
        <v>147</v>
      </c>
      <c r="AS62" s="126" t="s">
        <v>147</v>
      </c>
      <c r="AT62" s="127" t="s">
        <v>147</v>
      </c>
    </row>
    <row r="63" spans="1:46" ht="13.5" thickBot="1" x14ac:dyDescent="0.25">
      <c r="A63" s="7">
        <f>A54/A60</f>
        <v>0</v>
      </c>
      <c r="D63" s="5"/>
      <c r="E63" s="95" t="s">
        <v>118</v>
      </c>
      <c r="F63" s="106">
        <v>9</v>
      </c>
      <c r="G63" s="132">
        <v>80</v>
      </c>
      <c r="H63" s="124">
        <v>86</v>
      </c>
      <c r="I63" s="132">
        <v>100</v>
      </c>
      <c r="J63" s="124">
        <v>105.8</v>
      </c>
      <c r="K63" s="132">
        <v>150</v>
      </c>
      <c r="L63" s="124">
        <v>157.4</v>
      </c>
      <c r="M63" s="132">
        <v>200</v>
      </c>
      <c r="N63" s="124">
        <v>209.2</v>
      </c>
      <c r="O63" s="132">
        <v>250</v>
      </c>
      <c r="P63" s="124">
        <v>260.39999999999998</v>
      </c>
      <c r="Q63" s="132">
        <v>300</v>
      </c>
      <c r="R63" s="124">
        <v>311.8</v>
      </c>
      <c r="S63" s="133" t="s">
        <v>147</v>
      </c>
      <c r="T63" s="128" t="s">
        <v>147</v>
      </c>
      <c r="U63" s="128" t="s">
        <v>147</v>
      </c>
      <c r="V63" s="128" t="s">
        <v>147</v>
      </c>
      <c r="W63" s="128" t="s">
        <v>147</v>
      </c>
      <c r="X63" s="128" t="s">
        <v>147</v>
      </c>
      <c r="Y63" s="128" t="s">
        <v>147</v>
      </c>
      <c r="Z63" s="128" t="s">
        <v>147</v>
      </c>
      <c r="AA63" s="128" t="s">
        <v>147</v>
      </c>
      <c r="AB63" s="128" t="s">
        <v>147</v>
      </c>
      <c r="AC63" s="128" t="s">
        <v>147</v>
      </c>
      <c r="AD63" s="128" t="s">
        <v>147</v>
      </c>
      <c r="AE63" s="128" t="s">
        <v>147</v>
      </c>
      <c r="AF63" s="128" t="s">
        <v>147</v>
      </c>
      <c r="AG63" s="128" t="s">
        <v>147</v>
      </c>
      <c r="AH63" s="128" t="s">
        <v>147</v>
      </c>
      <c r="AI63" s="128" t="s">
        <v>147</v>
      </c>
      <c r="AJ63" s="128" t="s">
        <v>147</v>
      </c>
      <c r="AK63" s="128" t="s">
        <v>147</v>
      </c>
      <c r="AL63" s="128" t="s">
        <v>147</v>
      </c>
      <c r="AM63" s="128" t="s">
        <v>147</v>
      </c>
      <c r="AN63" s="128" t="s">
        <v>147</v>
      </c>
      <c r="AO63" s="128" t="s">
        <v>147</v>
      </c>
      <c r="AP63" s="128" t="s">
        <v>147</v>
      </c>
      <c r="AQ63" s="128" t="s">
        <v>147</v>
      </c>
      <c r="AR63" s="128" t="s">
        <v>147</v>
      </c>
      <c r="AS63" s="128" t="s">
        <v>147</v>
      </c>
      <c r="AT63" s="129" t="s">
        <v>147</v>
      </c>
    </row>
    <row r="64" spans="1:46" ht="13.5" thickBot="1" x14ac:dyDescent="0.25">
      <c r="D64" s="5"/>
      <c r="E64" s="95" t="s">
        <v>196</v>
      </c>
      <c r="F64" s="106">
        <v>10</v>
      </c>
      <c r="G64" s="132">
        <v>6</v>
      </c>
      <c r="H64" s="124">
        <v>6.2</v>
      </c>
      <c r="I64" s="132">
        <v>8</v>
      </c>
      <c r="J64" s="124">
        <v>8.9</v>
      </c>
      <c r="K64" s="132">
        <v>10</v>
      </c>
      <c r="L64" s="124">
        <v>12.4</v>
      </c>
      <c r="M64" s="132">
        <v>15</v>
      </c>
      <c r="N64" s="124">
        <v>16.100000000000001</v>
      </c>
      <c r="O64" s="132">
        <v>20</v>
      </c>
      <c r="P64" s="124">
        <v>21.7</v>
      </c>
      <c r="Q64" s="132">
        <v>25</v>
      </c>
      <c r="R64" s="124">
        <v>27.2</v>
      </c>
      <c r="S64" s="132">
        <v>32</v>
      </c>
      <c r="T64" s="124">
        <v>36</v>
      </c>
      <c r="U64" s="124">
        <v>40</v>
      </c>
      <c r="V64" s="124">
        <v>42</v>
      </c>
      <c r="W64" s="124">
        <v>50</v>
      </c>
      <c r="X64" s="124">
        <v>53</v>
      </c>
      <c r="Y64" s="124">
        <v>65</v>
      </c>
      <c r="Z64" s="124">
        <v>69</v>
      </c>
      <c r="AA64" s="124">
        <v>80</v>
      </c>
      <c r="AB64" s="124">
        <v>81</v>
      </c>
      <c r="AC64" s="124">
        <v>100</v>
      </c>
      <c r="AD64" s="124">
        <v>105</v>
      </c>
      <c r="AE64" s="124">
        <v>125</v>
      </c>
      <c r="AF64" s="124">
        <v>130</v>
      </c>
      <c r="AG64" s="124">
        <v>150</v>
      </c>
      <c r="AH64" s="124">
        <v>155</v>
      </c>
      <c r="AI64" s="128" t="s">
        <v>147</v>
      </c>
      <c r="AJ64" s="128" t="s">
        <v>147</v>
      </c>
      <c r="AK64" s="128" t="s">
        <v>147</v>
      </c>
      <c r="AL64" s="128" t="s">
        <v>147</v>
      </c>
      <c r="AM64" s="128" t="s">
        <v>147</v>
      </c>
      <c r="AN64" s="128" t="s">
        <v>147</v>
      </c>
      <c r="AO64" s="128" t="s">
        <v>147</v>
      </c>
      <c r="AP64" s="128" t="s">
        <v>147</v>
      </c>
      <c r="AQ64" s="128" t="s">
        <v>147</v>
      </c>
      <c r="AR64" s="128" t="s">
        <v>147</v>
      </c>
      <c r="AS64" s="128" t="s">
        <v>147</v>
      </c>
      <c r="AT64" s="129" t="s">
        <v>147</v>
      </c>
    </row>
    <row r="65" spans="1:46" x14ac:dyDescent="0.2">
      <c r="A65" s="6" t="s">
        <v>61</v>
      </c>
      <c r="D65" s="5"/>
      <c r="E65" s="95" t="s">
        <v>195</v>
      </c>
      <c r="F65" s="106">
        <v>11</v>
      </c>
      <c r="G65" s="132" t="s">
        <v>197</v>
      </c>
      <c r="H65" s="124">
        <v>28.5</v>
      </c>
      <c r="I65" s="132" t="s">
        <v>198</v>
      </c>
      <c r="J65" s="124">
        <v>32.799999999999997</v>
      </c>
      <c r="K65" s="132" t="s">
        <v>199</v>
      </c>
      <c r="L65" s="124">
        <v>37.200000000000003</v>
      </c>
      <c r="M65" s="132" t="s">
        <v>200</v>
      </c>
      <c r="N65" s="124">
        <v>43.1</v>
      </c>
      <c r="O65" s="132" t="s">
        <v>201</v>
      </c>
      <c r="P65" s="124">
        <v>54.5</v>
      </c>
      <c r="Q65" s="132" t="s">
        <v>202</v>
      </c>
      <c r="R65" s="124">
        <v>64.2</v>
      </c>
      <c r="S65" s="132" t="s">
        <v>203</v>
      </c>
      <c r="T65" s="124">
        <v>70.3</v>
      </c>
      <c r="U65" s="124" t="s">
        <v>204</v>
      </c>
      <c r="V65" s="124">
        <v>82.5</v>
      </c>
      <c r="W65" s="124" t="s">
        <v>205</v>
      </c>
      <c r="X65" s="124">
        <v>100.8</v>
      </c>
      <c r="Y65" s="124" t="s">
        <v>206</v>
      </c>
      <c r="Z65" s="124">
        <v>107.1</v>
      </c>
      <c r="AA65" s="124" t="s">
        <v>207</v>
      </c>
      <c r="AB65" s="124">
        <v>125</v>
      </c>
      <c r="AC65" s="124" t="s">
        <v>208</v>
      </c>
      <c r="AD65" s="124">
        <v>131.69999999999999</v>
      </c>
      <c r="AE65" s="124" t="s">
        <v>209</v>
      </c>
      <c r="AF65" s="124">
        <v>150</v>
      </c>
      <c r="AG65" s="124" t="s">
        <v>210</v>
      </c>
      <c r="AH65" s="124">
        <v>159.30000000000001</v>
      </c>
      <c r="AI65" s="124" t="s">
        <v>211</v>
      </c>
      <c r="AJ65" s="124">
        <v>182.9</v>
      </c>
      <c r="AK65" s="124" t="s">
        <v>212</v>
      </c>
      <c r="AL65" s="124">
        <v>207.3</v>
      </c>
      <c r="AM65" s="124" t="s">
        <v>213</v>
      </c>
      <c r="AN65" s="124">
        <v>231.9</v>
      </c>
      <c r="AO65" s="124" t="s">
        <v>214</v>
      </c>
      <c r="AP65" s="124">
        <v>260.39999999999998</v>
      </c>
      <c r="AQ65" s="124" t="s">
        <v>215</v>
      </c>
      <c r="AR65" s="124">
        <v>309.7</v>
      </c>
      <c r="AS65" s="124" t="s">
        <v>216</v>
      </c>
      <c r="AT65" s="125">
        <v>339.6</v>
      </c>
    </row>
    <row r="66" spans="1:46" ht="13.5" thickBot="1" x14ac:dyDescent="0.25">
      <c r="A66" s="7">
        <f>(A63*(Beregning!C27/1000))/Tabeller!A42</f>
        <v>0</v>
      </c>
      <c r="D66" s="5"/>
      <c r="E66" s="95" t="s">
        <v>119</v>
      </c>
      <c r="F66" s="106">
        <v>12</v>
      </c>
      <c r="G66" s="132">
        <v>12</v>
      </c>
      <c r="H66" s="124">
        <v>10</v>
      </c>
      <c r="I66" s="132">
        <v>16</v>
      </c>
      <c r="J66" s="124">
        <v>14</v>
      </c>
      <c r="K66" s="132">
        <v>20</v>
      </c>
      <c r="L66" s="124">
        <v>18</v>
      </c>
      <c r="M66" s="132">
        <v>25</v>
      </c>
      <c r="N66" s="124">
        <v>22.6</v>
      </c>
      <c r="O66" s="132">
        <v>32</v>
      </c>
      <c r="P66" s="124">
        <v>28.8</v>
      </c>
      <c r="Q66" s="132">
        <v>40</v>
      </c>
      <c r="R66" s="124">
        <v>36</v>
      </c>
      <c r="S66" s="132">
        <v>50</v>
      </c>
      <c r="T66" s="124">
        <v>45.2</v>
      </c>
      <c r="U66" s="124">
        <v>63</v>
      </c>
      <c r="V66" s="124">
        <v>57</v>
      </c>
      <c r="W66" s="124">
        <v>75</v>
      </c>
      <c r="X66" s="124">
        <v>67.8</v>
      </c>
      <c r="Y66" s="124">
        <v>90</v>
      </c>
      <c r="Z66" s="124">
        <v>81.400000000000006</v>
      </c>
      <c r="AA66" s="124">
        <v>110</v>
      </c>
      <c r="AB66" s="124">
        <v>99.4</v>
      </c>
      <c r="AC66" s="124">
        <v>125</v>
      </c>
      <c r="AD66" s="124">
        <v>113</v>
      </c>
      <c r="AE66" s="124">
        <v>140</v>
      </c>
      <c r="AF66" s="124">
        <v>126.6</v>
      </c>
      <c r="AG66" s="124">
        <v>160</v>
      </c>
      <c r="AH66" s="124">
        <v>144.6</v>
      </c>
      <c r="AI66" s="124">
        <v>180</v>
      </c>
      <c r="AJ66" s="124">
        <v>162.80000000000001</v>
      </c>
      <c r="AK66" s="124">
        <v>200</v>
      </c>
      <c r="AL66" s="126">
        <v>180.8</v>
      </c>
      <c r="AM66" s="128" t="s">
        <v>147</v>
      </c>
      <c r="AN66" s="128" t="s">
        <v>147</v>
      </c>
      <c r="AO66" s="128" t="s">
        <v>147</v>
      </c>
      <c r="AP66" s="128" t="s">
        <v>147</v>
      </c>
      <c r="AQ66" s="128" t="s">
        <v>147</v>
      </c>
      <c r="AR66" s="128" t="s">
        <v>147</v>
      </c>
      <c r="AS66" s="128" t="s">
        <v>147</v>
      </c>
      <c r="AT66" s="129" t="s">
        <v>147</v>
      </c>
    </row>
    <row r="67" spans="1:46" x14ac:dyDescent="0.2">
      <c r="D67" s="5"/>
      <c r="E67" s="95" t="s">
        <v>120</v>
      </c>
      <c r="F67" s="106">
        <v>13</v>
      </c>
      <c r="G67" s="132">
        <v>12</v>
      </c>
      <c r="H67" s="124">
        <v>8.6</v>
      </c>
      <c r="I67" s="132">
        <v>16</v>
      </c>
      <c r="J67" s="124">
        <v>11.6</v>
      </c>
      <c r="K67" s="132">
        <v>20</v>
      </c>
      <c r="L67" s="124">
        <v>14.4</v>
      </c>
      <c r="M67" s="132">
        <v>25</v>
      </c>
      <c r="N67" s="124">
        <v>18.2</v>
      </c>
      <c r="O67" s="132">
        <v>32</v>
      </c>
      <c r="P67" s="124">
        <v>23.2</v>
      </c>
      <c r="Q67" s="132">
        <v>40</v>
      </c>
      <c r="R67" s="124">
        <v>29</v>
      </c>
      <c r="S67" s="132">
        <v>50</v>
      </c>
      <c r="T67" s="124">
        <v>36.4</v>
      </c>
      <c r="U67" s="124">
        <v>63</v>
      </c>
      <c r="V67" s="124">
        <v>45.8</v>
      </c>
      <c r="W67" s="124">
        <v>75</v>
      </c>
      <c r="X67" s="124">
        <v>54.6</v>
      </c>
      <c r="Y67" s="124">
        <v>90</v>
      </c>
      <c r="Z67" s="124">
        <v>65.599999999999994</v>
      </c>
      <c r="AA67" s="124">
        <v>110</v>
      </c>
      <c r="AB67" s="124">
        <v>80.2</v>
      </c>
      <c r="AC67" s="124">
        <v>125</v>
      </c>
      <c r="AD67" s="124">
        <v>91.2</v>
      </c>
      <c r="AE67" s="124">
        <v>140</v>
      </c>
      <c r="AF67" s="124">
        <v>102</v>
      </c>
      <c r="AG67" s="128" t="s">
        <v>147</v>
      </c>
      <c r="AH67" s="128" t="s">
        <v>147</v>
      </c>
      <c r="AI67" s="128" t="s">
        <v>147</v>
      </c>
      <c r="AJ67" s="128" t="s">
        <v>147</v>
      </c>
      <c r="AK67" s="128" t="s">
        <v>147</v>
      </c>
      <c r="AL67" s="128" t="s">
        <v>147</v>
      </c>
      <c r="AM67" s="128" t="s">
        <v>147</v>
      </c>
      <c r="AN67" s="128" t="s">
        <v>147</v>
      </c>
      <c r="AO67" s="128" t="s">
        <v>147</v>
      </c>
      <c r="AP67" s="128" t="s">
        <v>147</v>
      </c>
      <c r="AQ67" s="128" t="s">
        <v>147</v>
      </c>
      <c r="AR67" s="128" t="s">
        <v>147</v>
      </c>
      <c r="AS67" s="128" t="s">
        <v>147</v>
      </c>
      <c r="AT67" s="129" t="s">
        <v>147</v>
      </c>
    </row>
    <row r="68" spans="1:46" x14ac:dyDescent="0.2">
      <c r="D68" s="5"/>
      <c r="E68" s="95" t="s">
        <v>121</v>
      </c>
      <c r="F68" s="106">
        <v>14</v>
      </c>
      <c r="G68" s="132">
        <v>12</v>
      </c>
      <c r="H68" s="124">
        <v>8</v>
      </c>
      <c r="I68" s="132">
        <v>16</v>
      </c>
      <c r="J68" s="124">
        <v>12</v>
      </c>
      <c r="K68" s="132">
        <v>20</v>
      </c>
      <c r="L68" s="124">
        <v>16</v>
      </c>
      <c r="M68" s="132">
        <v>25</v>
      </c>
      <c r="N68" s="124">
        <v>20.399999999999999</v>
      </c>
      <c r="O68" s="132">
        <v>32</v>
      </c>
      <c r="P68" s="124">
        <v>26.2</v>
      </c>
      <c r="Q68" s="132">
        <v>40</v>
      </c>
      <c r="R68" s="124">
        <v>32.6</v>
      </c>
      <c r="S68" s="132">
        <v>50</v>
      </c>
      <c r="T68" s="124">
        <v>40.799999999999997</v>
      </c>
      <c r="U68" s="124">
        <v>63</v>
      </c>
      <c r="V68" s="124">
        <v>51.3</v>
      </c>
      <c r="W68" s="124">
        <v>75</v>
      </c>
      <c r="X68" s="124">
        <v>61.3</v>
      </c>
      <c r="Y68" s="124">
        <v>90</v>
      </c>
      <c r="Z68" s="124">
        <v>73.599999999999994</v>
      </c>
      <c r="AA68" s="124">
        <v>110</v>
      </c>
      <c r="AB68" s="124">
        <v>90</v>
      </c>
      <c r="AC68" s="124">
        <v>125</v>
      </c>
      <c r="AD68" s="124">
        <v>102.2</v>
      </c>
      <c r="AE68" s="124">
        <v>140</v>
      </c>
      <c r="AF68" s="124">
        <v>114.6</v>
      </c>
      <c r="AG68" s="124">
        <v>160</v>
      </c>
      <c r="AH68" s="124">
        <v>130.80000000000001</v>
      </c>
      <c r="AI68" s="124">
        <v>180</v>
      </c>
      <c r="AJ68" s="124">
        <v>147.19999999999999</v>
      </c>
      <c r="AK68" s="124">
        <v>200</v>
      </c>
      <c r="AL68" s="126">
        <v>163.6</v>
      </c>
      <c r="AM68" s="128" t="s">
        <v>147</v>
      </c>
      <c r="AN68" s="128" t="s">
        <v>147</v>
      </c>
      <c r="AO68" s="128" t="s">
        <v>147</v>
      </c>
      <c r="AP68" s="128" t="s">
        <v>147</v>
      </c>
      <c r="AQ68" s="128" t="s">
        <v>147</v>
      </c>
      <c r="AR68" s="128" t="s">
        <v>147</v>
      </c>
      <c r="AS68" s="128" t="s">
        <v>147</v>
      </c>
      <c r="AT68" s="129" t="s">
        <v>147</v>
      </c>
    </row>
    <row r="69" spans="1:46" x14ac:dyDescent="0.2">
      <c r="D69" s="5"/>
      <c r="E69" s="95" t="s">
        <v>239</v>
      </c>
      <c r="F69" s="106">
        <v>15</v>
      </c>
      <c r="G69" s="132" t="s">
        <v>179</v>
      </c>
      <c r="H69" s="124">
        <v>6.4</v>
      </c>
      <c r="I69" s="132" t="s">
        <v>180</v>
      </c>
      <c r="J69" s="106">
        <v>8</v>
      </c>
      <c r="K69" s="132" t="s">
        <v>181</v>
      </c>
      <c r="L69" s="106">
        <v>10</v>
      </c>
      <c r="M69" s="132" t="s">
        <v>182</v>
      </c>
      <c r="N69" s="106">
        <v>13</v>
      </c>
      <c r="O69" s="132" t="s">
        <v>183</v>
      </c>
      <c r="P69" s="123">
        <v>16</v>
      </c>
      <c r="Q69" s="132" t="s">
        <v>184</v>
      </c>
      <c r="R69" s="123">
        <v>20</v>
      </c>
      <c r="S69" s="132" t="s">
        <v>226</v>
      </c>
      <c r="T69" s="126">
        <v>23.2</v>
      </c>
      <c r="U69" s="124" t="s">
        <v>227</v>
      </c>
      <c r="V69" s="126">
        <v>29</v>
      </c>
      <c r="W69" s="124" t="s">
        <v>228</v>
      </c>
      <c r="X69" s="126">
        <v>36.200000000000003</v>
      </c>
      <c r="Y69" s="124" t="s">
        <v>229</v>
      </c>
      <c r="Z69" s="126">
        <v>45.6</v>
      </c>
      <c r="AA69" s="124" t="s">
        <v>230</v>
      </c>
      <c r="AB69" s="126">
        <v>54.4</v>
      </c>
      <c r="AC69" s="124" t="s">
        <v>231</v>
      </c>
      <c r="AD69" s="126">
        <v>65.400000000000006</v>
      </c>
      <c r="AE69" s="124" t="s">
        <v>232</v>
      </c>
      <c r="AF69" s="126">
        <v>79.8</v>
      </c>
      <c r="AG69" s="128" t="s">
        <v>147</v>
      </c>
      <c r="AH69" s="128" t="s">
        <v>147</v>
      </c>
      <c r="AI69" s="128" t="s">
        <v>147</v>
      </c>
      <c r="AJ69" s="128" t="s">
        <v>147</v>
      </c>
      <c r="AK69" s="128" t="s">
        <v>147</v>
      </c>
      <c r="AL69" s="128" t="s">
        <v>147</v>
      </c>
      <c r="AM69" s="128" t="s">
        <v>147</v>
      </c>
      <c r="AN69" s="128" t="s">
        <v>147</v>
      </c>
      <c r="AO69" s="128" t="s">
        <v>147</v>
      </c>
      <c r="AP69" s="128" t="s">
        <v>147</v>
      </c>
      <c r="AQ69" s="128" t="s">
        <v>147</v>
      </c>
      <c r="AR69" s="128" t="s">
        <v>147</v>
      </c>
      <c r="AS69" s="128" t="s">
        <v>147</v>
      </c>
      <c r="AT69" s="129" t="s">
        <v>147</v>
      </c>
    </row>
    <row r="70" spans="1:46" x14ac:dyDescent="0.2">
      <c r="D70" s="5"/>
      <c r="E70" s="95" t="s">
        <v>240</v>
      </c>
      <c r="F70" s="106">
        <v>16</v>
      </c>
      <c r="G70" s="132" t="s">
        <v>180</v>
      </c>
      <c r="H70" s="99">
        <v>8</v>
      </c>
      <c r="I70" s="132" t="s">
        <v>181</v>
      </c>
      <c r="J70" s="99">
        <v>10</v>
      </c>
      <c r="K70" s="132" t="s">
        <v>182</v>
      </c>
      <c r="L70" s="99">
        <v>13</v>
      </c>
      <c r="M70" s="132" t="s">
        <v>183</v>
      </c>
      <c r="N70" s="123">
        <v>16</v>
      </c>
      <c r="O70" s="132" t="s">
        <v>184</v>
      </c>
      <c r="P70" s="123">
        <v>20</v>
      </c>
      <c r="Q70" s="132" t="s">
        <v>191</v>
      </c>
      <c r="R70" s="123">
        <v>26</v>
      </c>
      <c r="S70" s="132" t="s">
        <v>225</v>
      </c>
      <c r="T70" s="124">
        <v>26</v>
      </c>
      <c r="U70" s="124" t="s">
        <v>233</v>
      </c>
      <c r="V70" s="126">
        <v>32.6</v>
      </c>
      <c r="W70" s="124" t="s">
        <v>234</v>
      </c>
      <c r="X70" s="126">
        <v>40.799999999999997</v>
      </c>
      <c r="Y70" s="124" t="s">
        <v>235</v>
      </c>
      <c r="Z70" s="126">
        <v>51.4</v>
      </c>
      <c r="AA70" s="124" t="s">
        <v>236</v>
      </c>
      <c r="AB70" s="126">
        <v>61.2</v>
      </c>
      <c r="AC70" s="124" t="s">
        <v>237</v>
      </c>
      <c r="AD70" s="126">
        <v>73.599999999999994</v>
      </c>
      <c r="AE70" s="124" t="s">
        <v>238</v>
      </c>
      <c r="AF70" s="126">
        <v>90</v>
      </c>
      <c r="AG70" s="128" t="s">
        <v>147</v>
      </c>
      <c r="AH70" s="128" t="s">
        <v>147</v>
      </c>
      <c r="AI70" s="128" t="s">
        <v>147</v>
      </c>
      <c r="AJ70" s="128" t="s">
        <v>147</v>
      </c>
      <c r="AK70" s="128" t="s">
        <v>147</v>
      </c>
      <c r="AL70" s="128" t="s">
        <v>147</v>
      </c>
      <c r="AM70" s="128" t="s">
        <v>147</v>
      </c>
      <c r="AN70" s="128" t="s">
        <v>147</v>
      </c>
      <c r="AO70" s="128" t="s">
        <v>147</v>
      </c>
      <c r="AP70" s="128" t="s">
        <v>147</v>
      </c>
      <c r="AQ70" s="128" t="s">
        <v>147</v>
      </c>
      <c r="AR70" s="128" t="s">
        <v>147</v>
      </c>
      <c r="AS70" s="128" t="s">
        <v>147</v>
      </c>
      <c r="AT70" s="129" t="s">
        <v>147</v>
      </c>
    </row>
    <row r="71" spans="1:46" x14ac:dyDescent="0.2">
      <c r="D71" s="5"/>
      <c r="E71" s="95" t="s">
        <v>190</v>
      </c>
      <c r="F71" s="106">
        <v>17</v>
      </c>
      <c r="G71" s="132" t="s">
        <v>185</v>
      </c>
      <c r="H71" s="124">
        <v>10</v>
      </c>
      <c r="I71" s="132" t="s">
        <v>186</v>
      </c>
      <c r="J71" s="123">
        <v>12</v>
      </c>
      <c r="K71" s="132" t="s">
        <v>187</v>
      </c>
      <c r="L71" s="123">
        <v>14</v>
      </c>
      <c r="M71" s="132" t="s">
        <v>188</v>
      </c>
      <c r="N71" s="123">
        <v>15.5</v>
      </c>
      <c r="O71" s="132" t="s">
        <v>189</v>
      </c>
      <c r="P71" s="123">
        <v>20</v>
      </c>
      <c r="Q71" s="132" t="s">
        <v>191</v>
      </c>
      <c r="R71" s="123">
        <v>26</v>
      </c>
      <c r="S71" s="132" t="s">
        <v>192</v>
      </c>
      <c r="T71" s="123">
        <v>32</v>
      </c>
      <c r="U71" s="123" t="s">
        <v>193</v>
      </c>
      <c r="V71" s="123">
        <v>41</v>
      </c>
      <c r="W71" s="123" t="s">
        <v>194</v>
      </c>
      <c r="X71" s="123">
        <v>51</v>
      </c>
      <c r="Y71" s="128" t="s">
        <v>147</v>
      </c>
      <c r="Z71" s="128" t="s">
        <v>147</v>
      </c>
      <c r="AA71" s="128" t="s">
        <v>147</v>
      </c>
      <c r="AB71" s="128" t="s">
        <v>147</v>
      </c>
      <c r="AC71" s="128" t="s">
        <v>147</v>
      </c>
      <c r="AD71" s="128" t="s">
        <v>147</v>
      </c>
      <c r="AE71" s="128" t="s">
        <v>147</v>
      </c>
      <c r="AF71" s="128" t="s">
        <v>147</v>
      </c>
      <c r="AG71" s="128" t="s">
        <v>147</v>
      </c>
      <c r="AH71" s="128" t="s">
        <v>147</v>
      </c>
      <c r="AI71" s="128" t="s">
        <v>147</v>
      </c>
      <c r="AJ71" s="128" t="s">
        <v>147</v>
      </c>
      <c r="AK71" s="128" t="s">
        <v>147</v>
      </c>
      <c r="AL71" s="128" t="s">
        <v>147</v>
      </c>
      <c r="AM71" s="128" t="s">
        <v>147</v>
      </c>
      <c r="AN71" s="128" t="s">
        <v>147</v>
      </c>
      <c r="AO71" s="128" t="s">
        <v>147</v>
      </c>
      <c r="AP71" s="128" t="s">
        <v>147</v>
      </c>
      <c r="AQ71" s="128" t="s">
        <v>147</v>
      </c>
      <c r="AR71" s="128" t="s">
        <v>147</v>
      </c>
      <c r="AS71" s="128" t="s">
        <v>147</v>
      </c>
      <c r="AT71" s="129" t="s">
        <v>147</v>
      </c>
    </row>
    <row r="72" spans="1:46" x14ac:dyDescent="0.2">
      <c r="D72" s="5"/>
      <c r="E72" s="95" t="s">
        <v>34</v>
      </c>
      <c r="F72" s="106">
        <v>18</v>
      </c>
      <c r="G72" s="131" t="s">
        <v>147</v>
      </c>
      <c r="H72" s="126" t="s">
        <v>147</v>
      </c>
      <c r="I72" s="131" t="s">
        <v>147</v>
      </c>
      <c r="J72" s="126" t="s">
        <v>147</v>
      </c>
      <c r="K72" s="131" t="s">
        <v>147</v>
      </c>
      <c r="L72" s="126" t="s">
        <v>147</v>
      </c>
      <c r="M72" s="131" t="s">
        <v>147</v>
      </c>
      <c r="N72" s="126" t="s">
        <v>147</v>
      </c>
      <c r="O72" s="131" t="s">
        <v>147</v>
      </c>
      <c r="P72" s="126" t="s">
        <v>147</v>
      </c>
      <c r="Q72" s="131" t="s">
        <v>147</v>
      </c>
      <c r="R72" s="126" t="s">
        <v>147</v>
      </c>
      <c r="S72" s="131" t="s">
        <v>147</v>
      </c>
      <c r="T72" s="126" t="s">
        <v>147</v>
      </c>
      <c r="U72" s="126" t="s">
        <v>147</v>
      </c>
      <c r="V72" s="126" t="s">
        <v>147</v>
      </c>
      <c r="W72" s="126" t="s">
        <v>147</v>
      </c>
      <c r="X72" s="126" t="s">
        <v>147</v>
      </c>
      <c r="Y72" s="126" t="s">
        <v>147</v>
      </c>
      <c r="Z72" s="126" t="s">
        <v>147</v>
      </c>
      <c r="AA72" s="126" t="s">
        <v>147</v>
      </c>
      <c r="AB72" s="126" t="s">
        <v>147</v>
      </c>
      <c r="AC72" s="126" t="s">
        <v>147</v>
      </c>
      <c r="AD72" s="126" t="s">
        <v>147</v>
      </c>
      <c r="AE72" s="126" t="s">
        <v>147</v>
      </c>
      <c r="AF72" s="126" t="s">
        <v>147</v>
      </c>
      <c r="AG72" s="126" t="s">
        <v>147</v>
      </c>
      <c r="AH72" s="126" t="s">
        <v>147</v>
      </c>
      <c r="AI72" s="126" t="s">
        <v>147</v>
      </c>
      <c r="AJ72" s="126" t="s">
        <v>147</v>
      </c>
      <c r="AK72" s="126" t="s">
        <v>147</v>
      </c>
      <c r="AL72" s="126" t="s">
        <v>147</v>
      </c>
      <c r="AM72" s="126" t="s">
        <v>147</v>
      </c>
      <c r="AN72" s="126" t="s">
        <v>147</v>
      </c>
      <c r="AO72" s="126" t="s">
        <v>147</v>
      </c>
      <c r="AP72" s="126" t="s">
        <v>147</v>
      </c>
      <c r="AQ72" s="126" t="s">
        <v>147</v>
      </c>
      <c r="AR72" s="126" t="s">
        <v>147</v>
      </c>
      <c r="AS72" s="126" t="s">
        <v>147</v>
      </c>
      <c r="AT72" s="127" t="s">
        <v>147</v>
      </c>
    </row>
    <row r="73" spans="1:46" x14ac:dyDescent="0.2">
      <c r="D73" s="5"/>
      <c r="E73" s="95" t="s">
        <v>35</v>
      </c>
      <c r="F73" s="106">
        <v>19</v>
      </c>
      <c r="G73" s="131" t="s">
        <v>147</v>
      </c>
      <c r="H73" s="126" t="s">
        <v>147</v>
      </c>
      <c r="I73" s="131" t="s">
        <v>147</v>
      </c>
      <c r="J73" s="126" t="s">
        <v>147</v>
      </c>
      <c r="K73" s="131" t="s">
        <v>147</v>
      </c>
      <c r="L73" s="126" t="s">
        <v>147</v>
      </c>
      <c r="M73" s="131" t="s">
        <v>147</v>
      </c>
      <c r="N73" s="126" t="s">
        <v>147</v>
      </c>
      <c r="O73" s="131" t="s">
        <v>147</v>
      </c>
      <c r="P73" s="126" t="s">
        <v>147</v>
      </c>
      <c r="Q73" s="131" t="s">
        <v>147</v>
      </c>
      <c r="R73" s="126" t="s">
        <v>147</v>
      </c>
      <c r="S73" s="131" t="s">
        <v>147</v>
      </c>
      <c r="T73" s="126" t="s">
        <v>147</v>
      </c>
      <c r="U73" s="126" t="s">
        <v>147</v>
      </c>
      <c r="V73" s="126" t="s">
        <v>147</v>
      </c>
      <c r="W73" s="126" t="s">
        <v>147</v>
      </c>
      <c r="X73" s="126" t="s">
        <v>147</v>
      </c>
      <c r="Y73" s="126" t="s">
        <v>147</v>
      </c>
      <c r="Z73" s="126" t="s">
        <v>147</v>
      </c>
      <c r="AA73" s="126" t="s">
        <v>147</v>
      </c>
      <c r="AB73" s="126" t="s">
        <v>147</v>
      </c>
      <c r="AC73" s="126" t="s">
        <v>147</v>
      </c>
      <c r="AD73" s="126" t="s">
        <v>147</v>
      </c>
      <c r="AE73" s="126" t="s">
        <v>147</v>
      </c>
      <c r="AF73" s="126" t="s">
        <v>147</v>
      </c>
      <c r="AG73" s="126" t="s">
        <v>147</v>
      </c>
      <c r="AH73" s="126" t="s">
        <v>147</v>
      </c>
      <c r="AI73" s="126" t="s">
        <v>147</v>
      </c>
      <c r="AJ73" s="126" t="s">
        <v>147</v>
      </c>
      <c r="AK73" s="126" t="s">
        <v>147</v>
      </c>
      <c r="AL73" s="126" t="s">
        <v>147</v>
      </c>
      <c r="AM73" s="126" t="s">
        <v>147</v>
      </c>
      <c r="AN73" s="126" t="s">
        <v>147</v>
      </c>
      <c r="AO73" s="126" t="s">
        <v>147</v>
      </c>
      <c r="AP73" s="126" t="s">
        <v>147</v>
      </c>
      <c r="AQ73" s="126" t="s">
        <v>147</v>
      </c>
      <c r="AR73" s="126" t="s">
        <v>147</v>
      </c>
      <c r="AS73" s="126" t="s">
        <v>147</v>
      </c>
      <c r="AT73" s="127" t="s">
        <v>147</v>
      </c>
    </row>
    <row r="74" spans="1:46" ht="13.5" thickBot="1" x14ac:dyDescent="0.25">
      <c r="D74" s="5"/>
      <c r="E74" s="107" t="s">
        <v>36</v>
      </c>
      <c r="F74" s="106">
        <v>20</v>
      </c>
      <c r="G74" s="131" t="s">
        <v>147</v>
      </c>
      <c r="H74" s="126" t="s">
        <v>147</v>
      </c>
      <c r="I74" s="131" t="s">
        <v>147</v>
      </c>
      <c r="J74" s="126" t="s">
        <v>147</v>
      </c>
      <c r="K74" s="131" t="s">
        <v>147</v>
      </c>
      <c r="L74" s="126" t="s">
        <v>147</v>
      </c>
      <c r="M74" s="131" t="s">
        <v>147</v>
      </c>
      <c r="N74" s="126" t="s">
        <v>147</v>
      </c>
      <c r="O74" s="131" t="s">
        <v>147</v>
      </c>
      <c r="P74" s="126" t="s">
        <v>147</v>
      </c>
      <c r="Q74" s="131" t="s">
        <v>147</v>
      </c>
      <c r="R74" s="126" t="s">
        <v>147</v>
      </c>
      <c r="S74" s="131" t="s">
        <v>147</v>
      </c>
      <c r="T74" s="126" t="s">
        <v>147</v>
      </c>
      <c r="U74" s="126" t="s">
        <v>147</v>
      </c>
      <c r="V74" s="126" t="s">
        <v>147</v>
      </c>
      <c r="W74" s="126" t="s">
        <v>147</v>
      </c>
      <c r="X74" s="126" t="s">
        <v>147</v>
      </c>
      <c r="Y74" s="126" t="s">
        <v>147</v>
      </c>
      <c r="Z74" s="126" t="s">
        <v>147</v>
      </c>
      <c r="AA74" s="126" t="s">
        <v>147</v>
      </c>
      <c r="AB74" s="126" t="s">
        <v>147</v>
      </c>
      <c r="AC74" s="126" t="s">
        <v>147</v>
      </c>
      <c r="AD74" s="126" t="s">
        <v>147</v>
      </c>
      <c r="AE74" s="126" t="s">
        <v>147</v>
      </c>
      <c r="AF74" s="126" t="s">
        <v>147</v>
      </c>
      <c r="AG74" s="126" t="s">
        <v>147</v>
      </c>
      <c r="AH74" s="126" t="s">
        <v>147</v>
      </c>
      <c r="AI74" s="126" t="s">
        <v>147</v>
      </c>
      <c r="AJ74" s="126" t="s">
        <v>147</v>
      </c>
      <c r="AK74" s="126" t="s">
        <v>147</v>
      </c>
      <c r="AL74" s="126" t="s">
        <v>147</v>
      </c>
      <c r="AM74" s="126" t="s">
        <v>147</v>
      </c>
      <c r="AN74" s="126" t="s">
        <v>147</v>
      </c>
      <c r="AO74" s="126" t="s">
        <v>147</v>
      </c>
      <c r="AP74" s="126" t="s">
        <v>147</v>
      </c>
      <c r="AQ74" s="126" t="s">
        <v>147</v>
      </c>
      <c r="AR74" s="126" t="s">
        <v>147</v>
      </c>
      <c r="AS74" s="126" t="s">
        <v>147</v>
      </c>
      <c r="AT74" s="127" t="s">
        <v>147</v>
      </c>
    </row>
    <row r="76" spans="1:46" x14ac:dyDescent="0.2">
      <c r="E76" s="2"/>
      <c r="F76" s="2"/>
      <c r="G76" s="2"/>
      <c r="H76" s="2"/>
    </row>
    <row r="78" spans="1:46" x14ac:dyDescent="0.2">
      <c r="U78">
        <f>90-2*8.2</f>
        <v>73.599999999999994</v>
      </c>
    </row>
  </sheetData>
  <sheetProtection selectLockedCells="1" selectUnlockedCells="1"/>
  <mergeCells count="8">
    <mergeCell ref="J3:L3"/>
    <mergeCell ref="E1:L2"/>
    <mergeCell ref="A1:C1"/>
    <mergeCell ref="A2:C2"/>
    <mergeCell ref="E50:G50"/>
    <mergeCell ref="E51:G51"/>
    <mergeCell ref="E39:G39"/>
    <mergeCell ref="G3:I3"/>
  </mergeCells>
  <phoneticPr fontId="3" type="noConversion"/>
  <pageMargins left="0.75" right="0.75" top="1" bottom="1" header="0" footer="0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2:I41"/>
  <sheetViews>
    <sheetView showGridLines="0" zoomScale="160" zoomScaleNormal="160" workbookViewId="0">
      <selection activeCell="C20" sqref="C20"/>
    </sheetView>
  </sheetViews>
  <sheetFormatPr defaultRowHeight="12.75" x14ac:dyDescent="0.2"/>
  <cols>
    <col min="3" max="3" width="12.42578125" bestFit="1" customWidth="1"/>
  </cols>
  <sheetData>
    <row r="2" spans="2:7" x14ac:dyDescent="0.2">
      <c r="B2" s="1" t="s">
        <v>16</v>
      </c>
    </row>
    <row r="3" spans="2:7" x14ac:dyDescent="0.2">
      <c r="B3" s="1" t="s">
        <v>18</v>
      </c>
    </row>
    <row r="5" spans="2:7" x14ac:dyDescent="0.2">
      <c r="B5" t="s">
        <v>13</v>
      </c>
      <c r="G5" t="s">
        <v>11</v>
      </c>
    </row>
    <row r="10" spans="2:7" x14ac:dyDescent="0.2">
      <c r="G10" t="s">
        <v>12</v>
      </c>
    </row>
    <row r="17" spans="1:9" x14ac:dyDescent="0.2">
      <c r="B17" s="1" t="s">
        <v>17</v>
      </c>
    </row>
    <row r="18" spans="1:9" x14ac:dyDescent="0.2">
      <c r="B18" t="s">
        <v>1</v>
      </c>
      <c r="C18" s="3">
        <f>Tabeller!A45</f>
        <v>0.15</v>
      </c>
    </row>
    <row r="19" spans="1:9" x14ac:dyDescent="0.2">
      <c r="B19" t="s">
        <v>0</v>
      </c>
      <c r="C19" s="3">
        <f>Beregning!C27</f>
        <v>400</v>
      </c>
    </row>
    <row r="20" spans="1:9" x14ac:dyDescent="0.2">
      <c r="A20" s="4"/>
      <c r="B20" t="s">
        <v>2</v>
      </c>
      <c r="C20" s="3">
        <f>Tabeller!A66</f>
        <v>0</v>
      </c>
    </row>
    <row r="22" spans="1:9" x14ac:dyDescent="0.2">
      <c r="B22" s="42" t="s">
        <v>19</v>
      </c>
      <c r="C22" s="43"/>
      <c r="D22" s="44" t="s">
        <v>3</v>
      </c>
      <c r="E22" s="45" t="s">
        <v>10</v>
      </c>
    </row>
    <row r="23" spans="1:9" x14ac:dyDescent="0.2">
      <c r="B23" s="46"/>
      <c r="C23" s="47" t="s">
        <v>11</v>
      </c>
      <c r="D23" s="5" t="e">
        <f>0.001375*(1+(2000*$C$18/$C$19+10^6/$C$20)^(1/3))</f>
        <v>#DIV/0!</v>
      </c>
      <c r="E23" s="48" t="e">
        <f>D23*4</f>
        <v>#DIV/0!</v>
      </c>
    </row>
    <row r="24" spans="1:9" x14ac:dyDescent="0.2">
      <c r="B24" s="46"/>
      <c r="C24" s="47" t="s">
        <v>12</v>
      </c>
      <c r="D24" s="5" t="e">
        <f>1/(-4*LOG($C$18/3.71/$C$19+5.1286/($C$20)^0.89))^2</f>
        <v>#DIV/0!</v>
      </c>
      <c r="E24" s="48" t="e">
        <f>D24*4</f>
        <v>#DIV/0!</v>
      </c>
    </row>
    <row r="25" spans="1:9" x14ac:dyDescent="0.2">
      <c r="B25" s="46"/>
      <c r="C25" s="47" t="s">
        <v>15</v>
      </c>
      <c r="D25" s="5" t="e">
        <f>B41</f>
        <v>#DIV/0!</v>
      </c>
      <c r="E25" s="41" t="e">
        <f>D25*4</f>
        <v>#DIV/0!</v>
      </c>
    </row>
    <row r="26" spans="1:9" x14ac:dyDescent="0.2">
      <c r="B26" s="49"/>
      <c r="C26" s="52" t="s">
        <v>68</v>
      </c>
      <c r="D26" s="50"/>
      <c r="E26" s="51" t="e">
        <f>(-2*LOG((C18/(C19*3.71))+(5-0.1*LOG(C18/C19))*C20^-0.9))^-2</f>
        <v>#DIV/0!</v>
      </c>
    </row>
    <row r="27" spans="1:9" x14ac:dyDescent="0.2">
      <c r="B27" t="s">
        <v>14</v>
      </c>
    </row>
    <row r="28" spans="1:9" x14ac:dyDescent="0.2">
      <c r="B28" t="s">
        <v>6</v>
      </c>
      <c r="C28" t="s">
        <v>4</v>
      </c>
      <c r="D28" t="s">
        <v>5</v>
      </c>
      <c r="F28" t="s">
        <v>7</v>
      </c>
      <c r="G28" t="s">
        <v>8</v>
      </c>
      <c r="H28" t="s">
        <v>9</v>
      </c>
      <c r="I28" t="s">
        <v>10</v>
      </c>
    </row>
    <row r="29" spans="1:9" x14ac:dyDescent="0.2">
      <c r="A29">
        <v>1</v>
      </c>
      <c r="B29" t="e">
        <f>$D$23</f>
        <v>#DIV/0!</v>
      </c>
      <c r="C29">
        <f t="shared" ref="C29:C41" si="0">$C$18/3.71/$C$19</f>
        <v>1.0107816711590295E-4</v>
      </c>
      <c r="D29" t="e">
        <f t="shared" ref="D29:D41" si="1">1.26/$C$20/SQRT(B29)</f>
        <v>#DIV/0!</v>
      </c>
      <c r="F29" t="e">
        <f t="shared" ref="F29:F41" si="2">1/SQRT(B29)</f>
        <v>#DIV/0!</v>
      </c>
      <c r="G29" t="e">
        <f t="shared" ref="G29:G41" si="3">-4*LOG(C29+D29)</f>
        <v>#DIV/0!</v>
      </c>
      <c r="H29" t="e">
        <f t="shared" ref="H29:H41" si="4">F29-G29</f>
        <v>#DIV/0!</v>
      </c>
      <c r="I29" t="e">
        <f>B29*4</f>
        <v>#DIV/0!</v>
      </c>
    </row>
    <row r="30" spans="1:9" x14ac:dyDescent="0.2">
      <c r="A30">
        <v>2</v>
      </c>
      <c r="B30" t="e">
        <f t="shared" ref="B30:B35" si="5">1/(-4*LOG(C29+D29))^2</f>
        <v>#DIV/0!</v>
      </c>
      <c r="C30">
        <f t="shared" si="0"/>
        <v>1.0107816711590295E-4</v>
      </c>
      <c r="D30" t="e">
        <f t="shared" si="1"/>
        <v>#DIV/0!</v>
      </c>
      <c r="F30" t="e">
        <f t="shared" si="2"/>
        <v>#DIV/0!</v>
      </c>
      <c r="G30" t="e">
        <f t="shared" si="3"/>
        <v>#DIV/0!</v>
      </c>
      <c r="H30" t="e">
        <f t="shared" si="4"/>
        <v>#DIV/0!</v>
      </c>
      <c r="I30" t="e">
        <f t="shared" ref="I30:I41" si="6">B30*4</f>
        <v>#DIV/0!</v>
      </c>
    </row>
    <row r="31" spans="1:9" x14ac:dyDescent="0.2">
      <c r="A31">
        <v>3</v>
      </c>
      <c r="B31" t="e">
        <f t="shared" si="5"/>
        <v>#DIV/0!</v>
      </c>
      <c r="C31">
        <f t="shared" si="0"/>
        <v>1.0107816711590295E-4</v>
      </c>
      <c r="D31" t="e">
        <f t="shared" si="1"/>
        <v>#DIV/0!</v>
      </c>
      <c r="F31" t="e">
        <f t="shared" si="2"/>
        <v>#DIV/0!</v>
      </c>
      <c r="G31" t="e">
        <f t="shared" si="3"/>
        <v>#DIV/0!</v>
      </c>
      <c r="H31" t="e">
        <f t="shared" si="4"/>
        <v>#DIV/0!</v>
      </c>
      <c r="I31" t="e">
        <f t="shared" si="6"/>
        <v>#DIV/0!</v>
      </c>
    </row>
    <row r="32" spans="1:9" x14ac:dyDescent="0.2">
      <c r="A32">
        <v>4</v>
      </c>
      <c r="B32" t="e">
        <f t="shared" si="5"/>
        <v>#DIV/0!</v>
      </c>
      <c r="C32">
        <f t="shared" si="0"/>
        <v>1.0107816711590295E-4</v>
      </c>
      <c r="D32" t="e">
        <f t="shared" si="1"/>
        <v>#DIV/0!</v>
      </c>
      <c r="F32" t="e">
        <f t="shared" si="2"/>
        <v>#DIV/0!</v>
      </c>
      <c r="G32" t="e">
        <f t="shared" si="3"/>
        <v>#DIV/0!</v>
      </c>
      <c r="H32" t="e">
        <f t="shared" si="4"/>
        <v>#DIV/0!</v>
      </c>
      <c r="I32" t="e">
        <f t="shared" si="6"/>
        <v>#DIV/0!</v>
      </c>
    </row>
    <row r="33" spans="1:9" x14ac:dyDescent="0.2">
      <c r="A33">
        <v>5</v>
      </c>
      <c r="B33" t="e">
        <f t="shared" si="5"/>
        <v>#DIV/0!</v>
      </c>
      <c r="C33">
        <f t="shared" si="0"/>
        <v>1.0107816711590295E-4</v>
      </c>
      <c r="D33" t="e">
        <f t="shared" si="1"/>
        <v>#DIV/0!</v>
      </c>
      <c r="F33" t="e">
        <f t="shared" si="2"/>
        <v>#DIV/0!</v>
      </c>
      <c r="G33" t="e">
        <f t="shared" si="3"/>
        <v>#DIV/0!</v>
      </c>
      <c r="H33" t="e">
        <f t="shared" si="4"/>
        <v>#DIV/0!</v>
      </c>
      <c r="I33" t="e">
        <f t="shared" si="6"/>
        <v>#DIV/0!</v>
      </c>
    </row>
    <row r="34" spans="1:9" x14ac:dyDescent="0.2">
      <c r="A34">
        <v>6</v>
      </c>
      <c r="B34" t="e">
        <f t="shared" si="5"/>
        <v>#DIV/0!</v>
      </c>
      <c r="C34">
        <f t="shared" si="0"/>
        <v>1.0107816711590295E-4</v>
      </c>
      <c r="D34" t="e">
        <f t="shared" si="1"/>
        <v>#DIV/0!</v>
      </c>
      <c r="F34" t="e">
        <f t="shared" si="2"/>
        <v>#DIV/0!</v>
      </c>
      <c r="G34" t="e">
        <f t="shared" si="3"/>
        <v>#DIV/0!</v>
      </c>
      <c r="H34" t="e">
        <f t="shared" si="4"/>
        <v>#DIV/0!</v>
      </c>
      <c r="I34" t="e">
        <f t="shared" si="6"/>
        <v>#DIV/0!</v>
      </c>
    </row>
    <row r="35" spans="1:9" x14ac:dyDescent="0.2">
      <c r="A35">
        <v>7</v>
      </c>
      <c r="B35" t="e">
        <f t="shared" si="5"/>
        <v>#DIV/0!</v>
      </c>
      <c r="C35">
        <f t="shared" si="0"/>
        <v>1.0107816711590295E-4</v>
      </c>
      <c r="D35" t="e">
        <f t="shared" si="1"/>
        <v>#DIV/0!</v>
      </c>
      <c r="F35" t="e">
        <f t="shared" si="2"/>
        <v>#DIV/0!</v>
      </c>
      <c r="G35" t="e">
        <f t="shared" si="3"/>
        <v>#DIV/0!</v>
      </c>
      <c r="H35" t="e">
        <f t="shared" si="4"/>
        <v>#DIV/0!</v>
      </c>
      <c r="I35" t="e">
        <f t="shared" si="6"/>
        <v>#DIV/0!</v>
      </c>
    </row>
    <row r="36" spans="1:9" x14ac:dyDescent="0.2">
      <c r="A36">
        <v>8</v>
      </c>
      <c r="B36" t="e">
        <f t="shared" ref="B36:B41" si="7">1/(-4*LOG(C35+D35))^2</f>
        <v>#DIV/0!</v>
      </c>
      <c r="C36">
        <f t="shared" si="0"/>
        <v>1.0107816711590295E-4</v>
      </c>
      <c r="D36" t="e">
        <f t="shared" si="1"/>
        <v>#DIV/0!</v>
      </c>
      <c r="F36" t="e">
        <f t="shared" si="2"/>
        <v>#DIV/0!</v>
      </c>
      <c r="G36" t="e">
        <f t="shared" si="3"/>
        <v>#DIV/0!</v>
      </c>
      <c r="H36" t="e">
        <f t="shared" si="4"/>
        <v>#DIV/0!</v>
      </c>
      <c r="I36" t="e">
        <f t="shared" si="6"/>
        <v>#DIV/0!</v>
      </c>
    </row>
    <row r="37" spans="1:9" x14ac:dyDescent="0.2">
      <c r="A37">
        <v>9</v>
      </c>
      <c r="B37" t="e">
        <f t="shared" si="7"/>
        <v>#DIV/0!</v>
      </c>
      <c r="C37">
        <f t="shared" si="0"/>
        <v>1.0107816711590295E-4</v>
      </c>
      <c r="D37" t="e">
        <f t="shared" si="1"/>
        <v>#DIV/0!</v>
      </c>
      <c r="F37" t="e">
        <f t="shared" si="2"/>
        <v>#DIV/0!</v>
      </c>
      <c r="G37" t="e">
        <f t="shared" si="3"/>
        <v>#DIV/0!</v>
      </c>
      <c r="H37" t="e">
        <f t="shared" si="4"/>
        <v>#DIV/0!</v>
      </c>
      <c r="I37" t="e">
        <f t="shared" si="6"/>
        <v>#DIV/0!</v>
      </c>
    </row>
    <row r="38" spans="1:9" x14ac:dyDescent="0.2">
      <c r="A38">
        <v>10</v>
      </c>
      <c r="B38" t="e">
        <f t="shared" si="7"/>
        <v>#DIV/0!</v>
      </c>
      <c r="C38">
        <f t="shared" si="0"/>
        <v>1.0107816711590295E-4</v>
      </c>
      <c r="D38" t="e">
        <f t="shared" si="1"/>
        <v>#DIV/0!</v>
      </c>
      <c r="F38" t="e">
        <f t="shared" si="2"/>
        <v>#DIV/0!</v>
      </c>
      <c r="G38" t="e">
        <f t="shared" si="3"/>
        <v>#DIV/0!</v>
      </c>
      <c r="H38" t="e">
        <f t="shared" si="4"/>
        <v>#DIV/0!</v>
      </c>
      <c r="I38" t="e">
        <f t="shared" si="6"/>
        <v>#DIV/0!</v>
      </c>
    </row>
    <row r="39" spans="1:9" x14ac:dyDescent="0.2">
      <c r="A39">
        <v>11</v>
      </c>
      <c r="B39" t="e">
        <f t="shared" si="7"/>
        <v>#DIV/0!</v>
      </c>
      <c r="C39">
        <f t="shared" si="0"/>
        <v>1.0107816711590295E-4</v>
      </c>
      <c r="D39" t="e">
        <f t="shared" si="1"/>
        <v>#DIV/0!</v>
      </c>
      <c r="F39" t="e">
        <f t="shared" si="2"/>
        <v>#DIV/0!</v>
      </c>
      <c r="G39" t="e">
        <f t="shared" si="3"/>
        <v>#DIV/0!</v>
      </c>
      <c r="H39" t="e">
        <f t="shared" si="4"/>
        <v>#DIV/0!</v>
      </c>
      <c r="I39" t="e">
        <f t="shared" si="6"/>
        <v>#DIV/0!</v>
      </c>
    </row>
    <row r="40" spans="1:9" x14ac:dyDescent="0.2">
      <c r="A40">
        <v>12</v>
      </c>
      <c r="B40" t="e">
        <f t="shared" si="7"/>
        <v>#DIV/0!</v>
      </c>
      <c r="C40">
        <f t="shared" si="0"/>
        <v>1.0107816711590295E-4</v>
      </c>
      <c r="D40" t="e">
        <f t="shared" si="1"/>
        <v>#DIV/0!</v>
      </c>
      <c r="F40" t="e">
        <f t="shared" si="2"/>
        <v>#DIV/0!</v>
      </c>
      <c r="G40" t="e">
        <f t="shared" si="3"/>
        <v>#DIV/0!</v>
      </c>
      <c r="H40" t="e">
        <f t="shared" si="4"/>
        <v>#DIV/0!</v>
      </c>
      <c r="I40" t="e">
        <f t="shared" si="6"/>
        <v>#DIV/0!</v>
      </c>
    </row>
    <row r="41" spans="1:9" x14ac:dyDescent="0.2">
      <c r="A41">
        <v>13</v>
      </c>
      <c r="B41" t="e">
        <f t="shared" si="7"/>
        <v>#DIV/0!</v>
      </c>
      <c r="C41">
        <f t="shared" si="0"/>
        <v>1.0107816711590295E-4</v>
      </c>
      <c r="D41" t="e">
        <f t="shared" si="1"/>
        <v>#DIV/0!</v>
      </c>
      <c r="F41" t="e">
        <f t="shared" si="2"/>
        <v>#DIV/0!</v>
      </c>
      <c r="G41" t="e">
        <f t="shared" si="3"/>
        <v>#DIV/0!</v>
      </c>
      <c r="H41" t="e">
        <f t="shared" si="4"/>
        <v>#DIV/0!</v>
      </c>
      <c r="I41" t="e">
        <f t="shared" si="6"/>
        <v>#DIV/0!</v>
      </c>
    </row>
  </sheetData>
  <sheetProtection selectLockedCells="1" selectUnlockedCells="1"/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25" r:id="rId4">
          <objectPr defaultSize="0" autoPict="0" r:id="rId5">
            <anchor moveWithCells="1" sizeWithCells="1">
              <from>
                <xdr:col>1</xdr:col>
                <xdr:colOff>0</xdr:colOff>
                <xdr:row>5</xdr:row>
                <xdr:rowOff>0</xdr:rowOff>
              </from>
              <to>
                <xdr:col>4</xdr:col>
                <xdr:colOff>219075</xdr:colOff>
                <xdr:row>8</xdr:row>
                <xdr:rowOff>47625</xdr:rowOff>
              </to>
            </anchor>
          </objectPr>
        </oleObject>
      </mc:Choice>
      <mc:Fallback>
        <oleObject progId="Equation.3" shapeId="1025" r:id="rId4"/>
      </mc:Fallback>
    </mc:AlternateContent>
    <mc:AlternateContent xmlns:mc="http://schemas.openxmlformats.org/markup-compatibility/2006">
      <mc:Choice Requires="x14">
        <oleObject progId="Equation.3" shapeId="1026" r:id="rId6">
          <objectPr defaultSize="0" autoPict="0" r:id="rId7">
            <anchor moveWithCells="1" sizeWithCells="1">
              <from>
                <xdr:col>1</xdr:col>
                <xdr:colOff>0</xdr:colOff>
                <xdr:row>9</xdr:row>
                <xdr:rowOff>0</xdr:rowOff>
              </from>
              <to>
                <xdr:col>5</xdr:col>
                <xdr:colOff>28575</xdr:colOff>
                <xdr:row>12</xdr:row>
                <xdr:rowOff>95250</xdr:rowOff>
              </to>
            </anchor>
          </objectPr>
        </oleObject>
      </mc:Choice>
      <mc:Fallback>
        <oleObject progId="Equation.3" shapeId="1026" r:id="rId6"/>
      </mc:Fallback>
    </mc:AlternateContent>
    <mc:AlternateContent xmlns:mc="http://schemas.openxmlformats.org/markup-compatibility/2006">
      <mc:Choice Requires="x14">
        <oleObject progId="Equation.3" shapeId="1027" r:id="rId8">
          <objectPr defaultSize="0" autoPict="0" r:id="rId9">
            <anchor moveWithCells="1" sizeWithCells="1">
              <from>
                <xdr:col>1</xdr:col>
                <xdr:colOff>28575</xdr:colOff>
                <xdr:row>12</xdr:row>
                <xdr:rowOff>123825</xdr:rowOff>
              </from>
              <to>
                <xdr:col>3</xdr:col>
                <xdr:colOff>304800</xdr:colOff>
                <xdr:row>15</xdr:row>
                <xdr:rowOff>85725</xdr:rowOff>
              </to>
            </anchor>
          </objectPr>
        </oleObject>
      </mc:Choice>
      <mc:Fallback>
        <oleObject progId="Equation.3" shapeId="1027" r:id="rId8"/>
      </mc:Fallback>
    </mc:AlternateContent>
    <mc:AlternateContent xmlns:mc="http://schemas.openxmlformats.org/markup-compatibility/2006">
      <mc:Choice Requires="x14">
        <oleObject progId="Equation.3" shapeId="1028" r:id="rId10">
          <objectPr defaultSize="0" autoPict="0" r:id="rId11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457200</xdr:colOff>
                <xdr:row>8</xdr:row>
                <xdr:rowOff>76200</xdr:rowOff>
              </to>
            </anchor>
          </objectPr>
        </oleObject>
      </mc:Choice>
      <mc:Fallback>
        <oleObject progId="Equation.3" shapeId="1028" r:id="rId10"/>
      </mc:Fallback>
    </mc:AlternateContent>
    <mc:AlternateContent xmlns:mc="http://schemas.openxmlformats.org/markup-compatibility/2006">
      <mc:Choice Requires="x14">
        <oleObject progId="Equation.3" shapeId="1029" r:id="rId12">
          <objectPr defaultSize="0" autoPict="0" r:id="rId13">
            <anchor moveWithCells="1" sizeWithCells="1">
              <from>
                <xdr:col>6</xdr:col>
                <xdr:colOff>0</xdr:colOff>
                <xdr:row>10</xdr:row>
                <xdr:rowOff>0</xdr:rowOff>
              </from>
              <to>
                <xdr:col>9</xdr:col>
                <xdr:colOff>190500</xdr:colOff>
                <xdr:row>12</xdr:row>
                <xdr:rowOff>133350</xdr:rowOff>
              </to>
            </anchor>
          </objectPr>
        </oleObject>
      </mc:Choice>
      <mc:Fallback>
        <oleObject progId="Equation.3" shapeId="1029" r:id="rId12"/>
      </mc:Fallback>
    </mc:AlternateContent>
    <mc:AlternateContent xmlns:mc="http://schemas.openxmlformats.org/markup-compatibility/2006">
      <mc:Choice Requires="x14">
        <oleObject progId="Equation.3" shapeId="1030" r:id="rId14">
          <objectPr defaultSize="0" autoPict="0" r:id="rId15">
            <anchor moveWithCells="1" sizeWithCells="1">
              <from>
                <xdr:col>6</xdr:col>
                <xdr:colOff>0</xdr:colOff>
                <xdr:row>13</xdr:row>
                <xdr:rowOff>0</xdr:rowOff>
              </from>
              <to>
                <xdr:col>9</xdr:col>
                <xdr:colOff>447675</xdr:colOff>
                <xdr:row>16</xdr:row>
                <xdr:rowOff>9525</xdr:rowOff>
              </to>
            </anchor>
          </objectPr>
        </oleObject>
      </mc:Choice>
      <mc:Fallback>
        <oleObject progId="Equation.3" shapeId="1030" r:id="rId1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5"/>
  <dimension ref="A1:I103"/>
  <sheetViews>
    <sheetView zoomScale="145" zoomScaleNormal="145" workbookViewId="0">
      <selection activeCell="B11" sqref="B11"/>
    </sheetView>
  </sheetViews>
  <sheetFormatPr defaultRowHeight="12.75" x14ac:dyDescent="0.2"/>
  <cols>
    <col min="1" max="1" width="14.42578125" customWidth="1"/>
    <col min="2" max="2" width="13.42578125" customWidth="1"/>
    <col min="3" max="3" width="6.42578125" customWidth="1"/>
    <col min="4" max="4" width="16.85546875" customWidth="1"/>
    <col min="5" max="5" width="17" customWidth="1"/>
    <col min="6" max="6" width="10.140625" customWidth="1"/>
  </cols>
  <sheetData>
    <row r="1" spans="2:9" ht="15.75" x14ac:dyDescent="0.25">
      <c r="F1" s="59" t="s">
        <v>80</v>
      </c>
    </row>
    <row r="3" spans="2:9" x14ac:dyDescent="0.2">
      <c r="B3" s="1" t="s">
        <v>30</v>
      </c>
      <c r="D3" s="53">
        <f>Tabeller!A39</f>
        <v>1.1880999999999999</v>
      </c>
      <c r="E3" t="s">
        <v>75</v>
      </c>
    </row>
    <row r="4" spans="2:9" x14ac:dyDescent="0.2">
      <c r="B4" s="1" t="s">
        <v>31</v>
      </c>
      <c r="D4">
        <f>Tabeller!A42</f>
        <v>1.5130000000000001E-5</v>
      </c>
      <c r="E4" t="s">
        <v>76</v>
      </c>
    </row>
    <row r="5" spans="2:9" x14ac:dyDescent="0.2">
      <c r="B5" s="1" t="s">
        <v>82</v>
      </c>
      <c r="D5">
        <f>Tabeller!A54</f>
        <v>0</v>
      </c>
      <c r="E5" t="s">
        <v>74</v>
      </c>
    </row>
    <row r="6" spans="2:9" x14ac:dyDescent="0.2">
      <c r="B6" s="1" t="s">
        <v>256</v>
      </c>
      <c r="D6">
        <f>Tabeller!A55</f>
        <v>0</v>
      </c>
      <c r="E6" t="s">
        <v>74</v>
      </c>
    </row>
    <row r="7" spans="2:9" x14ac:dyDescent="0.2">
      <c r="B7" s="1" t="s">
        <v>257</v>
      </c>
      <c r="D7">
        <f>Tabeller!A56</f>
        <v>0</v>
      </c>
      <c r="E7" t="s">
        <v>74</v>
      </c>
    </row>
    <row r="8" spans="2:9" x14ac:dyDescent="0.2">
      <c r="B8" s="1" t="s">
        <v>258</v>
      </c>
      <c r="D8">
        <f>Tabeller!A57</f>
        <v>0</v>
      </c>
      <c r="E8" t="s">
        <v>74</v>
      </c>
    </row>
    <row r="9" spans="2:9" x14ac:dyDescent="0.2">
      <c r="B9" s="1" t="s">
        <v>83</v>
      </c>
      <c r="D9">
        <f>Beregning!I27</f>
        <v>0.7</v>
      </c>
      <c r="E9" t="s">
        <v>72</v>
      </c>
    </row>
    <row r="10" spans="2:9" x14ac:dyDescent="0.2">
      <c r="B10" s="1" t="s">
        <v>69</v>
      </c>
      <c r="D10">
        <v>1E-3</v>
      </c>
      <c r="E10" t="s">
        <v>79</v>
      </c>
    </row>
    <row r="11" spans="2:9" x14ac:dyDescent="0.2">
      <c r="B11" s="1" t="s">
        <v>77</v>
      </c>
      <c r="D11">
        <f>Tabeller!A45/1000</f>
        <v>1.4999999999999999E-4</v>
      </c>
      <c r="E11" t="s">
        <v>73</v>
      </c>
    </row>
    <row r="14" spans="2:9" x14ac:dyDescent="0.2">
      <c r="H14" s="226"/>
      <c r="I14" s="226"/>
    </row>
    <row r="15" spans="2:9" x14ac:dyDescent="0.2">
      <c r="B15" s="54"/>
      <c r="C15" s="55"/>
      <c r="D15" s="55"/>
      <c r="E15" s="55"/>
      <c r="F15" s="55"/>
      <c r="G15" s="55"/>
      <c r="H15" s="55"/>
      <c r="I15" s="55"/>
    </row>
    <row r="17" spans="1:8" ht="15.75" x14ac:dyDescent="0.25">
      <c r="A17" s="59"/>
      <c r="B17" s="59"/>
      <c r="C17" s="59"/>
      <c r="D17" s="65" t="s">
        <v>260</v>
      </c>
      <c r="E17" s="65"/>
      <c r="F17" s="66"/>
      <c r="G17" s="56"/>
      <c r="H17" s="56"/>
    </row>
    <row r="18" spans="1:8" x14ac:dyDescent="0.2">
      <c r="E18" s="56"/>
      <c r="F18" s="56"/>
      <c r="G18" s="56"/>
      <c r="H18" s="56"/>
    </row>
    <row r="19" spans="1:8" x14ac:dyDescent="0.2">
      <c r="A19" s="60" t="s">
        <v>2</v>
      </c>
      <c r="B19" s="61" t="s">
        <v>78</v>
      </c>
      <c r="C19" s="62"/>
      <c r="D19" s="60" t="s">
        <v>70</v>
      </c>
      <c r="E19" s="63" t="s">
        <v>71</v>
      </c>
      <c r="F19" s="64" t="s">
        <v>81</v>
      </c>
      <c r="G19" s="56"/>
      <c r="H19" s="56"/>
    </row>
    <row r="20" spans="1:8" x14ac:dyDescent="0.2">
      <c r="A20">
        <f>$D$5/((PI()/4)*$D$10*$D$4)</f>
        <v>0</v>
      </c>
      <c r="B20" t="e">
        <f>(-2*LOG(($D$11/($D$10*3.71))+(5-0.1*LOG($D$11/$D$10))*A20^-0.9))^-2</f>
        <v>#DIV/0!</v>
      </c>
      <c r="D20">
        <f>$D$10</f>
        <v>1E-3</v>
      </c>
      <c r="E20" s="56" t="e">
        <f t="shared" ref="E20:E37" si="0">((0.5*$D$3*$D$5^2*B20)/($D$9*((PI()/4))^2))^0.2</f>
        <v>#DIV/0!</v>
      </c>
      <c r="F20" s="58" t="e">
        <f t="shared" ref="F20:F36" si="1">E20*1000</f>
        <v>#DIV/0!</v>
      </c>
      <c r="G20" s="56"/>
      <c r="H20" s="56"/>
    </row>
    <row r="21" spans="1:8" x14ac:dyDescent="0.2">
      <c r="A21" t="e">
        <f>$D$5/((PI()/4)*E20*$D$4)</f>
        <v>#DIV/0!</v>
      </c>
      <c r="B21" t="e">
        <f t="shared" ref="B21:B37" si="2">(-2*LOG(($D$11/(E20*3.71))+(5-0.1*LOG($D$11/E20))*A21^-0.9))^-2</f>
        <v>#DIV/0!</v>
      </c>
      <c r="D21" s="56" t="e">
        <f t="shared" ref="D21:D37" si="3">E20</f>
        <v>#DIV/0!</v>
      </c>
      <c r="E21" s="56" t="e">
        <f t="shared" si="0"/>
        <v>#DIV/0!</v>
      </c>
      <c r="F21" s="58" t="e">
        <f t="shared" si="1"/>
        <v>#DIV/0!</v>
      </c>
      <c r="H21" s="56"/>
    </row>
    <row r="22" spans="1:8" x14ac:dyDescent="0.2">
      <c r="A22" t="e">
        <f t="shared" ref="A22:A37" si="4">$D$5/((PI()/4)*E21*$D$4)</f>
        <v>#DIV/0!</v>
      </c>
      <c r="B22" t="e">
        <f t="shared" si="2"/>
        <v>#DIV/0!</v>
      </c>
      <c r="D22" s="56" t="e">
        <f t="shared" si="3"/>
        <v>#DIV/0!</v>
      </c>
      <c r="E22" s="56" t="e">
        <f t="shared" si="0"/>
        <v>#DIV/0!</v>
      </c>
      <c r="F22" s="58" t="e">
        <f t="shared" si="1"/>
        <v>#DIV/0!</v>
      </c>
      <c r="H22" s="56"/>
    </row>
    <row r="23" spans="1:8" x14ac:dyDescent="0.2">
      <c r="A23" t="e">
        <f t="shared" si="4"/>
        <v>#DIV/0!</v>
      </c>
      <c r="B23" t="e">
        <f t="shared" si="2"/>
        <v>#DIV/0!</v>
      </c>
      <c r="D23" s="56" t="e">
        <f t="shared" si="3"/>
        <v>#DIV/0!</v>
      </c>
      <c r="E23" s="56" t="e">
        <f t="shared" si="0"/>
        <v>#DIV/0!</v>
      </c>
      <c r="F23" s="58" t="e">
        <f t="shared" si="1"/>
        <v>#DIV/0!</v>
      </c>
      <c r="H23" s="56"/>
    </row>
    <row r="24" spans="1:8" x14ac:dyDescent="0.2">
      <c r="A24" t="e">
        <f t="shared" si="4"/>
        <v>#DIV/0!</v>
      </c>
      <c r="B24" t="e">
        <f t="shared" si="2"/>
        <v>#DIV/0!</v>
      </c>
      <c r="D24" s="56" t="e">
        <f t="shared" si="3"/>
        <v>#DIV/0!</v>
      </c>
      <c r="E24" s="56" t="e">
        <f t="shared" si="0"/>
        <v>#DIV/0!</v>
      </c>
      <c r="F24" s="58" t="e">
        <f t="shared" si="1"/>
        <v>#DIV/0!</v>
      </c>
      <c r="H24" s="56"/>
    </row>
    <row r="25" spans="1:8" x14ac:dyDescent="0.2">
      <c r="A25" t="e">
        <f t="shared" si="4"/>
        <v>#DIV/0!</v>
      </c>
      <c r="B25" t="e">
        <f t="shared" si="2"/>
        <v>#DIV/0!</v>
      </c>
      <c r="D25" s="56" t="e">
        <f t="shared" si="3"/>
        <v>#DIV/0!</v>
      </c>
      <c r="E25" s="56" t="e">
        <f t="shared" si="0"/>
        <v>#DIV/0!</v>
      </c>
      <c r="F25" s="58" t="e">
        <f t="shared" si="1"/>
        <v>#DIV/0!</v>
      </c>
      <c r="H25" s="56"/>
    </row>
    <row r="26" spans="1:8" x14ac:dyDescent="0.2">
      <c r="A26" t="e">
        <f t="shared" si="4"/>
        <v>#DIV/0!</v>
      </c>
      <c r="B26" t="e">
        <f t="shared" si="2"/>
        <v>#DIV/0!</v>
      </c>
      <c r="D26" s="56" t="e">
        <f t="shared" si="3"/>
        <v>#DIV/0!</v>
      </c>
      <c r="E26" s="56" t="e">
        <f t="shared" si="0"/>
        <v>#DIV/0!</v>
      </c>
      <c r="F26" s="58" t="e">
        <f t="shared" si="1"/>
        <v>#DIV/0!</v>
      </c>
      <c r="H26" s="56"/>
    </row>
    <row r="27" spans="1:8" x14ac:dyDescent="0.2">
      <c r="A27" t="e">
        <f t="shared" si="4"/>
        <v>#DIV/0!</v>
      </c>
      <c r="B27" t="e">
        <f t="shared" si="2"/>
        <v>#DIV/0!</v>
      </c>
      <c r="D27" s="56" t="e">
        <f t="shared" si="3"/>
        <v>#DIV/0!</v>
      </c>
      <c r="E27" s="56" t="e">
        <f t="shared" si="0"/>
        <v>#DIV/0!</v>
      </c>
      <c r="F27" s="58" t="e">
        <f t="shared" si="1"/>
        <v>#DIV/0!</v>
      </c>
      <c r="H27" s="56"/>
    </row>
    <row r="28" spans="1:8" x14ac:dyDescent="0.2">
      <c r="A28" t="e">
        <f t="shared" si="4"/>
        <v>#DIV/0!</v>
      </c>
      <c r="B28" t="e">
        <f t="shared" si="2"/>
        <v>#DIV/0!</v>
      </c>
      <c r="D28" s="56" t="e">
        <f t="shared" si="3"/>
        <v>#DIV/0!</v>
      </c>
      <c r="E28" s="56" t="e">
        <f t="shared" si="0"/>
        <v>#DIV/0!</v>
      </c>
      <c r="F28" s="58" t="e">
        <f t="shared" si="1"/>
        <v>#DIV/0!</v>
      </c>
      <c r="H28" s="56"/>
    </row>
    <row r="29" spans="1:8" x14ac:dyDescent="0.2">
      <c r="A29" t="e">
        <f t="shared" si="4"/>
        <v>#DIV/0!</v>
      </c>
      <c r="B29" t="e">
        <f t="shared" si="2"/>
        <v>#DIV/0!</v>
      </c>
      <c r="D29" s="56" t="e">
        <f t="shared" si="3"/>
        <v>#DIV/0!</v>
      </c>
      <c r="E29" s="56" t="e">
        <f t="shared" si="0"/>
        <v>#DIV/0!</v>
      </c>
      <c r="F29" s="58" t="e">
        <f t="shared" si="1"/>
        <v>#DIV/0!</v>
      </c>
      <c r="H29" s="56"/>
    </row>
    <row r="30" spans="1:8" x14ac:dyDescent="0.2">
      <c r="A30" t="e">
        <f t="shared" si="4"/>
        <v>#DIV/0!</v>
      </c>
      <c r="B30" t="e">
        <f t="shared" si="2"/>
        <v>#DIV/0!</v>
      </c>
      <c r="D30" s="56" t="e">
        <f t="shared" si="3"/>
        <v>#DIV/0!</v>
      </c>
      <c r="E30" s="56" t="e">
        <f t="shared" si="0"/>
        <v>#DIV/0!</v>
      </c>
      <c r="F30" s="58" t="e">
        <f t="shared" si="1"/>
        <v>#DIV/0!</v>
      </c>
      <c r="H30" s="56"/>
    </row>
    <row r="31" spans="1:8" x14ac:dyDescent="0.2">
      <c r="A31" t="e">
        <f t="shared" si="4"/>
        <v>#DIV/0!</v>
      </c>
      <c r="B31" t="e">
        <f t="shared" si="2"/>
        <v>#DIV/0!</v>
      </c>
      <c r="D31" s="56" t="e">
        <f t="shared" si="3"/>
        <v>#DIV/0!</v>
      </c>
      <c r="E31" s="56" t="e">
        <f t="shared" si="0"/>
        <v>#DIV/0!</v>
      </c>
      <c r="F31" s="58" t="e">
        <f t="shared" si="1"/>
        <v>#DIV/0!</v>
      </c>
      <c r="H31" s="56"/>
    </row>
    <row r="32" spans="1:8" x14ac:dyDescent="0.2">
      <c r="A32" t="e">
        <f t="shared" si="4"/>
        <v>#DIV/0!</v>
      </c>
      <c r="B32" t="e">
        <f t="shared" si="2"/>
        <v>#DIV/0!</v>
      </c>
      <c r="D32" s="56" t="e">
        <f t="shared" si="3"/>
        <v>#DIV/0!</v>
      </c>
      <c r="E32" s="56" t="e">
        <f t="shared" si="0"/>
        <v>#DIV/0!</v>
      </c>
      <c r="F32" s="58" t="e">
        <f t="shared" si="1"/>
        <v>#DIV/0!</v>
      </c>
      <c r="H32" s="56"/>
    </row>
    <row r="33" spans="1:8" x14ac:dyDescent="0.2">
      <c r="A33" t="e">
        <f>$D$5/((PI()/4)*E32*$D$4)</f>
        <v>#DIV/0!</v>
      </c>
      <c r="B33" t="e">
        <f t="shared" si="2"/>
        <v>#DIV/0!</v>
      </c>
      <c r="D33" s="56" t="e">
        <f t="shared" si="3"/>
        <v>#DIV/0!</v>
      </c>
      <c r="E33" s="56" t="e">
        <f t="shared" si="0"/>
        <v>#DIV/0!</v>
      </c>
      <c r="F33" s="58" t="e">
        <f t="shared" si="1"/>
        <v>#DIV/0!</v>
      </c>
      <c r="H33" s="56"/>
    </row>
    <row r="34" spans="1:8" x14ac:dyDescent="0.2">
      <c r="A34" t="e">
        <f t="shared" si="4"/>
        <v>#DIV/0!</v>
      </c>
      <c r="B34" t="e">
        <f t="shared" si="2"/>
        <v>#DIV/0!</v>
      </c>
      <c r="D34" s="56" t="e">
        <f t="shared" si="3"/>
        <v>#DIV/0!</v>
      </c>
      <c r="E34" s="56" t="e">
        <f t="shared" si="0"/>
        <v>#DIV/0!</v>
      </c>
      <c r="F34" s="58" t="e">
        <f t="shared" si="1"/>
        <v>#DIV/0!</v>
      </c>
      <c r="H34" s="56"/>
    </row>
    <row r="35" spans="1:8" x14ac:dyDescent="0.2">
      <c r="A35" t="e">
        <f t="shared" si="4"/>
        <v>#DIV/0!</v>
      </c>
      <c r="B35" t="e">
        <f t="shared" si="2"/>
        <v>#DIV/0!</v>
      </c>
      <c r="D35" s="56" t="e">
        <f t="shared" si="3"/>
        <v>#DIV/0!</v>
      </c>
      <c r="E35" s="56" t="e">
        <f t="shared" si="0"/>
        <v>#DIV/0!</v>
      </c>
      <c r="F35" s="58" t="e">
        <f t="shared" si="1"/>
        <v>#DIV/0!</v>
      </c>
      <c r="H35" s="56"/>
    </row>
    <row r="36" spans="1:8" x14ac:dyDescent="0.2">
      <c r="A36" t="e">
        <f t="shared" si="4"/>
        <v>#DIV/0!</v>
      </c>
      <c r="B36" t="e">
        <f t="shared" si="2"/>
        <v>#DIV/0!</v>
      </c>
      <c r="D36" s="56" t="e">
        <f t="shared" si="3"/>
        <v>#DIV/0!</v>
      </c>
      <c r="E36" s="56" t="e">
        <f t="shared" si="0"/>
        <v>#DIV/0!</v>
      </c>
      <c r="F36" s="58" t="e">
        <f t="shared" si="1"/>
        <v>#DIV/0!</v>
      </c>
      <c r="H36" s="56"/>
    </row>
    <row r="37" spans="1:8" x14ac:dyDescent="0.2">
      <c r="A37" t="e">
        <f t="shared" si="4"/>
        <v>#DIV/0!</v>
      </c>
      <c r="B37" t="e">
        <f t="shared" si="2"/>
        <v>#DIV/0!</v>
      </c>
      <c r="D37" s="56" t="e">
        <f t="shared" si="3"/>
        <v>#DIV/0!</v>
      </c>
      <c r="E37" s="56" t="e">
        <f t="shared" si="0"/>
        <v>#DIV/0!</v>
      </c>
      <c r="F37" s="70" t="e">
        <f>E37*1000</f>
        <v>#DIV/0!</v>
      </c>
      <c r="H37" s="56"/>
    </row>
    <row r="39" spans="1:8" ht="15.75" x14ac:dyDescent="0.25">
      <c r="A39" s="59"/>
      <c r="B39" s="59"/>
      <c r="C39" s="59"/>
      <c r="D39" s="65" t="s">
        <v>259</v>
      </c>
      <c r="E39" s="65"/>
      <c r="F39" s="66"/>
    </row>
    <row r="40" spans="1:8" x14ac:dyDescent="0.2">
      <c r="E40" s="56"/>
      <c r="F40" s="56"/>
    </row>
    <row r="41" spans="1:8" x14ac:dyDescent="0.2">
      <c r="A41" s="60" t="s">
        <v>2</v>
      </c>
      <c r="B41" s="61" t="s">
        <v>78</v>
      </c>
      <c r="C41" s="62"/>
      <c r="D41" s="60" t="s">
        <v>70</v>
      </c>
      <c r="E41" s="63" t="s">
        <v>71</v>
      </c>
      <c r="F41" s="64" t="s">
        <v>81</v>
      </c>
    </row>
    <row r="42" spans="1:8" x14ac:dyDescent="0.2">
      <c r="A42">
        <f>$D$6/((PI()/4)*$D$10*$D$4)</f>
        <v>0</v>
      </c>
      <c r="B42" t="e">
        <f>(-2*LOG(($D$11/($D$10*3.71))+(5-0.1*LOG($D$11/$D$10))*A42^-0.9))^-2</f>
        <v>#DIV/0!</v>
      </c>
      <c r="D42" s="56">
        <f>$D$10</f>
        <v>1E-3</v>
      </c>
      <c r="E42" s="56" t="e">
        <f>((0.5*$D$3*$D$6^2*B42)/($D$9*((PI()/4))^2))^0.2</f>
        <v>#DIV/0!</v>
      </c>
      <c r="F42" s="58" t="e">
        <f t="shared" ref="F42:F58" si="5">E42*1000</f>
        <v>#DIV/0!</v>
      </c>
    </row>
    <row r="43" spans="1:8" x14ac:dyDescent="0.2">
      <c r="A43" t="e">
        <f t="shared" ref="A43:A59" si="6">$D$6/((PI()/4)*E42*$D$4)</f>
        <v>#DIV/0!</v>
      </c>
      <c r="B43" t="e">
        <f t="shared" ref="B43:B59" si="7">(-2*LOG(($D$11/(E42*3.71))+(5-0.1*LOG($D$11/E42))*A43^-0.9))^-2</f>
        <v>#DIV/0!</v>
      </c>
      <c r="D43" s="56" t="e">
        <f t="shared" ref="D43:D59" si="8">E42</f>
        <v>#DIV/0!</v>
      </c>
      <c r="E43" s="56" t="e">
        <f t="shared" ref="E43:E59" si="9">((0.5*$D$3*$D$6^2*B43)/($D$9*((PI()/4))^2))^0.2</f>
        <v>#DIV/0!</v>
      </c>
      <c r="F43" s="58" t="e">
        <f t="shared" si="5"/>
        <v>#DIV/0!</v>
      </c>
    </row>
    <row r="44" spans="1:8" x14ac:dyDescent="0.2">
      <c r="A44" t="e">
        <f t="shared" si="6"/>
        <v>#DIV/0!</v>
      </c>
      <c r="B44" t="e">
        <f t="shared" si="7"/>
        <v>#DIV/0!</v>
      </c>
      <c r="D44" s="56" t="e">
        <f t="shared" si="8"/>
        <v>#DIV/0!</v>
      </c>
      <c r="E44" s="56" t="e">
        <f t="shared" si="9"/>
        <v>#DIV/0!</v>
      </c>
      <c r="F44" s="58" t="e">
        <f t="shared" si="5"/>
        <v>#DIV/0!</v>
      </c>
    </row>
    <row r="45" spans="1:8" x14ac:dyDescent="0.2">
      <c r="A45" t="e">
        <f t="shared" si="6"/>
        <v>#DIV/0!</v>
      </c>
      <c r="B45" t="e">
        <f t="shared" si="7"/>
        <v>#DIV/0!</v>
      </c>
      <c r="D45" s="56" t="e">
        <f t="shared" si="8"/>
        <v>#DIV/0!</v>
      </c>
      <c r="E45" s="56" t="e">
        <f t="shared" si="9"/>
        <v>#DIV/0!</v>
      </c>
      <c r="F45" s="58" t="e">
        <f t="shared" si="5"/>
        <v>#DIV/0!</v>
      </c>
    </row>
    <row r="46" spans="1:8" x14ac:dyDescent="0.2">
      <c r="A46" t="e">
        <f t="shared" si="6"/>
        <v>#DIV/0!</v>
      </c>
      <c r="B46" t="e">
        <f t="shared" si="7"/>
        <v>#DIV/0!</v>
      </c>
      <c r="D46" s="56" t="e">
        <f t="shared" si="8"/>
        <v>#DIV/0!</v>
      </c>
      <c r="E46" s="56" t="e">
        <f t="shared" si="9"/>
        <v>#DIV/0!</v>
      </c>
      <c r="F46" s="58" t="e">
        <f t="shared" si="5"/>
        <v>#DIV/0!</v>
      </c>
    </row>
    <row r="47" spans="1:8" x14ac:dyDescent="0.2">
      <c r="A47" t="e">
        <f t="shared" si="6"/>
        <v>#DIV/0!</v>
      </c>
      <c r="B47" t="e">
        <f t="shared" si="7"/>
        <v>#DIV/0!</v>
      </c>
      <c r="D47" s="56" t="e">
        <f t="shared" si="8"/>
        <v>#DIV/0!</v>
      </c>
      <c r="E47" s="56" t="e">
        <f t="shared" si="9"/>
        <v>#DIV/0!</v>
      </c>
      <c r="F47" s="58" t="e">
        <f t="shared" si="5"/>
        <v>#DIV/0!</v>
      </c>
    </row>
    <row r="48" spans="1:8" x14ac:dyDescent="0.2">
      <c r="A48" t="e">
        <f t="shared" si="6"/>
        <v>#DIV/0!</v>
      </c>
      <c r="B48" t="e">
        <f t="shared" si="7"/>
        <v>#DIV/0!</v>
      </c>
      <c r="D48" s="56" t="e">
        <f t="shared" si="8"/>
        <v>#DIV/0!</v>
      </c>
      <c r="E48" s="56" t="e">
        <f t="shared" si="9"/>
        <v>#DIV/0!</v>
      </c>
      <c r="F48" s="58" t="e">
        <f t="shared" si="5"/>
        <v>#DIV/0!</v>
      </c>
    </row>
    <row r="49" spans="1:6" x14ac:dyDescent="0.2">
      <c r="A49" t="e">
        <f t="shared" si="6"/>
        <v>#DIV/0!</v>
      </c>
      <c r="B49" t="e">
        <f t="shared" si="7"/>
        <v>#DIV/0!</v>
      </c>
      <c r="D49" s="56" t="e">
        <f t="shared" si="8"/>
        <v>#DIV/0!</v>
      </c>
      <c r="E49" s="56" t="e">
        <f t="shared" si="9"/>
        <v>#DIV/0!</v>
      </c>
      <c r="F49" s="58" t="e">
        <f t="shared" si="5"/>
        <v>#DIV/0!</v>
      </c>
    </row>
    <row r="50" spans="1:6" x14ac:dyDescent="0.2">
      <c r="A50" t="e">
        <f t="shared" si="6"/>
        <v>#DIV/0!</v>
      </c>
      <c r="B50" t="e">
        <f t="shared" si="7"/>
        <v>#DIV/0!</v>
      </c>
      <c r="D50" s="56" t="e">
        <f t="shared" si="8"/>
        <v>#DIV/0!</v>
      </c>
      <c r="E50" s="56" t="e">
        <f t="shared" si="9"/>
        <v>#DIV/0!</v>
      </c>
      <c r="F50" s="58" t="e">
        <f t="shared" si="5"/>
        <v>#DIV/0!</v>
      </c>
    </row>
    <row r="51" spans="1:6" x14ac:dyDescent="0.2">
      <c r="A51" t="e">
        <f t="shared" si="6"/>
        <v>#DIV/0!</v>
      </c>
      <c r="B51" t="e">
        <f t="shared" si="7"/>
        <v>#DIV/0!</v>
      </c>
      <c r="D51" s="56" t="e">
        <f t="shared" si="8"/>
        <v>#DIV/0!</v>
      </c>
      <c r="E51" s="56" t="e">
        <f t="shared" si="9"/>
        <v>#DIV/0!</v>
      </c>
      <c r="F51" s="58" t="e">
        <f t="shared" si="5"/>
        <v>#DIV/0!</v>
      </c>
    </row>
    <row r="52" spans="1:6" x14ac:dyDescent="0.2">
      <c r="A52" t="e">
        <f t="shared" si="6"/>
        <v>#DIV/0!</v>
      </c>
      <c r="B52" t="e">
        <f t="shared" si="7"/>
        <v>#DIV/0!</v>
      </c>
      <c r="D52" s="56" t="e">
        <f t="shared" si="8"/>
        <v>#DIV/0!</v>
      </c>
      <c r="E52" s="56" t="e">
        <f t="shared" si="9"/>
        <v>#DIV/0!</v>
      </c>
      <c r="F52" s="58" t="e">
        <f t="shared" si="5"/>
        <v>#DIV/0!</v>
      </c>
    </row>
    <row r="53" spans="1:6" x14ac:dyDescent="0.2">
      <c r="A53" t="e">
        <f t="shared" si="6"/>
        <v>#DIV/0!</v>
      </c>
      <c r="B53" t="e">
        <f t="shared" si="7"/>
        <v>#DIV/0!</v>
      </c>
      <c r="D53" s="56" t="e">
        <f t="shared" si="8"/>
        <v>#DIV/0!</v>
      </c>
      <c r="E53" s="56" t="e">
        <f t="shared" si="9"/>
        <v>#DIV/0!</v>
      </c>
      <c r="F53" s="58" t="e">
        <f t="shared" si="5"/>
        <v>#DIV/0!</v>
      </c>
    </row>
    <row r="54" spans="1:6" x14ac:dyDescent="0.2">
      <c r="A54" t="e">
        <f t="shared" si="6"/>
        <v>#DIV/0!</v>
      </c>
      <c r="B54" t="e">
        <f t="shared" si="7"/>
        <v>#DIV/0!</v>
      </c>
      <c r="D54" s="56" t="e">
        <f t="shared" si="8"/>
        <v>#DIV/0!</v>
      </c>
      <c r="E54" s="56" t="e">
        <f t="shared" si="9"/>
        <v>#DIV/0!</v>
      </c>
      <c r="F54" s="58" t="e">
        <f t="shared" si="5"/>
        <v>#DIV/0!</v>
      </c>
    </row>
    <row r="55" spans="1:6" x14ac:dyDescent="0.2">
      <c r="A55" t="e">
        <f t="shared" si="6"/>
        <v>#DIV/0!</v>
      </c>
      <c r="B55" t="e">
        <f t="shared" si="7"/>
        <v>#DIV/0!</v>
      </c>
      <c r="D55" s="56" t="e">
        <f t="shared" si="8"/>
        <v>#DIV/0!</v>
      </c>
      <c r="E55" s="56" t="e">
        <f>((0.5*$D$3*$D$6^2*B55)/($D$9*((PI()/4))^2))^0.2</f>
        <v>#DIV/0!</v>
      </c>
      <c r="F55" s="58" t="e">
        <f t="shared" si="5"/>
        <v>#DIV/0!</v>
      </c>
    </row>
    <row r="56" spans="1:6" x14ac:dyDescent="0.2">
      <c r="A56" t="e">
        <f t="shared" si="6"/>
        <v>#DIV/0!</v>
      </c>
      <c r="B56" t="e">
        <f t="shared" si="7"/>
        <v>#DIV/0!</v>
      </c>
      <c r="D56" s="56" t="e">
        <f t="shared" si="8"/>
        <v>#DIV/0!</v>
      </c>
      <c r="E56" s="56" t="e">
        <f t="shared" si="9"/>
        <v>#DIV/0!</v>
      </c>
      <c r="F56" s="58" t="e">
        <f t="shared" si="5"/>
        <v>#DIV/0!</v>
      </c>
    </row>
    <row r="57" spans="1:6" x14ac:dyDescent="0.2">
      <c r="A57" t="e">
        <f t="shared" si="6"/>
        <v>#DIV/0!</v>
      </c>
      <c r="B57" t="e">
        <f t="shared" si="7"/>
        <v>#DIV/0!</v>
      </c>
      <c r="D57" s="56" t="e">
        <f t="shared" si="8"/>
        <v>#DIV/0!</v>
      </c>
      <c r="E57" s="56" t="e">
        <f t="shared" si="9"/>
        <v>#DIV/0!</v>
      </c>
      <c r="F57" s="58" t="e">
        <f t="shared" si="5"/>
        <v>#DIV/0!</v>
      </c>
    </row>
    <row r="58" spans="1:6" x14ac:dyDescent="0.2">
      <c r="A58" t="e">
        <f t="shared" si="6"/>
        <v>#DIV/0!</v>
      </c>
      <c r="B58" t="e">
        <f t="shared" si="7"/>
        <v>#DIV/0!</v>
      </c>
      <c r="D58" s="56" t="e">
        <f t="shared" si="8"/>
        <v>#DIV/0!</v>
      </c>
      <c r="E58" s="56" t="e">
        <f t="shared" si="9"/>
        <v>#DIV/0!</v>
      </c>
      <c r="F58" s="58" t="e">
        <f t="shared" si="5"/>
        <v>#DIV/0!</v>
      </c>
    </row>
    <row r="59" spans="1:6" x14ac:dyDescent="0.2">
      <c r="A59" t="e">
        <f t="shared" si="6"/>
        <v>#DIV/0!</v>
      </c>
      <c r="B59" t="e">
        <f t="shared" si="7"/>
        <v>#DIV/0!</v>
      </c>
      <c r="D59" s="56" t="e">
        <f t="shared" si="8"/>
        <v>#DIV/0!</v>
      </c>
      <c r="E59" s="56" t="e">
        <f t="shared" si="9"/>
        <v>#DIV/0!</v>
      </c>
      <c r="F59" s="70" t="e">
        <f>E59*1000</f>
        <v>#DIV/0!</v>
      </c>
    </row>
    <row r="61" spans="1:6" ht="15.75" x14ac:dyDescent="0.25">
      <c r="A61" s="59"/>
      <c r="B61" s="59"/>
      <c r="C61" s="59"/>
      <c r="D61" s="65" t="s">
        <v>262</v>
      </c>
      <c r="E61" s="65"/>
      <c r="F61" s="66"/>
    </row>
    <row r="62" spans="1:6" x14ac:dyDescent="0.2">
      <c r="E62" s="56"/>
      <c r="F62" s="56"/>
    </row>
    <row r="63" spans="1:6" x14ac:dyDescent="0.2">
      <c r="A63" s="60" t="s">
        <v>2</v>
      </c>
      <c r="B63" s="61" t="s">
        <v>78</v>
      </c>
      <c r="C63" s="62"/>
      <c r="D63" s="60" t="s">
        <v>70</v>
      </c>
      <c r="E63" s="63" t="s">
        <v>71</v>
      </c>
      <c r="F63" s="64" t="s">
        <v>81</v>
      </c>
    </row>
    <row r="64" spans="1:6" x14ac:dyDescent="0.2">
      <c r="A64">
        <f>$D$7/((PI()/4)*$D$10*$D$4)</f>
        <v>0</v>
      </c>
      <c r="B64" t="e">
        <f>(-2*LOG(($D$11/($D$10*3.71))+(5-0.1*LOG($D$11/$D$10))*A64^-0.9))^-2</f>
        <v>#DIV/0!</v>
      </c>
      <c r="D64" s="56">
        <f>$D$10</f>
        <v>1E-3</v>
      </c>
      <c r="E64" s="56" t="e">
        <f>((0.5*$D$3*$D$7^2*B64)/($D$9*((PI()/4))^2))^0.2</f>
        <v>#DIV/0!</v>
      </c>
      <c r="F64" s="58" t="e">
        <f t="shared" ref="F64:F80" si="10">E64*1000</f>
        <v>#DIV/0!</v>
      </c>
    </row>
    <row r="65" spans="1:6" x14ac:dyDescent="0.2">
      <c r="A65" t="e">
        <f>$D$7/((PI()/4)*E64*$D$4)</f>
        <v>#DIV/0!</v>
      </c>
      <c r="B65" t="e">
        <f t="shared" ref="B65:B81" si="11">(-2*LOG(($D$11/(E64*3.71))+(5-0.1*LOG($D$11/E64))*A65^-0.9))^-2</f>
        <v>#DIV/0!</v>
      </c>
      <c r="D65" s="56" t="e">
        <f t="shared" ref="D65:D81" si="12">E64</f>
        <v>#DIV/0!</v>
      </c>
      <c r="E65" s="56" t="e">
        <f t="shared" ref="E65:E81" si="13">((0.5*$D$3*$D$7^2*B65)/($D$9*((PI()/4))^2))^0.2</f>
        <v>#DIV/0!</v>
      </c>
      <c r="F65" s="58" t="e">
        <f t="shared" si="10"/>
        <v>#DIV/0!</v>
      </c>
    </row>
    <row r="66" spans="1:6" x14ac:dyDescent="0.2">
      <c r="A66" t="e">
        <f t="shared" ref="A66:A81" si="14">$D$7/((PI()/4)*E65*$D$4)</f>
        <v>#DIV/0!</v>
      </c>
      <c r="B66" t="e">
        <f t="shared" si="11"/>
        <v>#DIV/0!</v>
      </c>
      <c r="D66" s="56" t="e">
        <f t="shared" si="12"/>
        <v>#DIV/0!</v>
      </c>
      <c r="E66" s="56" t="e">
        <f t="shared" si="13"/>
        <v>#DIV/0!</v>
      </c>
      <c r="F66" s="58" t="e">
        <f t="shared" si="10"/>
        <v>#DIV/0!</v>
      </c>
    </row>
    <row r="67" spans="1:6" x14ac:dyDescent="0.2">
      <c r="A67" t="e">
        <f t="shared" si="14"/>
        <v>#DIV/0!</v>
      </c>
      <c r="B67" t="e">
        <f t="shared" si="11"/>
        <v>#DIV/0!</v>
      </c>
      <c r="D67" s="56" t="e">
        <f t="shared" si="12"/>
        <v>#DIV/0!</v>
      </c>
      <c r="E67" s="56" t="e">
        <f t="shared" si="13"/>
        <v>#DIV/0!</v>
      </c>
      <c r="F67" s="58" t="e">
        <f t="shared" si="10"/>
        <v>#DIV/0!</v>
      </c>
    </row>
    <row r="68" spans="1:6" x14ac:dyDescent="0.2">
      <c r="A68" t="e">
        <f t="shared" si="14"/>
        <v>#DIV/0!</v>
      </c>
      <c r="B68" t="e">
        <f t="shared" si="11"/>
        <v>#DIV/0!</v>
      </c>
      <c r="D68" s="56" t="e">
        <f t="shared" si="12"/>
        <v>#DIV/0!</v>
      </c>
      <c r="E68" s="56" t="e">
        <f t="shared" si="13"/>
        <v>#DIV/0!</v>
      </c>
      <c r="F68" s="58" t="e">
        <f t="shared" si="10"/>
        <v>#DIV/0!</v>
      </c>
    </row>
    <row r="69" spans="1:6" x14ac:dyDescent="0.2">
      <c r="A69" t="e">
        <f t="shared" si="14"/>
        <v>#DIV/0!</v>
      </c>
      <c r="B69" t="e">
        <f t="shared" si="11"/>
        <v>#DIV/0!</v>
      </c>
      <c r="D69" s="56" t="e">
        <f t="shared" si="12"/>
        <v>#DIV/0!</v>
      </c>
      <c r="E69" s="56" t="e">
        <f t="shared" si="13"/>
        <v>#DIV/0!</v>
      </c>
      <c r="F69" s="58" t="e">
        <f t="shared" si="10"/>
        <v>#DIV/0!</v>
      </c>
    </row>
    <row r="70" spans="1:6" x14ac:dyDescent="0.2">
      <c r="A70" t="e">
        <f t="shared" si="14"/>
        <v>#DIV/0!</v>
      </c>
      <c r="B70" t="e">
        <f t="shared" si="11"/>
        <v>#DIV/0!</v>
      </c>
      <c r="D70" s="56" t="e">
        <f t="shared" si="12"/>
        <v>#DIV/0!</v>
      </c>
      <c r="E70" s="56" t="e">
        <f t="shared" si="13"/>
        <v>#DIV/0!</v>
      </c>
      <c r="F70" s="58" t="e">
        <f t="shared" si="10"/>
        <v>#DIV/0!</v>
      </c>
    </row>
    <row r="71" spans="1:6" x14ac:dyDescent="0.2">
      <c r="A71" t="e">
        <f t="shared" si="14"/>
        <v>#DIV/0!</v>
      </c>
      <c r="B71" t="e">
        <f t="shared" si="11"/>
        <v>#DIV/0!</v>
      </c>
      <c r="D71" s="56" t="e">
        <f t="shared" si="12"/>
        <v>#DIV/0!</v>
      </c>
      <c r="E71" s="56" t="e">
        <f t="shared" si="13"/>
        <v>#DIV/0!</v>
      </c>
      <c r="F71" s="58" t="e">
        <f t="shared" si="10"/>
        <v>#DIV/0!</v>
      </c>
    </row>
    <row r="72" spans="1:6" x14ac:dyDescent="0.2">
      <c r="A72" t="e">
        <f t="shared" si="14"/>
        <v>#DIV/0!</v>
      </c>
      <c r="B72" t="e">
        <f t="shared" si="11"/>
        <v>#DIV/0!</v>
      </c>
      <c r="D72" s="56" t="e">
        <f t="shared" si="12"/>
        <v>#DIV/0!</v>
      </c>
      <c r="E72" s="56" t="e">
        <f t="shared" si="13"/>
        <v>#DIV/0!</v>
      </c>
      <c r="F72" s="58" t="e">
        <f t="shared" si="10"/>
        <v>#DIV/0!</v>
      </c>
    </row>
    <row r="73" spans="1:6" x14ac:dyDescent="0.2">
      <c r="A73" t="e">
        <f t="shared" si="14"/>
        <v>#DIV/0!</v>
      </c>
      <c r="B73" t="e">
        <f t="shared" si="11"/>
        <v>#DIV/0!</v>
      </c>
      <c r="D73" s="56" t="e">
        <f t="shared" si="12"/>
        <v>#DIV/0!</v>
      </c>
      <c r="E73" s="56" t="e">
        <f t="shared" si="13"/>
        <v>#DIV/0!</v>
      </c>
      <c r="F73" s="58" t="e">
        <f t="shared" si="10"/>
        <v>#DIV/0!</v>
      </c>
    </row>
    <row r="74" spans="1:6" x14ac:dyDescent="0.2">
      <c r="A74" t="e">
        <f t="shared" si="14"/>
        <v>#DIV/0!</v>
      </c>
      <c r="B74" t="e">
        <f t="shared" si="11"/>
        <v>#DIV/0!</v>
      </c>
      <c r="D74" s="56" t="e">
        <f t="shared" si="12"/>
        <v>#DIV/0!</v>
      </c>
      <c r="E74" s="56" t="e">
        <f t="shared" si="13"/>
        <v>#DIV/0!</v>
      </c>
      <c r="F74" s="58" t="e">
        <f t="shared" si="10"/>
        <v>#DIV/0!</v>
      </c>
    </row>
    <row r="75" spans="1:6" x14ac:dyDescent="0.2">
      <c r="A75" t="e">
        <f t="shared" si="14"/>
        <v>#DIV/0!</v>
      </c>
      <c r="B75" t="e">
        <f t="shared" si="11"/>
        <v>#DIV/0!</v>
      </c>
      <c r="D75" s="56" t="e">
        <f t="shared" si="12"/>
        <v>#DIV/0!</v>
      </c>
      <c r="E75" s="56" t="e">
        <f t="shared" si="13"/>
        <v>#DIV/0!</v>
      </c>
      <c r="F75" s="58" t="e">
        <f t="shared" si="10"/>
        <v>#DIV/0!</v>
      </c>
    </row>
    <row r="76" spans="1:6" x14ac:dyDescent="0.2">
      <c r="A76" t="e">
        <f t="shared" si="14"/>
        <v>#DIV/0!</v>
      </c>
      <c r="B76" t="e">
        <f t="shared" si="11"/>
        <v>#DIV/0!</v>
      </c>
      <c r="D76" s="56" t="e">
        <f t="shared" si="12"/>
        <v>#DIV/0!</v>
      </c>
      <c r="E76" s="56" t="e">
        <f t="shared" si="13"/>
        <v>#DIV/0!</v>
      </c>
      <c r="F76" s="58" t="e">
        <f t="shared" si="10"/>
        <v>#DIV/0!</v>
      </c>
    </row>
    <row r="77" spans="1:6" x14ac:dyDescent="0.2">
      <c r="A77" t="e">
        <f t="shared" si="14"/>
        <v>#DIV/0!</v>
      </c>
      <c r="B77" t="e">
        <f t="shared" si="11"/>
        <v>#DIV/0!</v>
      </c>
      <c r="D77" s="56" t="e">
        <f t="shared" si="12"/>
        <v>#DIV/0!</v>
      </c>
      <c r="E77" s="56" t="e">
        <f t="shared" si="13"/>
        <v>#DIV/0!</v>
      </c>
      <c r="F77" s="58" t="e">
        <f t="shared" si="10"/>
        <v>#DIV/0!</v>
      </c>
    </row>
    <row r="78" spans="1:6" x14ac:dyDescent="0.2">
      <c r="A78" t="e">
        <f t="shared" si="14"/>
        <v>#DIV/0!</v>
      </c>
      <c r="B78" t="e">
        <f t="shared" si="11"/>
        <v>#DIV/0!</v>
      </c>
      <c r="D78" s="56" t="e">
        <f t="shared" si="12"/>
        <v>#DIV/0!</v>
      </c>
      <c r="E78" s="56" t="e">
        <f t="shared" si="13"/>
        <v>#DIV/0!</v>
      </c>
      <c r="F78" s="58" t="e">
        <f t="shared" si="10"/>
        <v>#DIV/0!</v>
      </c>
    </row>
    <row r="79" spans="1:6" x14ac:dyDescent="0.2">
      <c r="A79" t="e">
        <f t="shared" si="14"/>
        <v>#DIV/0!</v>
      </c>
      <c r="B79" t="e">
        <f t="shared" si="11"/>
        <v>#DIV/0!</v>
      </c>
      <c r="D79" s="56" t="e">
        <f t="shared" si="12"/>
        <v>#DIV/0!</v>
      </c>
      <c r="E79" s="56" t="e">
        <f t="shared" si="13"/>
        <v>#DIV/0!</v>
      </c>
      <c r="F79" s="58" t="e">
        <f t="shared" si="10"/>
        <v>#DIV/0!</v>
      </c>
    </row>
    <row r="80" spans="1:6" x14ac:dyDescent="0.2">
      <c r="A80" t="e">
        <f t="shared" si="14"/>
        <v>#DIV/0!</v>
      </c>
      <c r="B80" t="e">
        <f t="shared" si="11"/>
        <v>#DIV/0!</v>
      </c>
      <c r="D80" s="56" t="e">
        <f t="shared" si="12"/>
        <v>#DIV/0!</v>
      </c>
      <c r="E80" s="56" t="e">
        <f t="shared" si="13"/>
        <v>#DIV/0!</v>
      </c>
      <c r="F80" s="58" t="e">
        <f t="shared" si="10"/>
        <v>#DIV/0!</v>
      </c>
    </row>
    <row r="81" spans="1:6" x14ac:dyDescent="0.2">
      <c r="A81" t="e">
        <f t="shared" si="14"/>
        <v>#DIV/0!</v>
      </c>
      <c r="B81" t="e">
        <f t="shared" si="11"/>
        <v>#DIV/0!</v>
      </c>
      <c r="D81" s="56" t="e">
        <f t="shared" si="12"/>
        <v>#DIV/0!</v>
      </c>
      <c r="E81" s="56" t="e">
        <f t="shared" si="13"/>
        <v>#DIV/0!</v>
      </c>
      <c r="F81" s="70" t="e">
        <f>E81*1000</f>
        <v>#DIV/0!</v>
      </c>
    </row>
    <row r="83" spans="1:6" ht="15.75" x14ac:dyDescent="0.25">
      <c r="A83" s="59"/>
      <c r="B83" s="59"/>
      <c r="C83" s="59"/>
      <c r="D83" s="65" t="s">
        <v>261</v>
      </c>
      <c r="E83" s="65"/>
      <c r="F83" s="66"/>
    </row>
    <row r="84" spans="1:6" x14ac:dyDescent="0.2">
      <c r="E84" s="56"/>
      <c r="F84" s="56"/>
    </row>
    <row r="85" spans="1:6" x14ac:dyDescent="0.2">
      <c r="A85" s="60" t="s">
        <v>2</v>
      </c>
      <c r="B85" s="61" t="s">
        <v>78</v>
      </c>
      <c r="C85" s="62"/>
      <c r="D85" s="60" t="s">
        <v>70</v>
      </c>
      <c r="E85" s="63" t="s">
        <v>71</v>
      </c>
      <c r="F85" s="64" t="s">
        <v>81</v>
      </c>
    </row>
    <row r="86" spans="1:6" x14ac:dyDescent="0.2">
      <c r="A86">
        <f>$D$8/((PI()/4)*$D$10*$D$4)</f>
        <v>0</v>
      </c>
      <c r="B86" t="e">
        <f>(-2*LOG(($D$11/($D$10*3.71))+(5-0.1*LOG($D$11/$D$10))*A86^-0.9))^-2</f>
        <v>#DIV/0!</v>
      </c>
      <c r="D86" s="56">
        <f>$D$10</f>
        <v>1E-3</v>
      </c>
      <c r="E86" s="56" t="e">
        <f>((0.5*$D$3*$D$8^2*B86)/($D$9*((PI()/4))^2))^0.2</f>
        <v>#DIV/0!</v>
      </c>
      <c r="F86" s="58" t="e">
        <f t="shared" ref="F86:F102" si="15">E86*1000</f>
        <v>#DIV/0!</v>
      </c>
    </row>
    <row r="87" spans="1:6" x14ac:dyDescent="0.2">
      <c r="A87" t="e">
        <f t="shared" ref="A87:A103" si="16">$D$8/((PI()/4)*E86*$D$4)</f>
        <v>#DIV/0!</v>
      </c>
      <c r="B87" t="e">
        <f t="shared" ref="B87:B103" si="17">(-2*LOG(($D$11/(E86*3.71))+(5-0.1*LOG($D$11/E86))*A87^-0.9))^-2</f>
        <v>#DIV/0!</v>
      </c>
      <c r="D87" s="56" t="e">
        <f t="shared" ref="D87:D103" si="18">E86</f>
        <v>#DIV/0!</v>
      </c>
      <c r="E87" s="56" t="e">
        <f t="shared" ref="E87:E103" si="19">((0.5*$D$3*$D$8^2*B87)/($D$9*((PI()/4))^2))^0.2</f>
        <v>#DIV/0!</v>
      </c>
      <c r="F87" s="58" t="e">
        <f t="shared" si="15"/>
        <v>#DIV/0!</v>
      </c>
    </row>
    <row r="88" spans="1:6" x14ac:dyDescent="0.2">
      <c r="A88" t="e">
        <f t="shared" si="16"/>
        <v>#DIV/0!</v>
      </c>
      <c r="B88" t="e">
        <f t="shared" si="17"/>
        <v>#DIV/0!</v>
      </c>
      <c r="D88" s="56" t="e">
        <f t="shared" si="18"/>
        <v>#DIV/0!</v>
      </c>
      <c r="E88" s="56" t="e">
        <f t="shared" si="19"/>
        <v>#DIV/0!</v>
      </c>
      <c r="F88" s="58" t="e">
        <f t="shared" si="15"/>
        <v>#DIV/0!</v>
      </c>
    </row>
    <row r="89" spans="1:6" x14ac:dyDescent="0.2">
      <c r="A89" t="e">
        <f t="shared" si="16"/>
        <v>#DIV/0!</v>
      </c>
      <c r="B89" t="e">
        <f t="shared" si="17"/>
        <v>#DIV/0!</v>
      </c>
      <c r="D89" s="56" t="e">
        <f t="shared" si="18"/>
        <v>#DIV/0!</v>
      </c>
      <c r="E89" s="56" t="e">
        <f t="shared" si="19"/>
        <v>#DIV/0!</v>
      </c>
      <c r="F89" s="58" t="e">
        <f t="shared" si="15"/>
        <v>#DIV/0!</v>
      </c>
    </row>
    <row r="90" spans="1:6" x14ac:dyDescent="0.2">
      <c r="A90" t="e">
        <f t="shared" si="16"/>
        <v>#DIV/0!</v>
      </c>
      <c r="B90" t="e">
        <f t="shared" si="17"/>
        <v>#DIV/0!</v>
      </c>
      <c r="D90" s="56" t="e">
        <f t="shared" si="18"/>
        <v>#DIV/0!</v>
      </c>
      <c r="E90" s="56" t="e">
        <f t="shared" si="19"/>
        <v>#DIV/0!</v>
      </c>
      <c r="F90" s="58" t="e">
        <f t="shared" si="15"/>
        <v>#DIV/0!</v>
      </c>
    </row>
    <row r="91" spans="1:6" x14ac:dyDescent="0.2">
      <c r="A91" t="e">
        <f t="shared" si="16"/>
        <v>#DIV/0!</v>
      </c>
      <c r="B91" t="e">
        <f t="shared" si="17"/>
        <v>#DIV/0!</v>
      </c>
      <c r="D91" s="56" t="e">
        <f t="shared" si="18"/>
        <v>#DIV/0!</v>
      </c>
      <c r="E91" s="56" t="e">
        <f t="shared" si="19"/>
        <v>#DIV/0!</v>
      </c>
      <c r="F91" s="58" t="e">
        <f t="shared" si="15"/>
        <v>#DIV/0!</v>
      </c>
    </row>
    <row r="92" spans="1:6" x14ac:dyDescent="0.2">
      <c r="A92" t="e">
        <f t="shared" si="16"/>
        <v>#DIV/0!</v>
      </c>
      <c r="B92" t="e">
        <f t="shared" si="17"/>
        <v>#DIV/0!</v>
      </c>
      <c r="D92" s="56" t="e">
        <f t="shared" si="18"/>
        <v>#DIV/0!</v>
      </c>
      <c r="E92" s="56" t="e">
        <f t="shared" si="19"/>
        <v>#DIV/0!</v>
      </c>
      <c r="F92" s="58" t="e">
        <f t="shared" si="15"/>
        <v>#DIV/0!</v>
      </c>
    </row>
    <row r="93" spans="1:6" x14ac:dyDescent="0.2">
      <c r="A93" t="e">
        <f t="shared" si="16"/>
        <v>#DIV/0!</v>
      </c>
      <c r="B93" t="e">
        <f t="shared" si="17"/>
        <v>#DIV/0!</v>
      </c>
      <c r="D93" s="56" t="e">
        <f t="shared" si="18"/>
        <v>#DIV/0!</v>
      </c>
      <c r="E93" s="56" t="e">
        <f t="shared" si="19"/>
        <v>#DIV/0!</v>
      </c>
      <c r="F93" s="58" t="e">
        <f t="shared" si="15"/>
        <v>#DIV/0!</v>
      </c>
    </row>
    <row r="94" spans="1:6" x14ac:dyDescent="0.2">
      <c r="A94" t="e">
        <f t="shared" si="16"/>
        <v>#DIV/0!</v>
      </c>
      <c r="B94" t="e">
        <f t="shared" si="17"/>
        <v>#DIV/0!</v>
      </c>
      <c r="D94" s="56" t="e">
        <f t="shared" si="18"/>
        <v>#DIV/0!</v>
      </c>
      <c r="E94" s="56" t="e">
        <f t="shared" si="19"/>
        <v>#DIV/0!</v>
      </c>
      <c r="F94" s="58" t="e">
        <f t="shared" si="15"/>
        <v>#DIV/0!</v>
      </c>
    </row>
    <row r="95" spans="1:6" x14ac:dyDescent="0.2">
      <c r="A95" t="e">
        <f t="shared" si="16"/>
        <v>#DIV/0!</v>
      </c>
      <c r="B95" t="e">
        <f t="shared" si="17"/>
        <v>#DIV/0!</v>
      </c>
      <c r="D95" s="56" t="e">
        <f t="shared" si="18"/>
        <v>#DIV/0!</v>
      </c>
      <c r="E95" s="56" t="e">
        <f t="shared" si="19"/>
        <v>#DIV/0!</v>
      </c>
      <c r="F95" s="58" t="e">
        <f t="shared" si="15"/>
        <v>#DIV/0!</v>
      </c>
    </row>
    <row r="96" spans="1:6" x14ac:dyDescent="0.2">
      <c r="A96" t="e">
        <f t="shared" si="16"/>
        <v>#DIV/0!</v>
      </c>
      <c r="B96" t="e">
        <f t="shared" si="17"/>
        <v>#DIV/0!</v>
      </c>
      <c r="D96" s="56" t="e">
        <f t="shared" si="18"/>
        <v>#DIV/0!</v>
      </c>
      <c r="E96" s="56" t="e">
        <f t="shared" si="19"/>
        <v>#DIV/0!</v>
      </c>
      <c r="F96" s="58" t="e">
        <f t="shared" si="15"/>
        <v>#DIV/0!</v>
      </c>
    </row>
    <row r="97" spans="1:6" x14ac:dyDescent="0.2">
      <c r="A97" t="e">
        <f t="shared" si="16"/>
        <v>#DIV/0!</v>
      </c>
      <c r="B97" t="e">
        <f t="shared" si="17"/>
        <v>#DIV/0!</v>
      </c>
      <c r="D97" s="56" t="e">
        <f t="shared" si="18"/>
        <v>#DIV/0!</v>
      </c>
      <c r="E97" s="56" t="e">
        <f t="shared" si="19"/>
        <v>#DIV/0!</v>
      </c>
      <c r="F97" s="58" t="e">
        <f t="shared" si="15"/>
        <v>#DIV/0!</v>
      </c>
    </row>
    <row r="98" spans="1:6" x14ac:dyDescent="0.2">
      <c r="A98" t="e">
        <f t="shared" si="16"/>
        <v>#DIV/0!</v>
      </c>
      <c r="B98" t="e">
        <f t="shared" si="17"/>
        <v>#DIV/0!</v>
      </c>
      <c r="D98" s="56" t="e">
        <f t="shared" si="18"/>
        <v>#DIV/0!</v>
      </c>
      <c r="E98" s="56" t="e">
        <f t="shared" si="19"/>
        <v>#DIV/0!</v>
      </c>
      <c r="F98" s="58" t="e">
        <f t="shared" si="15"/>
        <v>#DIV/0!</v>
      </c>
    </row>
    <row r="99" spans="1:6" x14ac:dyDescent="0.2">
      <c r="A99" t="e">
        <f t="shared" si="16"/>
        <v>#DIV/0!</v>
      </c>
      <c r="B99" t="e">
        <f t="shared" si="17"/>
        <v>#DIV/0!</v>
      </c>
      <c r="D99" s="56" t="e">
        <f t="shared" si="18"/>
        <v>#DIV/0!</v>
      </c>
      <c r="E99" s="56" t="e">
        <f t="shared" si="19"/>
        <v>#DIV/0!</v>
      </c>
      <c r="F99" s="58" t="e">
        <f t="shared" si="15"/>
        <v>#DIV/0!</v>
      </c>
    </row>
    <row r="100" spans="1:6" x14ac:dyDescent="0.2">
      <c r="A100" t="e">
        <f t="shared" si="16"/>
        <v>#DIV/0!</v>
      </c>
      <c r="B100" t="e">
        <f t="shared" si="17"/>
        <v>#DIV/0!</v>
      </c>
      <c r="D100" s="56" t="e">
        <f t="shared" si="18"/>
        <v>#DIV/0!</v>
      </c>
      <c r="E100" s="56" t="e">
        <f t="shared" si="19"/>
        <v>#DIV/0!</v>
      </c>
      <c r="F100" s="58" t="e">
        <f t="shared" si="15"/>
        <v>#DIV/0!</v>
      </c>
    </row>
    <row r="101" spans="1:6" x14ac:dyDescent="0.2">
      <c r="A101" t="e">
        <f t="shared" si="16"/>
        <v>#DIV/0!</v>
      </c>
      <c r="B101" t="e">
        <f t="shared" si="17"/>
        <v>#DIV/0!</v>
      </c>
      <c r="D101" s="56" t="e">
        <f t="shared" si="18"/>
        <v>#DIV/0!</v>
      </c>
      <c r="E101" s="56" t="e">
        <f t="shared" si="19"/>
        <v>#DIV/0!</v>
      </c>
      <c r="F101" s="58" t="e">
        <f t="shared" si="15"/>
        <v>#DIV/0!</v>
      </c>
    </row>
    <row r="102" spans="1:6" x14ac:dyDescent="0.2">
      <c r="A102" t="e">
        <f t="shared" si="16"/>
        <v>#DIV/0!</v>
      </c>
      <c r="B102" t="e">
        <f t="shared" si="17"/>
        <v>#DIV/0!</v>
      </c>
      <c r="D102" s="56" t="e">
        <f t="shared" si="18"/>
        <v>#DIV/0!</v>
      </c>
      <c r="E102" s="56" t="e">
        <f t="shared" si="19"/>
        <v>#DIV/0!</v>
      </c>
      <c r="F102" s="58" t="e">
        <f t="shared" si="15"/>
        <v>#DIV/0!</v>
      </c>
    </row>
    <row r="103" spans="1:6" x14ac:dyDescent="0.2">
      <c r="A103" t="e">
        <f t="shared" si="16"/>
        <v>#DIV/0!</v>
      </c>
      <c r="B103" t="e">
        <f t="shared" si="17"/>
        <v>#DIV/0!</v>
      </c>
      <c r="D103" s="56" t="e">
        <f t="shared" si="18"/>
        <v>#DIV/0!</v>
      </c>
      <c r="E103" s="56" t="e">
        <f t="shared" si="19"/>
        <v>#DIV/0!</v>
      </c>
      <c r="F103" s="70" t="e">
        <f>E103*1000</f>
        <v>#DIV/0!</v>
      </c>
    </row>
  </sheetData>
  <sheetProtection selectLockedCells="1" selectUnlockedCells="1"/>
  <mergeCells count="1">
    <mergeCell ref="H14:I14"/>
  </mergeCells>
  <phoneticPr fontId="3" type="noConversion"/>
  <pageMargins left="0.75" right="0.75" top="1" bottom="1" header="0" footer="0"/>
  <headerFooter alignWithMargins="0"/>
  <drawing r:id="rId1"/>
  <legacyDrawing r:id="rId2"/>
  <oleObjects>
    <mc:AlternateContent xmlns:mc="http://schemas.openxmlformats.org/markup-compatibility/2006">
      <mc:Choice Requires="x14">
        <oleObject progId="Equation.3" shapeId="3073" r:id="rId3">
          <objectPr defaultSize="0" r:id="rId4">
            <anchor moveWithCells="1">
              <from>
                <xdr:col>5</xdr:col>
                <xdr:colOff>9525</xdr:colOff>
                <xdr:row>1</xdr:row>
                <xdr:rowOff>142875</xdr:rowOff>
              </from>
              <to>
                <xdr:col>11</xdr:col>
                <xdr:colOff>57150</xdr:colOff>
                <xdr:row>11</xdr:row>
                <xdr:rowOff>85725</xdr:rowOff>
              </to>
            </anchor>
          </objectPr>
        </oleObject>
      </mc:Choice>
      <mc:Fallback>
        <oleObject progId="Equation.3" shapeId="3073" r:id="rId3"/>
      </mc:Fallback>
    </mc:AlternateContent>
  </oleObjec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BA49DA1804610541B0C7F37312C70C1C" ma:contentTypeVersion="9" ma:contentTypeDescription="Opret et nyt dokument." ma:contentTypeScope="" ma:versionID="35e020e81b8141c16c74a719ff72917d">
  <xsd:schema xmlns:xsd="http://www.w3.org/2001/XMLSchema" xmlns:xs="http://www.w3.org/2001/XMLSchema" xmlns:p="http://schemas.microsoft.com/office/2006/metadata/properties" xmlns:ns2="3946d706-8ec9-4b4d-aeb9-fc69995c0d30" targetNamespace="http://schemas.microsoft.com/office/2006/metadata/properties" ma:root="true" ma:fieldsID="643c529279001c618a5e3ed13fecbd4f" ns2:_="">
    <xsd:import namespace="3946d706-8ec9-4b4d-aeb9-fc69995c0d3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46d706-8ec9-4b4d-aeb9-fc69995c0d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1BCB448-D6F7-4493-A9A4-6D99E2E5CC53}">
  <ds:schemaRefs>
    <ds:schemaRef ds:uri="http://purl.org/dc/dcmitype/"/>
    <ds:schemaRef ds:uri="http://purl.org/dc/terms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3946d706-8ec9-4b4d-aeb9-fc69995c0d30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58A0C935-E1E1-4492-9845-0A12D5A6A9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EF67D1A-2281-49B3-A553-1D7DA06A025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Dialogs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Template</vt:lpstr>
      <vt:lpstr>Data</vt:lpstr>
      <vt:lpstr>Beregning</vt:lpstr>
      <vt:lpstr>Tabeller</vt:lpstr>
      <vt:lpstr>Colebrook-White</vt:lpstr>
      <vt:lpstr>Tor Wadmark</vt:lpstr>
      <vt:lpstr>__SheetSelection</vt:lpstr>
      <vt:lpstr>dimensioner</vt:lpstr>
      <vt:lpstr>Stoffælles</vt:lpstr>
      <vt:lpstr>stofluft</vt:lpstr>
      <vt:lpstr>stofvand</vt:lpstr>
      <vt:lpstr>stofvandglycol</vt:lpstr>
      <vt:lpstr>Tabel1</vt:lpstr>
      <vt:lpstr>Tabel2</vt:lpstr>
      <vt:lpstr>tabel4</vt:lpstr>
    </vt:vector>
  </TitlesOfParts>
  <Company>Den jydske Haandværkerskole - Hadsten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Tryktabsnomogrammer</dc:title>
  <dc:creator>Thomas Kjems Lyngvad</dc:creator>
  <dc:description>Colebrook-White iterationen er_x000d_
udviklet af Andrew Sleigh</dc:description>
  <cp:lastModifiedBy>Jevgenijs Hiznaks</cp:lastModifiedBy>
  <cp:lastPrinted>2004-03-21T14:09:39Z</cp:lastPrinted>
  <dcterms:created xsi:type="dcterms:W3CDTF">2002-03-06T10:31:42Z</dcterms:created>
  <dcterms:modified xsi:type="dcterms:W3CDTF">2020-12-08T09:41:11Z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0x010100BA49DA1804610541B0C7F37312C70C1C</vt:lpwstr>
  </property>
</Properties>
</file>